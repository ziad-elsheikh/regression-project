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paul_beck_okstate_edu/Documents/Grant proposals/USDA NIFA Animal Health 2021/Data/"/>
    </mc:Choice>
  </mc:AlternateContent>
  <xr:revisionPtr revIDLastSave="54" documentId="8_{42308377-BD41-46E8-BE28-18E6027BD3A6}" xr6:coauthVersionLast="47" xr6:coauthVersionMax="47" xr10:uidLastSave="{0713591F-93E3-45BA-9313-094909010D2E}"/>
  <bookViews>
    <workbookView xWindow="-120" yWindow="-120" windowWidth="29040" windowHeight="15720" firstSheet="1" activeTab="9" xr2:uid="{F3E7D977-4F0E-4CA6-8319-3D88306D442F}"/>
  </bookViews>
  <sheets>
    <sheet name="Notes" sheetId="12" r:id="rId1"/>
    <sheet name="Cytokines" sheetId="1" r:id="rId2"/>
    <sheet name="ELISA" sheetId="2" r:id="rId3"/>
    <sheet name="BVDVtiters" sheetId="3" r:id="rId4"/>
    <sheet name="SFT" sheetId="4" r:id="rId5"/>
    <sheet name="D2DX" sheetId="5" r:id="rId6"/>
    <sheet name="Health" sheetId="6" r:id="rId7"/>
    <sheet name="ADG_MET" sheetId="7" r:id="rId8"/>
    <sheet name="Insentech_PerfReg" sheetId="8" r:id="rId9"/>
    <sheet name="Insentech_RFI" sheetId="9" r:id="rId10"/>
    <sheet name="Intake_Trial_Performance" sheetId="11" r:id="rId11"/>
    <sheet name="Carcass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9" l="1"/>
  <c r="W4" i="9"/>
  <c r="V5" i="9"/>
  <c r="V4" i="9"/>
  <c r="R4" i="9"/>
  <c r="S5" i="9"/>
  <c r="S4" i="9"/>
  <c r="R5" i="9"/>
  <c r="V197" i="7"/>
  <c r="W197" i="7"/>
  <c r="X197" i="7"/>
  <c r="Y197" i="7"/>
  <c r="Z197" i="7"/>
  <c r="V198" i="7"/>
  <c r="W198" i="7"/>
  <c r="X198" i="7"/>
  <c r="Y198" i="7"/>
  <c r="Z198" i="7"/>
  <c r="U198" i="7"/>
  <c r="U197" i="7"/>
  <c r="V148" i="7"/>
  <c r="W148" i="7"/>
  <c r="X148" i="7"/>
  <c r="Y148" i="7"/>
  <c r="Z148" i="7"/>
  <c r="U148" i="7"/>
  <c r="V146" i="7"/>
  <c r="W146" i="7"/>
  <c r="X146" i="7"/>
  <c r="Y146" i="7"/>
  <c r="Z146" i="7"/>
  <c r="U146" i="7"/>
  <c r="V87" i="7"/>
  <c r="W87" i="7"/>
  <c r="X87" i="7"/>
  <c r="Y87" i="7"/>
  <c r="U87" i="7"/>
  <c r="V85" i="7"/>
  <c r="W85" i="7"/>
  <c r="X85" i="7"/>
  <c r="Y85" i="7"/>
  <c r="U85" i="7"/>
  <c r="V18" i="7"/>
  <c r="W18" i="7"/>
  <c r="X18" i="7"/>
  <c r="Y18" i="7"/>
  <c r="U18" i="7"/>
  <c r="Y16" i="7"/>
  <c r="V16" i="7"/>
  <c r="W16" i="7"/>
  <c r="X16" i="7"/>
  <c r="U16" i="7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" i="4"/>
  <c r="J18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" i="4"/>
  <c r="X7" i="2" l="1"/>
  <c r="X11" i="2"/>
  <c r="X12" i="2"/>
  <c r="X16" i="2"/>
  <c r="X17" i="2"/>
  <c r="X6" i="2"/>
  <c r="U7" i="2"/>
  <c r="U11" i="2"/>
  <c r="U12" i="2"/>
  <c r="U16" i="2"/>
  <c r="U17" i="2"/>
  <c r="U6" i="2"/>
</calcChain>
</file>

<file path=xl/sharedStrings.xml><?xml version="1.0" encoding="utf-8"?>
<sst xmlns="http://schemas.openxmlformats.org/spreadsheetml/2006/main" count="18152" uniqueCount="185">
  <si>
    <t>Calf</t>
  </si>
  <si>
    <t>Dam ID</t>
  </si>
  <si>
    <t>Sire</t>
  </si>
  <si>
    <t>phenotype</t>
  </si>
  <si>
    <t>growth</t>
  </si>
  <si>
    <t>milk</t>
  </si>
  <si>
    <t>Day</t>
  </si>
  <si>
    <t>Season</t>
  </si>
  <si>
    <t>Block</t>
  </si>
  <si>
    <t>IFNgamma</t>
  </si>
  <si>
    <t>IL4</t>
  </si>
  <si>
    <t>IL10</t>
  </si>
  <si>
    <t>TNFalpha</t>
  </si>
  <si>
    <t>Mead Magnitude</t>
  </si>
  <si>
    <t>HH</t>
  </si>
  <si>
    <t>H</t>
  </si>
  <si>
    <t>Fall</t>
  </si>
  <si>
    <t>Wilks Regiment 9035</t>
  </si>
  <si>
    <t>Deer Valley Growth Fund</t>
  </si>
  <si>
    <t>K C F Bennett Homestead</t>
  </si>
  <si>
    <t>MH</t>
  </si>
  <si>
    <t>M</t>
  </si>
  <si>
    <t>Sitz Powerball 643D</t>
  </si>
  <si>
    <t>ML</t>
  </si>
  <si>
    <t>L</t>
  </si>
  <si>
    <t>MJB McD Profound 9C</t>
  </si>
  <si>
    <t>Connealy Fortune 752L</t>
  </si>
  <si>
    <t>HL</t>
  </si>
  <si>
    <t>SydGen Exceed 3223</t>
  </si>
  <si>
    <t>Byergo Oasis 6052</t>
  </si>
  <si>
    <t>E&amp;B New Addition 608</t>
  </si>
  <si>
    <t>Musgrave Apache</t>
  </si>
  <si>
    <t>Gardens Econ</t>
  </si>
  <si>
    <t>RCRC Carlo 1527</t>
  </si>
  <si>
    <t>EXAR Monumental 9488B</t>
  </si>
  <si>
    <t>RCRC King of Hearts 1511</t>
  </si>
  <si>
    <t>PA Fortitude 2500 </t>
  </si>
  <si>
    <t>Spring</t>
  </si>
  <si>
    <t>EXAR Stud 4658B</t>
  </si>
  <si>
    <t>.</t>
  </si>
  <si>
    <t>EXAR Stud 8276B</t>
  </si>
  <si>
    <t>G A R Prophet K263</t>
  </si>
  <si>
    <t>Dalebanks AR Entirety 8381</t>
  </si>
  <si>
    <t>EZAR Gold Rush 6001</t>
  </si>
  <si>
    <t>Musgrave Mediator</t>
  </si>
  <si>
    <t>E W A Peyton 642</t>
  </si>
  <si>
    <t>Raven Powerball 53</t>
  </si>
  <si>
    <t>block</t>
  </si>
  <si>
    <t>Phenotype</t>
  </si>
  <si>
    <t>Growth</t>
  </si>
  <si>
    <t>Milk</t>
  </si>
  <si>
    <t>Dalebanks Arb Entirety 8381</t>
  </si>
  <si>
    <t>Clostridial</t>
  </si>
  <si>
    <t xml:space="preserve">Milk </t>
  </si>
  <si>
    <t xml:space="preserve">H </t>
  </si>
  <si>
    <t>F</t>
  </si>
  <si>
    <t>transformed LS mean</t>
  </si>
  <si>
    <t>tf SE</t>
  </si>
  <si>
    <t>spring</t>
  </si>
  <si>
    <t>Back Transformed Mean</t>
  </si>
  <si>
    <t>SE</t>
  </si>
  <si>
    <t>BVD1</t>
  </si>
  <si>
    <t>Exar Enhance 0586B</t>
  </si>
  <si>
    <t>Exar Fireball 0782B</t>
  </si>
  <si>
    <t>Exar Easy Express 0459B</t>
  </si>
  <si>
    <t>OSU Home Town 1117</t>
  </si>
  <si>
    <t>EXAR Jet Way 0607B</t>
  </si>
  <si>
    <t>Exar Stallion 0734B</t>
  </si>
  <si>
    <t>OSU Home town 1117</t>
  </si>
  <si>
    <t>SFT0_C</t>
  </si>
  <si>
    <t>SFT0_INJ</t>
  </si>
  <si>
    <t>MC0</t>
  </si>
  <si>
    <t>MC48</t>
  </si>
  <si>
    <t>SFT48_INJ</t>
  </si>
  <si>
    <t>SFT_Chng</t>
  </si>
  <si>
    <t>SFT48_C</t>
  </si>
  <si>
    <t>Results</t>
  </si>
  <si>
    <t>DTBRD1</t>
  </si>
  <si>
    <t>DTBRD2</t>
  </si>
  <si>
    <t>DTBRD3</t>
  </si>
  <si>
    <t>DTChronic</t>
  </si>
  <si>
    <t>DTD</t>
  </si>
  <si>
    <t>D_T_DNR</t>
  </si>
  <si>
    <t>BRD1</t>
  </si>
  <si>
    <t>BRD1cost</t>
  </si>
  <si>
    <t>BRD2</t>
  </si>
  <si>
    <t>BRD2cost</t>
  </si>
  <si>
    <t>BRD3</t>
  </si>
  <si>
    <t>BRD3cost</t>
  </si>
  <si>
    <t>Chronic</t>
  </si>
  <si>
    <t>Mortality</t>
  </si>
  <si>
    <t>Nmortality</t>
  </si>
  <si>
    <t>Total_trt_cost</t>
  </si>
  <si>
    <t>D0</t>
  </si>
  <si>
    <t>D60</t>
  </si>
  <si>
    <t>D88</t>
  </si>
  <si>
    <t>Fin</t>
  </si>
  <si>
    <t>Ship</t>
  </si>
  <si>
    <t>D0_60</t>
  </si>
  <si>
    <t>D0_88</t>
  </si>
  <si>
    <t>D0_Ship</t>
  </si>
  <si>
    <t>D60_88</t>
  </si>
  <si>
    <t>D60_Ship</t>
  </si>
  <si>
    <t>D88_Ship</t>
  </si>
  <si>
    <t>DOF</t>
  </si>
  <si>
    <t>Total_DOF</t>
  </si>
  <si>
    <t>Genotype</t>
  </si>
  <si>
    <t>ID0</t>
  </si>
  <si>
    <t>ID14</t>
  </si>
  <si>
    <t>ID28</t>
  </si>
  <si>
    <t>ID42</t>
  </si>
  <si>
    <t>ID56</t>
  </si>
  <si>
    <t>ID70</t>
  </si>
  <si>
    <t>ID0_D14</t>
  </si>
  <si>
    <t>ID0_D28</t>
  </si>
  <si>
    <t>ID0_D42</t>
  </si>
  <si>
    <t>ID0_D56</t>
  </si>
  <si>
    <t>ID0_D70</t>
  </si>
  <si>
    <t>ID14_D28</t>
  </si>
  <si>
    <t>ID14_D42</t>
  </si>
  <si>
    <t>ID14_D56</t>
  </si>
  <si>
    <t>ID14_D70</t>
  </si>
  <si>
    <t>ID28_D42</t>
  </si>
  <si>
    <t>ID28_D56</t>
  </si>
  <si>
    <t>ID28_D70</t>
  </si>
  <si>
    <t>ID42_D56</t>
  </si>
  <si>
    <t>ID42_D70</t>
  </si>
  <si>
    <t>ID56_D70</t>
  </si>
  <si>
    <t>BW</t>
  </si>
  <si>
    <t>Pen</t>
  </si>
  <si>
    <t>MBW</t>
  </si>
  <si>
    <t>ADG</t>
  </si>
  <si>
    <t>ODMI</t>
  </si>
  <si>
    <t>PDMI</t>
  </si>
  <si>
    <t>RFI</t>
  </si>
  <si>
    <t>GF</t>
  </si>
  <si>
    <t>PADG</t>
  </si>
  <si>
    <t>RADG</t>
  </si>
  <si>
    <t>VID</t>
  </si>
  <si>
    <t>genotype</t>
  </si>
  <si>
    <t>In_wt</t>
  </si>
  <si>
    <t>FBW</t>
  </si>
  <si>
    <t>FSBW</t>
  </si>
  <si>
    <t>DP</t>
  </si>
  <si>
    <t>COG</t>
  </si>
  <si>
    <t>$/cwt</t>
  </si>
  <si>
    <t>HCW</t>
  </si>
  <si>
    <t>Total gain</t>
  </si>
  <si>
    <t>QG</t>
  </si>
  <si>
    <t>QG$</t>
  </si>
  <si>
    <t>YG</t>
  </si>
  <si>
    <t>REA</t>
  </si>
  <si>
    <t>MS</t>
  </si>
  <si>
    <t>FT</t>
  </si>
  <si>
    <t>EBF</t>
  </si>
  <si>
    <t>EBW</t>
  </si>
  <si>
    <t>AFSBW</t>
  </si>
  <si>
    <t>CalDOF</t>
  </si>
  <si>
    <t>EqSBW</t>
  </si>
  <si>
    <t>BFAF</t>
  </si>
  <si>
    <t>DMI</t>
  </si>
  <si>
    <t>Nem req</t>
  </si>
  <si>
    <t>RE</t>
  </si>
  <si>
    <t>FFM</t>
  </si>
  <si>
    <t>FFG</t>
  </si>
  <si>
    <t>EFG</t>
  </si>
  <si>
    <t>SWG</t>
  </si>
  <si>
    <t>SBW</t>
  </si>
  <si>
    <t>EqCW</t>
  </si>
  <si>
    <t>CWP</t>
  </si>
  <si>
    <t>CW</t>
  </si>
  <si>
    <t>EWG</t>
  </si>
  <si>
    <t>FIG</t>
  </si>
  <si>
    <t>TotalDMI</t>
  </si>
  <si>
    <t>Feedcost</t>
  </si>
  <si>
    <t>choice-</t>
  </si>
  <si>
    <t>prime</t>
  </si>
  <si>
    <t>choice</t>
  </si>
  <si>
    <t>choice+</t>
  </si>
  <si>
    <t>prime-</t>
  </si>
  <si>
    <t>prime+</t>
  </si>
  <si>
    <t>CABW</t>
  </si>
  <si>
    <t>CADG</t>
  </si>
  <si>
    <t>SEASON</t>
  </si>
  <si>
    <t>Preconditioning weights GF was converted to DMB using 5 lbs/day * 87% DM of supplement / 2.2 (lb to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</si>
</sst>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6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</font>
    <font>
      <sz val="14"/>
      <color rgb="FF000000"/>
      <name val="Calibri"/>
      <family val="2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/>
      <protection locked="0"/>
    </xf>
    <xf numFmtId="164" fontId="5" fillId="0" borderId="1" xfId="0" applyNumberFormat="1" applyFont="1" applyBorder="1"/>
    <xf numFmtId="165" fontId="7" fillId="0" borderId="1" xfId="0" applyNumberFormat="1" applyFont="1" applyBorder="1"/>
    <xf numFmtId="164" fontId="7" fillId="0" borderId="1" xfId="0" applyNumberFormat="1" applyFont="1" applyBorder="1"/>
    <xf numFmtId="164" fontId="7" fillId="0" borderId="0" xfId="0" applyNumberFormat="1" applyFont="1"/>
    <xf numFmtId="0" fontId="7" fillId="0" borderId="1" xfId="0" applyFont="1" applyBorder="1"/>
    <xf numFmtId="0" fontId="0" fillId="0" borderId="1" xfId="0" applyBorder="1"/>
    <xf numFmtId="0" fontId="0" fillId="0" borderId="2" xfId="0" applyBorder="1"/>
    <xf numFmtId="0" fontId="5" fillId="0" borderId="3" xfId="0" applyFont="1" applyBorder="1"/>
    <xf numFmtId="164" fontId="0" fillId="0" borderId="0" xfId="0" applyNumberFormat="1"/>
    <xf numFmtId="0" fontId="2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3" borderId="0" xfId="0" applyFont="1" applyFill="1"/>
    <xf numFmtId="0" fontId="3" fillId="3" borderId="0" xfId="0" applyFont="1" applyFill="1"/>
    <xf numFmtId="0" fontId="14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4541-DC40-43F9-82AB-F9CE90891DB0}">
  <dimension ref="A1:B6"/>
  <sheetViews>
    <sheetView workbookViewId="0">
      <selection activeCell="B13" sqref="B13"/>
    </sheetView>
  </sheetViews>
  <sheetFormatPr defaultRowHeight="15" x14ac:dyDescent="0.25"/>
  <sheetData>
    <row r="1" spans="1:2" x14ac:dyDescent="0.25">
      <c r="A1" t="s">
        <v>184</v>
      </c>
    </row>
    <row r="2" spans="1:2" x14ac:dyDescent="0.25">
      <c r="A2" t="s">
        <v>8</v>
      </c>
      <c r="B2" t="s">
        <v>7</v>
      </c>
    </row>
    <row r="3" spans="1:2" x14ac:dyDescent="0.25">
      <c r="A3">
        <v>2214</v>
      </c>
      <c r="B3" t="s">
        <v>37</v>
      </c>
    </row>
    <row r="4" spans="1:2" x14ac:dyDescent="0.25">
      <c r="A4">
        <v>2304</v>
      </c>
      <c r="B4" t="s">
        <v>16</v>
      </c>
    </row>
    <row r="5" spans="1:2" x14ac:dyDescent="0.25">
      <c r="A5">
        <v>2311</v>
      </c>
      <c r="B5" t="s">
        <v>37</v>
      </c>
    </row>
    <row r="6" spans="1:2" x14ac:dyDescent="0.25">
      <c r="A6">
        <v>2404</v>
      </c>
      <c r="B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C8B4-73F3-4A78-AD01-9A67BB879612}">
  <dimension ref="A1:M597"/>
  <sheetViews>
    <sheetView workbookViewId="0">
      <selection activeCell="I112" sqref="I112"/>
    </sheetView>
  </sheetViews>
  <sheetFormatPr defaultRowHeight="15" x14ac:dyDescent="0.25"/>
  <cols>
    <col min="10" max="10" width="11.85546875" customWidth="1"/>
    <col min="13" max="13" width="10.42578125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x14ac:dyDescent="0.25">
      <c r="A2" s="3">
        <v>2505</v>
      </c>
      <c r="B2" s="2">
        <v>9598</v>
      </c>
      <c r="C2" s="2" t="s">
        <v>13</v>
      </c>
      <c r="D2" s="2" t="s">
        <v>14</v>
      </c>
      <c r="E2" s="2" t="s">
        <v>15</v>
      </c>
      <c r="F2" s="2" t="s">
        <v>15</v>
      </c>
      <c r="G2" s="3">
        <v>14</v>
      </c>
      <c r="H2" s="4" t="s">
        <v>16</v>
      </c>
      <c r="I2" s="2">
        <v>2304</v>
      </c>
      <c r="J2" s="3">
        <v>16.52</v>
      </c>
      <c r="K2" s="3">
        <v>20.059999999999999</v>
      </c>
      <c r="L2" s="3">
        <v>206.74</v>
      </c>
      <c r="M2" s="3">
        <v>1251.1099999999999</v>
      </c>
    </row>
    <row r="3" spans="1:13" ht="15.75" x14ac:dyDescent="0.25">
      <c r="A3" s="3">
        <v>2505</v>
      </c>
      <c r="B3" s="2">
        <v>9598</v>
      </c>
      <c r="C3" s="2" t="s">
        <v>13</v>
      </c>
      <c r="D3" s="2" t="s">
        <v>14</v>
      </c>
      <c r="E3" s="2" t="s">
        <v>15</v>
      </c>
      <c r="F3" s="2" t="s">
        <v>15</v>
      </c>
      <c r="G3" s="3">
        <v>88</v>
      </c>
      <c r="H3" s="4" t="s">
        <v>16</v>
      </c>
      <c r="I3" s="2">
        <v>2304</v>
      </c>
      <c r="J3" s="3">
        <v>5.47</v>
      </c>
      <c r="K3" s="3">
        <v>9.3000000000000007</v>
      </c>
      <c r="L3" s="3">
        <v>115.25</v>
      </c>
      <c r="M3" s="3">
        <v>265.95</v>
      </c>
    </row>
    <row r="4" spans="1:13" ht="15.75" x14ac:dyDescent="0.25">
      <c r="A4" s="3">
        <v>2505</v>
      </c>
      <c r="B4" s="2">
        <v>9598</v>
      </c>
      <c r="C4" s="2" t="s">
        <v>13</v>
      </c>
      <c r="D4" s="2" t="s">
        <v>14</v>
      </c>
      <c r="E4" s="2" t="s">
        <v>15</v>
      </c>
      <c r="F4" s="2" t="s">
        <v>15</v>
      </c>
      <c r="G4" s="3">
        <v>60</v>
      </c>
      <c r="H4" s="4" t="s">
        <v>16</v>
      </c>
      <c r="I4" s="2">
        <v>2304</v>
      </c>
      <c r="J4" s="3">
        <v>9.14</v>
      </c>
      <c r="K4" s="3">
        <v>20.059999999999999</v>
      </c>
      <c r="L4" s="3">
        <v>67.91</v>
      </c>
      <c r="M4" s="3">
        <v>153.97</v>
      </c>
    </row>
    <row r="5" spans="1:13" ht="15.75" x14ac:dyDescent="0.25">
      <c r="A5" s="3">
        <v>2505</v>
      </c>
      <c r="B5" s="2">
        <v>9598</v>
      </c>
      <c r="C5" s="2" t="s">
        <v>13</v>
      </c>
      <c r="D5" s="2" t="s">
        <v>14</v>
      </c>
      <c r="E5" s="2" t="s">
        <v>15</v>
      </c>
      <c r="F5" s="2" t="s">
        <v>15</v>
      </c>
      <c r="G5" s="3">
        <v>0</v>
      </c>
      <c r="H5" s="4" t="s">
        <v>16</v>
      </c>
      <c r="I5" s="2">
        <v>2304</v>
      </c>
      <c r="J5" s="3">
        <v>4.63</v>
      </c>
      <c r="K5" s="3">
        <v>23.07</v>
      </c>
      <c r="L5" s="3">
        <v>96.43</v>
      </c>
      <c r="M5" s="3">
        <v>87.45</v>
      </c>
    </row>
    <row r="6" spans="1:13" ht="15.75" x14ac:dyDescent="0.25">
      <c r="A6" s="3">
        <v>2510</v>
      </c>
      <c r="B6" s="2">
        <v>5672</v>
      </c>
      <c r="C6" s="2" t="s">
        <v>17</v>
      </c>
      <c r="D6" s="2" t="s">
        <v>14</v>
      </c>
      <c r="E6" s="2" t="s">
        <v>15</v>
      </c>
      <c r="F6" s="2" t="s">
        <v>15</v>
      </c>
      <c r="G6" s="3">
        <v>14</v>
      </c>
      <c r="H6" s="4" t="s">
        <v>16</v>
      </c>
      <c r="I6" s="2">
        <v>2304</v>
      </c>
      <c r="J6" s="3">
        <v>4.24</v>
      </c>
      <c r="K6" s="3">
        <v>47.41</v>
      </c>
      <c r="L6" s="3">
        <v>79.959999999999994</v>
      </c>
      <c r="M6" s="3">
        <v>344.45</v>
      </c>
    </row>
    <row r="7" spans="1:13" ht="15.75" x14ac:dyDescent="0.25">
      <c r="A7" s="3">
        <v>2510</v>
      </c>
      <c r="B7" s="2">
        <v>5672</v>
      </c>
      <c r="C7" s="2" t="s">
        <v>17</v>
      </c>
      <c r="D7" s="2" t="s">
        <v>14</v>
      </c>
      <c r="E7" s="2" t="s">
        <v>15</v>
      </c>
      <c r="F7" s="2" t="s">
        <v>15</v>
      </c>
      <c r="G7" s="3">
        <v>88</v>
      </c>
      <c r="H7" s="4" t="s">
        <v>16</v>
      </c>
      <c r="I7" s="2">
        <v>2304</v>
      </c>
      <c r="J7" s="3">
        <v>1.2</v>
      </c>
      <c r="K7" s="3">
        <v>18.48</v>
      </c>
      <c r="L7" s="3">
        <v>179.81</v>
      </c>
      <c r="M7" s="3">
        <v>413.4</v>
      </c>
    </row>
    <row r="8" spans="1:13" ht="15.75" x14ac:dyDescent="0.25">
      <c r="A8" s="3">
        <v>2510</v>
      </c>
      <c r="B8" s="2">
        <v>5672</v>
      </c>
      <c r="C8" s="2" t="s">
        <v>17</v>
      </c>
      <c r="D8" s="2" t="s">
        <v>14</v>
      </c>
      <c r="E8" s="2" t="s">
        <v>15</v>
      </c>
      <c r="F8" s="2" t="s">
        <v>15</v>
      </c>
      <c r="G8" s="3">
        <v>60</v>
      </c>
      <c r="H8" s="4" t="s">
        <v>16</v>
      </c>
      <c r="I8" s="2">
        <v>2304</v>
      </c>
      <c r="J8" s="3">
        <v>2.2400000000000002</v>
      </c>
      <c r="K8" s="3">
        <v>41.96</v>
      </c>
      <c r="L8" s="3">
        <v>52.59</v>
      </c>
      <c r="M8" s="3">
        <v>395.04</v>
      </c>
    </row>
    <row r="9" spans="1:13" ht="15.75" x14ac:dyDescent="0.25">
      <c r="A9" s="3">
        <v>2510</v>
      </c>
      <c r="B9" s="2">
        <v>5672</v>
      </c>
      <c r="C9" s="2" t="s">
        <v>17</v>
      </c>
      <c r="D9" s="2" t="s">
        <v>14</v>
      </c>
      <c r="E9" s="2" t="s">
        <v>15</v>
      </c>
      <c r="F9" s="2" t="s">
        <v>15</v>
      </c>
      <c r="G9" s="3">
        <v>0</v>
      </c>
      <c r="H9" s="4" t="s">
        <v>16</v>
      </c>
      <c r="I9" s="2">
        <v>2304</v>
      </c>
      <c r="J9" s="3">
        <v>1.87</v>
      </c>
      <c r="K9" s="3">
        <v>28.62</v>
      </c>
      <c r="L9" s="3">
        <v>62.11</v>
      </c>
      <c r="M9" s="3">
        <v>144.54</v>
      </c>
    </row>
    <row r="10" spans="1:13" ht="15.75" x14ac:dyDescent="0.25">
      <c r="A10" s="3">
        <v>2517</v>
      </c>
      <c r="B10" s="2">
        <v>9573</v>
      </c>
      <c r="C10" s="2" t="s">
        <v>18</v>
      </c>
      <c r="D10" s="2" t="s">
        <v>14</v>
      </c>
      <c r="E10" s="2" t="s">
        <v>15</v>
      </c>
      <c r="F10" s="2" t="s">
        <v>15</v>
      </c>
      <c r="G10" s="3">
        <v>14</v>
      </c>
      <c r="H10" s="4" t="s">
        <v>16</v>
      </c>
      <c r="I10" s="2">
        <v>2304</v>
      </c>
      <c r="J10" s="3">
        <v>0.35</v>
      </c>
      <c r="K10" s="3">
        <v>16.829999999999998</v>
      </c>
      <c r="L10" s="3">
        <v>41.67</v>
      </c>
      <c r="M10" s="3">
        <v>219.5</v>
      </c>
    </row>
    <row r="11" spans="1:13" ht="15.75" x14ac:dyDescent="0.25">
      <c r="A11" s="3">
        <v>2517</v>
      </c>
      <c r="B11" s="2">
        <v>9573</v>
      </c>
      <c r="C11" s="2" t="s">
        <v>18</v>
      </c>
      <c r="D11" s="2" t="s">
        <v>14</v>
      </c>
      <c r="E11" s="2" t="s">
        <v>15</v>
      </c>
      <c r="F11" s="2" t="s">
        <v>15</v>
      </c>
      <c r="G11" s="3">
        <v>88</v>
      </c>
      <c r="H11" s="4" t="s">
        <v>16</v>
      </c>
      <c r="I11" s="2">
        <v>2304</v>
      </c>
      <c r="J11" s="3">
        <v>3.1</v>
      </c>
      <c r="K11" s="3">
        <v>18.48</v>
      </c>
      <c r="L11" s="3">
        <v>158.44</v>
      </c>
      <c r="M11" s="3">
        <v>1597.58</v>
      </c>
    </row>
    <row r="12" spans="1:13" ht="15.75" x14ac:dyDescent="0.25">
      <c r="A12" s="3">
        <v>2517</v>
      </c>
      <c r="B12" s="2">
        <v>9573</v>
      </c>
      <c r="C12" s="2" t="s">
        <v>18</v>
      </c>
      <c r="D12" s="2" t="s">
        <v>14</v>
      </c>
      <c r="E12" s="2" t="s">
        <v>15</v>
      </c>
      <c r="F12" s="2" t="s">
        <v>15</v>
      </c>
      <c r="G12" s="3">
        <v>60</v>
      </c>
      <c r="H12" s="4" t="s">
        <v>16</v>
      </c>
      <c r="I12" s="2">
        <v>2304</v>
      </c>
      <c r="J12" s="3">
        <v>3.03</v>
      </c>
      <c r="K12" s="3">
        <v>104.71</v>
      </c>
      <c r="L12" s="3">
        <v>69.069999999999993</v>
      </c>
      <c r="M12" s="3">
        <v>824.92</v>
      </c>
    </row>
    <row r="13" spans="1:13" ht="15.75" x14ac:dyDescent="0.25">
      <c r="A13" s="3">
        <v>2517</v>
      </c>
      <c r="B13" s="2">
        <v>9573</v>
      </c>
      <c r="C13" s="2" t="s">
        <v>18</v>
      </c>
      <c r="D13" s="2" t="s">
        <v>14</v>
      </c>
      <c r="E13" s="2" t="s">
        <v>15</v>
      </c>
      <c r="F13" s="2" t="s">
        <v>15</v>
      </c>
      <c r="G13" s="3">
        <v>0</v>
      </c>
      <c r="H13" s="4" t="s">
        <v>16</v>
      </c>
      <c r="I13" s="2">
        <v>2304</v>
      </c>
      <c r="J13" s="3">
        <v>1.39</v>
      </c>
      <c r="K13" s="3">
        <v>56.59</v>
      </c>
      <c r="L13" s="3">
        <v>51.66</v>
      </c>
      <c r="M13" s="3">
        <v>228.81</v>
      </c>
    </row>
    <row r="14" spans="1:13" ht="15.75" x14ac:dyDescent="0.25">
      <c r="A14" s="3">
        <v>2520</v>
      </c>
      <c r="B14" s="2">
        <v>8523</v>
      </c>
      <c r="C14" s="2" t="s">
        <v>19</v>
      </c>
      <c r="D14" s="2" t="s">
        <v>20</v>
      </c>
      <c r="E14" s="2" t="s">
        <v>21</v>
      </c>
      <c r="F14" s="2" t="s">
        <v>15</v>
      </c>
      <c r="G14" s="3">
        <v>14</v>
      </c>
      <c r="H14" s="4" t="s">
        <v>16</v>
      </c>
      <c r="I14" s="2">
        <v>2304</v>
      </c>
      <c r="J14" s="3">
        <v>1.88</v>
      </c>
      <c r="K14" s="3">
        <v>44.36</v>
      </c>
      <c r="L14" s="3">
        <v>124.93</v>
      </c>
      <c r="M14" s="3">
        <v>2813.87</v>
      </c>
    </row>
    <row r="15" spans="1:13" ht="15.75" x14ac:dyDescent="0.25">
      <c r="A15" s="3">
        <v>2520</v>
      </c>
      <c r="B15" s="2">
        <v>8523</v>
      </c>
      <c r="C15" s="2" t="s">
        <v>19</v>
      </c>
      <c r="D15" s="2" t="s">
        <v>20</v>
      </c>
      <c r="E15" s="2" t="s">
        <v>21</v>
      </c>
      <c r="F15" s="2" t="s">
        <v>15</v>
      </c>
      <c r="G15" s="3">
        <v>88</v>
      </c>
      <c r="H15" s="4" t="s">
        <v>16</v>
      </c>
      <c r="I15" s="2">
        <v>2304</v>
      </c>
      <c r="J15" s="3">
        <v>2.06</v>
      </c>
      <c r="K15" s="3">
        <v>27.56</v>
      </c>
      <c r="L15" s="3">
        <v>62.26</v>
      </c>
      <c r="M15" s="3">
        <v>282.29000000000002</v>
      </c>
    </row>
    <row r="16" spans="1:13" ht="15.75" x14ac:dyDescent="0.25">
      <c r="A16" s="3">
        <v>2520</v>
      </c>
      <c r="B16" s="2">
        <v>8523</v>
      </c>
      <c r="C16" s="2" t="s">
        <v>19</v>
      </c>
      <c r="D16" s="2" t="s">
        <v>20</v>
      </c>
      <c r="E16" s="2" t="s">
        <v>21</v>
      </c>
      <c r="F16" s="2" t="s">
        <v>15</v>
      </c>
      <c r="G16" s="3">
        <v>60</v>
      </c>
      <c r="H16" s="4" t="s">
        <v>16</v>
      </c>
      <c r="I16" s="2">
        <v>2304</v>
      </c>
      <c r="J16" s="3">
        <v>4.66</v>
      </c>
      <c r="K16" s="3">
        <v>105.99</v>
      </c>
      <c r="L16" s="3">
        <v>80.98</v>
      </c>
      <c r="M16" s="3">
        <v>1191.31</v>
      </c>
    </row>
    <row r="17" spans="1:13" ht="15.75" x14ac:dyDescent="0.25">
      <c r="A17" s="3">
        <v>2520</v>
      </c>
      <c r="B17" s="2">
        <v>8523</v>
      </c>
      <c r="C17" s="2" t="s">
        <v>19</v>
      </c>
      <c r="D17" s="2" t="s">
        <v>20</v>
      </c>
      <c r="E17" s="2" t="s">
        <v>21</v>
      </c>
      <c r="F17" s="2" t="s">
        <v>15</v>
      </c>
      <c r="G17" s="3">
        <v>0</v>
      </c>
      <c r="H17" s="4" t="s">
        <v>16</v>
      </c>
      <c r="I17" s="2">
        <v>2304</v>
      </c>
      <c r="J17" s="3">
        <v>1.1599999999999999</v>
      </c>
      <c r="K17" s="3">
        <v>43.06</v>
      </c>
      <c r="L17" s="3">
        <v>90.27</v>
      </c>
      <c r="M17" s="3">
        <v>1738.18</v>
      </c>
    </row>
    <row r="18" spans="1:13" ht="15.75" x14ac:dyDescent="0.25">
      <c r="A18" s="3">
        <v>2523</v>
      </c>
      <c r="B18" s="2">
        <v>7501</v>
      </c>
      <c r="C18" s="2" t="s">
        <v>17</v>
      </c>
      <c r="D18" s="2" t="s">
        <v>14</v>
      </c>
      <c r="E18" s="2" t="s">
        <v>15</v>
      </c>
      <c r="F18" s="2" t="s">
        <v>15</v>
      </c>
      <c r="G18" s="3">
        <v>14</v>
      </c>
      <c r="H18" s="4" t="s">
        <v>16</v>
      </c>
      <c r="I18" s="2">
        <v>2304</v>
      </c>
      <c r="J18" s="3">
        <v>3.85</v>
      </c>
      <c r="K18" s="3">
        <v>34.96</v>
      </c>
      <c r="L18" s="3">
        <v>73.010000000000005</v>
      </c>
      <c r="M18" s="3">
        <v>838.62</v>
      </c>
    </row>
    <row r="19" spans="1:13" ht="15.75" x14ac:dyDescent="0.25">
      <c r="A19" s="3">
        <v>2523</v>
      </c>
      <c r="B19" s="2">
        <v>7501</v>
      </c>
      <c r="C19" s="2" t="s">
        <v>17</v>
      </c>
      <c r="D19" s="2" t="s">
        <v>14</v>
      </c>
      <c r="E19" s="2" t="s">
        <v>15</v>
      </c>
      <c r="F19" s="2" t="s">
        <v>15</v>
      </c>
      <c r="G19" s="3">
        <v>88</v>
      </c>
      <c r="H19" s="4" t="s">
        <v>16</v>
      </c>
      <c r="I19" s="2">
        <v>2304</v>
      </c>
      <c r="J19" s="3">
        <v>9.74</v>
      </c>
      <c r="K19" s="3">
        <v>18.48</v>
      </c>
      <c r="L19" s="3">
        <v>107.35</v>
      </c>
      <c r="M19" s="3">
        <v>633.05999999999995</v>
      </c>
    </row>
    <row r="20" spans="1:13" ht="15.75" x14ac:dyDescent="0.25">
      <c r="A20" s="3">
        <v>2523</v>
      </c>
      <c r="B20" s="2">
        <v>7501</v>
      </c>
      <c r="C20" s="2" t="s">
        <v>17</v>
      </c>
      <c r="D20" s="2" t="s">
        <v>14</v>
      </c>
      <c r="E20" s="2" t="s">
        <v>15</v>
      </c>
      <c r="F20" s="2" t="s">
        <v>15</v>
      </c>
      <c r="G20" s="3">
        <v>60</v>
      </c>
      <c r="H20" s="4" t="s">
        <v>16</v>
      </c>
      <c r="I20" s="2">
        <v>2304</v>
      </c>
      <c r="J20" s="3">
        <v>3.29</v>
      </c>
      <c r="K20" s="3">
        <v>27.28</v>
      </c>
      <c r="L20" s="3">
        <v>68.37</v>
      </c>
      <c r="M20" s="3">
        <v>728.98</v>
      </c>
    </row>
    <row r="21" spans="1:13" ht="15.75" x14ac:dyDescent="0.25">
      <c r="A21" s="3">
        <v>2523</v>
      </c>
      <c r="B21" s="2">
        <v>7501</v>
      </c>
      <c r="C21" s="2" t="s">
        <v>17</v>
      </c>
      <c r="D21" s="2" t="s">
        <v>14</v>
      </c>
      <c r="E21" s="2" t="s">
        <v>15</v>
      </c>
      <c r="F21" s="2" t="s">
        <v>15</v>
      </c>
      <c r="G21" s="3">
        <v>0</v>
      </c>
      <c r="H21" s="4" t="s">
        <v>16</v>
      </c>
      <c r="I21" s="2">
        <v>2304</v>
      </c>
      <c r="J21" s="3">
        <v>7.92</v>
      </c>
      <c r="K21" s="3">
        <v>28.62</v>
      </c>
      <c r="L21" s="3">
        <v>83.67</v>
      </c>
      <c r="M21" s="3">
        <v>669.6</v>
      </c>
    </row>
    <row r="22" spans="1:13" ht="15.75" x14ac:dyDescent="0.25">
      <c r="A22" s="3">
        <v>2526</v>
      </c>
      <c r="B22" s="2">
        <v>8504</v>
      </c>
      <c r="C22" s="2" t="s">
        <v>22</v>
      </c>
      <c r="D22" s="2" t="s">
        <v>23</v>
      </c>
      <c r="E22" s="2" t="s">
        <v>21</v>
      </c>
      <c r="F22" s="2" t="s">
        <v>24</v>
      </c>
      <c r="G22" s="3">
        <v>14</v>
      </c>
      <c r="H22" s="4" t="s">
        <v>16</v>
      </c>
      <c r="I22" s="2">
        <v>2304</v>
      </c>
      <c r="J22" s="3">
        <v>0.5</v>
      </c>
      <c r="K22" s="3">
        <v>41.72</v>
      </c>
      <c r="L22" s="3">
        <v>27.03</v>
      </c>
      <c r="M22" s="3">
        <v>1E-3</v>
      </c>
    </row>
    <row r="23" spans="1:13" ht="15.75" x14ac:dyDescent="0.25">
      <c r="A23" s="3">
        <v>2526</v>
      </c>
      <c r="B23" s="2">
        <v>8504</v>
      </c>
      <c r="C23" s="2" t="s">
        <v>22</v>
      </c>
      <c r="D23" s="2" t="s">
        <v>23</v>
      </c>
      <c r="E23" s="2" t="s">
        <v>21</v>
      </c>
      <c r="F23" s="2" t="s">
        <v>24</v>
      </c>
      <c r="G23" s="3">
        <v>88</v>
      </c>
      <c r="H23" s="4" t="s">
        <v>16</v>
      </c>
      <c r="I23" s="2">
        <v>2304</v>
      </c>
      <c r="J23" s="3">
        <v>3.7</v>
      </c>
      <c r="K23" s="3">
        <v>50.46</v>
      </c>
      <c r="L23" s="3">
        <v>67.790000000000006</v>
      </c>
      <c r="M23" s="3">
        <v>339.34</v>
      </c>
    </row>
    <row r="24" spans="1:13" ht="15.75" x14ac:dyDescent="0.25">
      <c r="A24" s="3">
        <v>2526</v>
      </c>
      <c r="B24" s="2">
        <v>8504</v>
      </c>
      <c r="C24" s="2" t="s">
        <v>22</v>
      </c>
      <c r="D24" s="2" t="s">
        <v>23</v>
      </c>
      <c r="E24" s="2" t="s">
        <v>21</v>
      </c>
      <c r="F24" s="2" t="s">
        <v>24</v>
      </c>
      <c r="G24" s="3">
        <v>60</v>
      </c>
      <c r="H24" s="4" t="s">
        <v>16</v>
      </c>
      <c r="I24" s="2">
        <v>2304</v>
      </c>
      <c r="J24" s="3">
        <v>1.1000000000000001</v>
      </c>
      <c r="K24" s="3">
        <v>29.4</v>
      </c>
      <c r="L24" s="3">
        <v>22.56</v>
      </c>
      <c r="M24" s="3">
        <v>1E-3</v>
      </c>
    </row>
    <row r="25" spans="1:13" ht="15.75" x14ac:dyDescent="0.25">
      <c r="A25" s="3">
        <v>2526</v>
      </c>
      <c r="B25" s="2">
        <v>8504</v>
      </c>
      <c r="C25" s="2" t="s">
        <v>22</v>
      </c>
      <c r="D25" s="2" t="s">
        <v>23</v>
      </c>
      <c r="E25" s="2" t="s">
        <v>21</v>
      </c>
      <c r="F25" s="2" t="s">
        <v>24</v>
      </c>
      <c r="G25" s="3">
        <v>0</v>
      </c>
      <c r="H25" s="4" t="s">
        <v>16</v>
      </c>
      <c r="I25" s="2">
        <v>2304</v>
      </c>
      <c r="J25" s="3">
        <v>1.07</v>
      </c>
      <c r="K25" s="3">
        <v>51.61</v>
      </c>
      <c r="L25" s="3">
        <v>33.24</v>
      </c>
      <c r="M25" s="3">
        <v>84.82</v>
      </c>
    </row>
    <row r="26" spans="1:13" ht="15.75" x14ac:dyDescent="0.25">
      <c r="A26" s="3">
        <v>2537</v>
      </c>
      <c r="B26" s="2">
        <v>7509</v>
      </c>
      <c r="C26" s="2" t="s">
        <v>22</v>
      </c>
      <c r="D26" s="2" t="s">
        <v>23</v>
      </c>
      <c r="E26" s="2" t="s">
        <v>21</v>
      </c>
      <c r="F26" s="2" t="s">
        <v>24</v>
      </c>
      <c r="G26" s="3">
        <v>14</v>
      </c>
      <c r="H26" s="4" t="s">
        <v>16</v>
      </c>
      <c r="I26" s="2">
        <v>2304</v>
      </c>
      <c r="J26" s="3">
        <v>2.94</v>
      </c>
      <c r="K26" s="3">
        <v>27.56</v>
      </c>
      <c r="L26" s="3">
        <v>30.75</v>
      </c>
      <c r="M26" s="3">
        <v>24.25</v>
      </c>
    </row>
    <row r="27" spans="1:13" ht="15.75" x14ac:dyDescent="0.25">
      <c r="A27" s="3">
        <v>2537</v>
      </c>
      <c r="B27" s="2">
        <v>7509</v>
      </c>
      <c r="C27" s="2" t="s">
        <v>22</v>
      </c>
      <c r="D27" s="2" t="s">
        <v>23</v>
      </c>
      <c r="E27" s="2" t="s">
        <v>21</v>
      </c>
      <c r="F27" s="2" t="s">
        <v>24</v>
      </c>
      <c r="G27" s="3">
        <v>88</v>
      </c>
      <c r="H27" s="4" t="s">
        <v>16</v>
      </c>
      <c r="I27" s="2">
        <v>2304</v>
      </c>
      <c r="J27" s="3">
        <v>0.44</v>
      </c>
      <c r="K27" s="3">
        <v>27.56</v>
      </c>
      <c r="L27" s="3">
        <v>48.96</v>
      </c>
      <c r="M27" s="3">
        <v>18</v>
      </c>
    </row>
    <row r="28" spans="1:13" ht="15.75" x14ac:dyDescent="0.25">
      <c r="A28" s="3">
        <v>2537</v>
      </c>
      <c r="B28" s="2">
        <v>7509</v>
      </c>
      <c r="C28" s="2" t="s">
        <v>22</v>
      </c>
      <c r="D28" s="2" t="s">
        <v>23</v>
      </c>
      <c r="E28" s="2" t="s">
        <v>21</v>
      </c>
      <c r="F28" s="2" t="s">
        <v>24</v>
      </c>
      <c r="G28" s="3">
        <v>60</v>
      </c>
      <c r="H28" s="4" t="s">
        <v>16</v>
      </c>
      <c r="I28" s="2">
        <v>2304</v>
      </c>
      <c r="J28" s="3">
        <v>6.07</v>
      </c>
      <c r="K28" s="3">
        <v>38.94</v>
      </c>
      <c r="L28" s="3">
        <v>39.549999999999997</v>
      </c>
      <c r="M28" s="3">
        <v>259.38</v>
      </c>
    </row>
    <row r="29" spans="1:13" ht="15.75" x14ac:dyDescent="0.25">
      <c r="A29" s="3">
        <v>2537</v>
      </c>
      <c r="B29" s="2">
        <v>7509</v>
      </c>
      <c r="C29" s="2" t="s">
        <v>22</v>
      </c>
      <c r="D29" s="2" t="s">
        <v>23</v>
      </c>
      <c r="E29" s="2" t="s">
        <v>21</v>
      </c>
      <c r="F29" s="2" t="s">
        <v>24</v>
      </c>
      <c r="G29" s="3">
        <v>0</v>
      </c>
      <c r="H29" s="4" t="s">
        <v>16</v>
      </c>
      <c r="I29" s="2">
        <v>2304</v>
      </c>
      <c r="J29" s="3">
        <v>2.11</v>
      </c>
      <c r="K29" s="3">
        <v>23.52</v>
      </c>
      <c r="L29" s="3">
        <v>31.78</v>
      </c>
      <c r="M29" s="3">
        <v>48.8</v>
      </c>
    </row>
    <row r="30" spans="1:13" ht="15.75" x14ac:dyDescent="0.25">
      <c r="A30" s="3">
        <v>2548</v>
      </c>
      <c r="B30" s="2">
        <v>615</v>
      </c>
      <c r="C30" s="2" t="s">
        <v>13</v>
      </c>
      <c r="D30" s="2" t="s">
        <v>14</v>
      </c>
      <c r="E30" s="2" t="s">
        <v>15</v>
      </c>
      <c r="F30" s="2" t="s">
        <v>15</v>
      </c>
      <c r="G30" s="3">
        <v>14</v>
      </c>
      <c r="H30" s="4" t="s">
        <v>16</v>
      </c>
      <c r="I30" s="2">
        <v>2304</v>
      </c>
      <c r="J30" s="3">
        <v>1.65</v>
      </c>
      <c r="K30" s="3">
        <v>15.12</v>
      </c>
      <c r="L30" s="3">
        <v>46.09</v>
      </c>
      <c r="M30" s="3">
        <v>135.09</v>
      </c>
    </row>
    <row r="31" spans="1:13" ht="15.75" x14ac:dyDescent="0.25">
      <c r="A31" s="3">
        <v>2548</v>
      </c>
      <c r="B31" s="2">
        <v>615</v>
      </c>
      <c r="C31" s="2" t="s">
        <v>13</v>
      </c>
      <c r="D31" s="2" t="s">
        <v>14</v>
      </c>
      <c r="E31" s="2" t="s">
        <v>15</v>
      </c>
      <c r="F31" s="2" t="s">
        <v>15</v>
      </c>
      <c r="G31" s="3">
        <v>88</v>
      </c>
      <c r="H31" s="4" t="s">
        <v>16</v>
      </c>
      <c r="I31" s="2">
        <v>2304</v>
      </c>
      <c r="J31" s="3">
        <v>0.59</v>
      </c>
      <c r="K31" s="3">
        <v>31.23</v>
      </c>
      <c r="L31" s="3">
        <v>233.38</v>
      </c>
      <c r="M31" s="3">
        <v>2414.77</v>
      </c>
    </row>
    <row r="32" spans="1:13" ht="15.75" x14ac:dyDescent="0.25">
      <c r="A32" s="3">
        <v>2548</v>
      </c>
      <c r="B32" s="2">
        <v>615</v>
      </c>
      <c r="C32" s="2" t="s">
        <v>13</v>
      </c>
      <c r="D32" s="2" t="s">
        <v>14</v>
      </c>
      <c r="E32" s="2" t="s">
        <v>15</v>
      </c>
      <c r="F32" s="2" t="s">
        <v>15</v>
      </c>
      <c r="G32" s="3">
        <v>60</v>
      </c>
      <c r="H32" s="4" t="s">
        <v>16</v>
      </c>
      <c r="I32" s="2">
        <v>2304</v>
      </c>
      <c r="J32" s="3">
        <v>1E-3</v>
      </c>
      <c r="K32" s="3">
        <v>15.12</v>
      </c>
      <c r="L32" s="3">
        <v>118.98</v>
      </c>
      <c r="M32" s="3">
        <v>939.22</v>
      </c>
    </row>
    <row r="33" spans="1:13" ht="15.75" x14ac:dyDescent="0.25">
      <c r="A33" s="3">
        <v>2548</v>
      </c>
      <c r="B33" s="2">
        <v>615</v>
      </c>
      <c r="C33" s="2" t="s">
        <v>13</v>
      </c>
      <c r="D33" s="2" t="s">
        <v>14</v>
      </c>
      <c r="E33" s="2" t="s">
        <v>15</v>
      </c>
      <c r="F33" s="2" t="s">
        <v>15</v>
      </c>
      <c r="G33" s="3">
        <v>0</v>
      </c>
      <c r="H33" s="4" t="s">
        <v>16</v>
      </c>
      <c r="I33" s="2">
        <v>2304</v>
      </c>
      <c r="J33" s="3">
        <v>1.1100000000000001</v>
      </c>
      <c r="K33" s="3">
        <v>1E-3</v>
      </c>
      <c r="L33" s="3">
        <v>85.53</v>
      </c>
      <c r="M33" s="3">
        <v>172.77</v>
      </c>
    </row>
    <row r="34" spans="1:13" ht="15.75" x14ac:dyDescent="0.25">
      <c r="A34" s="3">
        <v>2553</v>
      </c>
      <c r="B34" s="2">
        <v>3106</v>
      </c>
      <c r="C34" s="2" t="s">
        <v>19</v>
      </c>
      <c r="D34" s="2" t="s">
        <v>20</v>
      </c>
      <c r="E34" s="2" t="s">
        <v>21</v>
      </c>
      <c r="F34" s="2" t="s">
        <v>15</v>
      </c>
      <c r="G34" s="3">
        <v>14</v>
      </c>
      <c r="H34" s="4" t="s">
        <v>16</v>
      </c>
      <c r="I34" s="2">
        <v>2304</v>
      </c>
      <c r="J34" s="3">
        <v>1.85</v>
      </c>
      <c r="K34" s="3">
        <v>37.49</v>
      </c>
      <c r="L34" s="3">
        <v>53.94</v>
      </c>
      <c r="M34" s="3">
        <v>155.4</v>
      </c>
    </row>
    <row r="35" spans="1:13" ht="15.75" x14ac:dyDescent="0.25">
      <c r="A35" s="3">
        <v>2553</v>
      </c>
      <c r="B35" s="2">
        <v>3106</v>
      </c>
      <c r="C35" s="2" t="s">
        <v>19</v>
      </c>
      <c r="D35" s="2" t="s">
        <v>20</v>
      </c>
      <c r="E35" s="2" t="s">
        <v>21</v>
      </c>
      <c r="F35" s="2" t="s">
        <v>15</v>
      </c>
      <c r="G35" s="3">
        <v>88</v>
      </c>
      <c r="H35" s="4" t="s">
        <v>16</v>
      </c>
      <c r="I35" s="2">
        <v>2304</v>
      </c>
      <c r="J35" s="3">
        <v>3.16</v>
      </c>
      <c r="K35" s="3">
        <v>31.16</v>
      </c>
      <c r="L35" s="3">
        <v>141.91</v>
      </c>
      <c r="M35" s="3">
        <v>60.89</v>
      </c>
    </row>
    <row r="36" spans="1:13" ht="15.75" x14ac:dyDescent="0.25">
      <c r="A36" s="3">
        <v>2553</v>
      </c>
      <c r="B36" s="2">
        <v>3106</v>
      </c>
      <c r="C36" s="2" t="s">
        <v>19</v>
      </c>
      <c r="D36" s="2" t="s">
        <v>20</v>
      </c>
      <c r="E36" s="2" t="s">
        <v>21</v>
      </c>
      <c r="F36" s="2" t="s">
        <v>15</v>
      </c>
      <c r="G36" s="3">
        <v>60</v>
      </c>
      <c r="H36" s="4" t="s">
        <v>16</v>
      </c>
      <c r="I36" s="2">
        <v>2304</v>
      </c>
      <c r="J36" s="3">
        <v>1.56</v>
      </c>
      <c r="K36" s="3">
        <v>29.4</v>
      </c>
      <c r="L36" s="3">
        <v>30.33</v>
      </c>
      <c r="M36" s="3">
        <v>1E-3</v>
      </c>
    </row>
    <row r="37" spans="1:13" ht="15.75" x14ac:dyDescent="0.25">
      <c r="A37" s="3">
        <v>2553</v>
      </c>
      <c r="B37" s="2">
        <v>3106</v>
      </c>
      <c r="C37" s="2" t="s">
        <v>19</v>
      </c>
      <c r="D37" s="2" t="s">
        <v>20</v>
      </c>
      <c r="E37" s="2" t="s">
        <v>21</v>
      </c>
      <c r="F37" s="2" t="s">
        <v>15</v>
      </c>
      <c r="G37" s="3">
        <v>0</v>
      </c>
      <c r="H37" s="4" t="s">
        <v>16</v>
      </c>
      <c r="I37" s="2">
        <v>2304</v>
      </c>
      <c r="J37" s="3">
        <v>2.48</v>
      </c>
      <c r="K37" s="3">
        <v>29.4</v>
      </c>
      <c r="L37" s="3">
        <v>40.19</v>
      </c>
      <c r="M37" s="3">
        <v>1E-3</v>
      </c>
    </row>
    <row r="38" spans="1:13" ht="15.75" x14ac:dyDescent="0.25">
      <c r="A38" s="3">
        <v>2554</v>
      </c>
      <c r="B38" s="2">
        <v>1122</v>
      </c>
      <c r="C38" s="2" t="s">
        <v>25</v>
      </c>
      <c r="D38" s="2" t="s">
        <v>23</v>
      </c>
      <c r="E38" s="2" t="s">
        <v>21</v>
      </c>
      <c r="F38" s="2" t="s">
        <v>24</v>
      </c>
      <c r="G38" s="3">
        <v>14</v>
      </c>
      <c r="H38" s="4" t="s">
        <v>16</v>
      </c>
      <c r="I38" s="2">
        <v>2304</v>
      </c>
      <c r="J38" s="3">
        <v>1.88</v>
      </c>
      <c r="K38" s="3">
        <v>49.29</v>
      </c>
      <c r="L38" s="3">
        <v>70.900000000000006</v>
      </c>
      <c r="M38" s="3">
        <v>66.900000000000006</v>
      </c>
    </row>
    <row r="39" spans="1:13" ht="15.75" x14ac:dyDescent="0.25">
      <c r="A39" s="3">
        <v>2554</v>
      </c>
      <c r="B39" s="2">
        <v>1122</v>
      </c>
      <c r="C39" s="2" t="s">
        <v>25</v>
      </c>
      <c r="D39" s="2" t="s">
        <v>23</v>
      </c>
      <c r="E39" s="2" t="s">
        <v>21</v>
      </c>
      <c r="F39" s="2" t="s">
        <v>24</v>
      </c>
      <c r="G39" s="3">
        <v>88</v>
      </c>
      <c r="H39" s="4" t="s">
        <v>16</v>
      </c>
      <c r="I39" s="2">
        <v>2304</v>
      </c>
      <c r="J39" s="3">
        <v>0.82</v>
      </c>
      <c r="K39" s="3">
        <v>44.36</v>
      </c>
      <c r="L39" s="3">
        <v>112.8</v>
      </c>
      <c r="M39" s="3">
        <v>627.19000000000005</v>
      </c>
    </row>
    <row r="40" spans="1:13" ht="15.75" x14ac:dyDescent="0.25">
      <c r="A40" s="3">
        <v>2554</v>
      </c>
      <c r="B40" s="2">
        <v>1122</v>
      </c>
      <c r="C40" s="2" t="s">
        <v>25</v>
      </c>
      <c r="D40" s="2" t="s">
        <v>23</v>
      </c>
      <c r="E40" s="2" t="s">
        <v>21</v>
      </c>
      <c r="F40" s="2" t="s">
        <v>24</v>
      </c>
      <c r="G40" s="3">
        <v>60</v>
      </c>
      <c r="H40" s="4" t="s">
        <v>16</v>
      </c>
      <c r="I40" s="2">
        <v>2304</v>
      </c>
      <c r="J40" s="3">
        <v>2.04</v>
      </c>
      <c r="K40" s="3">
        <v>79.94</v>
      </c>
      <c r="L40" s="3">
        <v>55.68</v>
      </c>
      <c r="M40" s="3">
        <v>362.09</v>
      </c>
    </row>
    <row r="41" spans="1:13" ht="15.75" x14ac:dyDescent="0.25">
      <c r="A41" s="3">
        <v>2554</v>
      </c>
      <c r="B41" s="2">
        <v>1122</v>
      </c>
      <c r="C41" s="2" t="s">
        <v>25</v>
      </c>
      <c r="D41" s="2" t="s">
        <v>23</v>
      </c>
      <c r="E41" s="2" t="s">
        <v>21</v>
      </c>
      <c r="F41" s="2" t="s">
        <v>24</v>
      </c>
      <c r="G41" s="3">
        <v>0</v>
      </c>
      <c r="H41" s="4" t="s">
        <v>16</v>
      </c>
      <c r="I41" s="2">
        <v>2304</v>
      </c>
      <c r="J41" s="3">
        <v>1.56</v>
      </c>
      <c r="K41" s="3">
        <v>79.12</v>
      </c>
      <c r="L41" s="3">
        <v>67.34</v>
      </c>
      <c r="M41" s="3">
        <v>48.8</v>
      </c>
    </row>
    <row r="42" spans="1:13" ht="15.75" x14ac:dyDescent="0.25">
      <c r="A42" s="3">
        <v>2555</v>
      </c>
      <c r="B42" s="2">
        <v>6809</v>
      </c>
      <c r="C42" s="2" t="s">
        <v>26</v>
      </c>
      <c r="D42" s="2" t="s">
        <v>27</v>
      </c>
      <c r="E42" s="2" t="s">
        <v>15</v>
      </c>
      <c r="F42" s="2" t="s">
        <v>24</v>
      </c>
      <c r="G42" s="3">
        <v>14</v>
      </c>
      <c r="H42" s="4" t="s">
        <v>16</v>
      </c>
      <c r="I42" s="2">
        <v>2304</v>
      </c>
      <c r="J42" s="3">
        <v>1.74</v>
      </c>
      <c r="K42" s="3">
        <v>16.829999999999998</v>
      </c>
      <c r="L42" s="3">
        <v>74.400000000000006</v>
      </c>
      <c r="M42" s="3">
        <v>186.82</v>
      </c>
    </row>
    <row r="43" spans="1:13" ht="15.75" x14ac:dyDescent="0.25">
      <c r="A43" s="3">
        <v>2555</v>
      </c>
      <c r="B43" s="2">
        <v>6809</v>
      </c>
      <c r="C43" s="2" t="s">
        <v>26</v>
      </c>
      <c r="D43" s="2" t="s">
        <v>27</v>
      </c>
      <c r="E43" s="2" t="s">
        <v>15</v>
      </c>
      <c r="F43" s="2" t="s">
        <v>24</v>
      </c>
      <c r="G43" s="3">
        <v>88</v>
      </c>
      <c r="H43" s="4" t="s">
        <v>16</v>
      </c>
      <c r="I43" s="2">
        <v>2304</v>
      </c>
      <c r="J43" s="3">
        <v>2.68</v>
      </c>
      <c r="K43" s="3">
        <v>49.51</v>
      </c>
      <c r="L43" s="3">
        <v>149.07</v>
      </c>
      <c r="M43" s="3">
        <v>312.18</v>
      </c>
    </row>
    <row r="44" spans="1:13" ht="15.75" x14ac:dyDescent="0.25">
      <c r="A44" s="3">
        <v>2555</v>
      </c>
      <c r="B44" s="2">
        <v>6809</v>
      </c>
      <c r="C44" s="2" t="s">
        <v>26</v>
      </c>
      <c r="D44" s="2" t="s">
        <v>27</v>
      </c>
      <c r="E44" s="2" t="s">
        <v>15</v>
      </c>
      <c r="F44" s="2" t="s">
        <v>24</v>
      </c>
      <c r="G44" s="3">
        <v>60</v>
      </c>
      <c r="H44" s="4" t="s">
        <v>16</v>
      </c>
      <c r="I44" s="2">
        <v>2304</v>
      </c>
      <c r="J44" s="3">
        <v>0.96</v>
      </c>
      <c r="K44" s="3">
        <v>53.61</v>
      </c>
      <c r="L44" s="3">
        <v>32.81</v>
      </c>
      <c r="M44" s="3">
        <v>172.77</v>
      </c>
    </row>
    <row r="45" spans="1:13" ht="15.75" x14ac:dyDescent="0.25">
      <c r="A45" s="3">
        <v>2555</v>
      </c>
      <c r="B45" s="2">
        <v>6809</v>
      </c>
      <c r="C45" s="2" t="s">
        <v>26</v>
      </c>
      <c r="D45" s="2" t="s">
        <v>27</v>
      </c>
      <c r="E45" s="2" t="s">
        <v>15</v>
      </c>
      <c r="F45" s="2" t="s">
        <v>24</v>
      </c>
      <c r="G45" s="3">
        <v>0</v>
      </c>
      <c r="H45" s="4" t="s">
        <v>16</v>
      </c>
      <c r="I45" s="2">
        <v>2304</v>
      </c>
      <c r="J45" s="3">
        <v>2.3199999999999998</v>
      </c>
      <c r="K45" s="3">
        <v>27.28</v>
      </c>
      <c r="L45" s="3">
        <v>123.87</v>
      </c>
      <c r="M45" s="3">
        <v>1292.53</v>
      </c>
    </row>
    <row r="46" spans="1:13" ht="15.75" x14ac:dyDescent="0.25">
      <c r="A46" s="3">
        <v>2557</v>
      </c>
      <c r="B46" s="2">
        <v>2755</v>
      </c>
      <c r="C46" s="2" t="s">
        <v>25</v>
      </c>
      <c r="D46" s="2" t="s">
        <v>23</v>
      </c>
      <c r="E46" s="2" t="s">
        <v>21</v>
      </c>
      <c r="F46" s="2" t="s">
        <v>24</v>
      </c>
      <c r="G46" s="3">
        <v>14</v>
      </c>
      <c r="H46" s="4" t="s">
        <v>16</v>
      </c>
      <c r="I46" s="2">
        <v>2304</v>
      </c>
      <c r="J46" s="3">
        <v>6.7</v>
      </c>
      <c r="K46" s="3">
        <v>189.17</v>
      </c>
      <c r="L46" s="3">
        <v>121.65</v>
      </c>
      <c r="M46" s="3">
        <v>1671.11</v>
      </c>
    </row>
    <row r="47" spans="1:13" ht="15.75" x14ac:dyDescent="0.25">
      <c r="A47" s="3">
        <v>2557</v>
      </c>
      <c r="B47" s="2">
        <v>2755</v>
      </c>
      <c r="C47" s="2" t="s">
        <v>25</v>
      </c>
      <c r="D47" s="2" t="s">
        <v>23</v>
      </c>
      <c r="E47" s="2" t="s">
        <v>21</v>
      </c>
      <c r="F47" s="2" t="s">
        <v>24</v>
      </c>
      <c r="G47" s="3">
        <v>88</v>
      </c>
      <c r="H47" s="4" t="s">
        <v>16</v>
      </c>
      <c r="I47" s="2">
        <v>2304</v>
      </c>
      <c r="J47" s="3">
        <v>5.0999999999999996</v>
      </c>
      <c r="K47" s="3">
        <v>111.78</v>
      </c>
      <c r="L47" s="3">
        <v>189.54</v>
      </c>
      <c r="M47" s="3">
        <v>3310.44</v>
      </c>
    </row>
    <row r="48" spans="1:13" ht="15.75" x14ac:dyDescent="0.25">
      <c r="A48" s="3">
        <v>2557</v>
      </c>
      <c r="B48" s="2">
        <v>2755</v>
      </c>
      <c r="C48" s="2" t="s">
        <v>25</v>
      </c>
      <c r="D48" s="2" t="s">
        <v>23</v>
      </c>
      <c r="E48" s="2" t="s">
        <v>21</v>
      </c>
      <c r="F48" s="2" t="s">
        <v>24</v>
      </c>
      <c r="G48" s="3">
        <v>60</v>
      </c>
      <c r="H48" s="4" t="s">
        <v>16</v>
      </c>
      <c r="I48" s="2">
        <v>2304</v>
      </c>
      <c r="J48" s="3">
        <v>3.85</v>
      </c>
      <c r="K48" s="3">
        <v>117.36</v>
      </c>
      <c r="L48" s="3">
        <v>93</v>
      </c>
      <c r="M48" s="3">
        <v>1738.18</v>
      </c>
    </row>
    <row r="49" spans="1:13" ht="15.75" x14ac:dyDescent="0.25">
      <c r="A49" s="3">
        <v>2557</v>
      </c>
      <c r="B49" s="2">
        <v>2755</v>
      </c>
      <c r="C49" s="2" t="s">
        <v>25</v>
      </c>
      <c r="D49" s="2" t="s">
        <v>23</v>
      </c>
      <c r="E49" s="2" t="s">
        <v>21</v>
      </c>
      <c r="F49" s="2" t="s">
        <v>24</v>
      </c>
      <c r="G49" s="3">
        <v>0</v>
      </c>
      <c r="H49" s="4" t="s">
        <v>16</v>
      </c>
      <c r="I49" s="2">
        <v>2304</v>
      </c>
      <c r="J49" s="3">
        <v>1.69</v>
      </c>
      <c r="K49" s="3">
        <v>49.29</v>
      </c>
      <c r="L49" s="3">
        <v>47.23</v>
      </c>
      <c r="M49" s="3">
        <v>236.41</v>
      </c>
    </row>
    <row r="50" spans="1:13" ht="15.75" x14ac:dyDescent="0.25">
      <c r="A50" s="3">
        <v>2564</v>
      </c>
      <c r="B50" s="2">
        <v>7528</v>
      </c>
      <c r="C50" s="2" t="s">
        <v>28</v>
      </c>
      <c r="D50" s="2" t="s">
        <v>20</v>
      </c>
      <c r="E50" s="2" t="s">
        <v>21</v>
      </c>
      <c r="F50" s="2" t="s">
        <v>15</v>
      </c>
      <c r="G50" s="3">
        <v>14</v>
      </c>
      <c r="H50" s="4" t="s">
        <v>16</v>
      </c>
      <c r="I50" s="2">
        <v>2304</v>
      </c>
      <c r="J50" s="3">
        <v>6.97</v>
      </c>
      <c r="K50" s="3">
        <v>21.27</v>
      </c>
      <c r="L50" s="3">
        <v>45.52</v>
      </c>
      <c r="M50" s="3">
        <v>1E-3</v>
      </c>
    </row>
    <row r="51" spans="1:13" ht="15.75" x14ac:dyDescent="0.25">
      <c r="A51" s="3">
        <v>2564</v>
      </c>
      <c r="B51" s="2">
        <v>7528</v>
      </c>
      <c r="C51" s="2" t="s">
        <v>28</v>
      </c>
      <c r="D51" s="2" t="s">
        <v>20</v>
      </c>
      <c r="E51" s="2" t="s">
        <v>21</v>
      </c>
      <c r="F51" s="2" t="s">
        <v>15</v>
      </c>
      <c r="G51" s="3">
        <v>88</v>
      </c>
      <c r="H51" s="4" t="s">
        <v>16</v>
      </c>
      <c r="I51" s="2">
        <v>2304</v>
      </c>
      <c r="J51" s="3">
        <v>3.65</v>
      </c>
      <c r="K51" s="3">
        <v>32.83</v>
      </c>
      <c r="L51" s="3">
        <v>80.31</v>
      </c>
      <c r="M51" s="3">
        <v>1E-3</v>
      </c>
    </row>
    <row r="52" spans="1:13" ht="15.75" x14ac:dyDescent="0.25">
      <c r="A52" s="3">
        <v>2564</v>
      </c>
      <c r="B52" s="2">
        <v>7528</v>
      </c>
      <c r="C52" s="2" t="s">
        <v>28</v>
      </c>
      <c r="D52" s="2" t="s">
        <v>20</v>
      </c>
      <c r="E52" s="2" t="s">
        <v>21</v>
      </c>
      <c r="F52" s="2" t="s">
        <v>15</v>
      </c>
      <c r="G52" s="3">
        <v>60</v>
      </c>
      <c r="H52" s="4" t="s">
        <v>16</v>
      </c>
      <c r="I52" s="2">
        <v>2304</v>
      </c>
      <c r="J52" s="3">
        <v>1.69</v>
      </c>
      <c r="K52" s="3">
        <v>44.36</v>
      </c>
      <c r="L52" s="3">
        <v>29.5</v>
      </c>
      <c r="M52" s="3">
        <v>1E-3</v>
      </c>
    </row>
    <row r="53" spans="1:13" ht="15.75" x14ac:dyDescent="0.25">
      <c r="A53" s="3">
        <v>2564</v>
      </c>
      <c r="B53" s="2">
        <v>7528</v>
      </c>
      <c r="C53" s="2" t="s">
        <v>28</v>
      </c>
      <c r="D53" s="2" t="s">
        <v>20</v>
      </c>
      <c r="E53" s="2" t="s">
        <v>21</v>
      </c>
      <c r="F53" s="2" t="s">
        <v>15</v>
      </c>
      <c r="G53" s="3">
        <v>0</v>
      </c>
      <c r="H53" s="4" t="s">
        <v>16</v>
      </c>
      <c r="I53" s="2">
        <v>2304</v>
      </c>
      <c r="J53" s="3">
        <v>4.92</v>
      </c>
      <c r="K53" s="3">
        <v>23.52</v>
      </c>
      <c r="L53" s="3">
        <v>54.81</v>
      </c>
      <c r="M53" s="3">
        <v>1E-3</v>
      </c>
    </row>
    <row r="54" spans="1:13" ht="15.75" x14ac:dyDescent="0.25">
      <c r="A54" s="3">
        <v>2565</v>
      </c>
      <c r="B54" s="2">
        <v>4159</v>
      </c>
      <c r="C54" s="2" t="s">
        <v>29</v>
      </c>
      <c r="D54" s="2" t="s">
        <v>27</v>
      </c>
      <c r="E54" s="2" t="s">
        <v>15</v>
      </c>
      <c r="F54" s="2" t="s">
        <v>24</v>
      </c>
      <c r="G54" s="3">
        <v>14</v>
      </c>
      <c r="H54" s="4" t="s">
        <v>16</v>
      </c>
      <c r="I54" s="2">
        <v>2304</v>
      </c>
      <c r="J54" s="3">
        <v>5.33</v>
      </c>
      <c r="K54" s="3">
        <v>20.059999999999999</v>
      </c>
      <c r="L54" s="3">
        <v>160.08000000000001</v>
      </c>
      <c r="M54" s="3">
        <v>312.18</v>
      </c>
    </row>
    <row r="55" spans="1:13" ht="15.75" x14ac:dyDescent="0.25">
      <c r="A55" s="3">
        <v>2565</v>
      </c>
      <c r="B55" s="2">
        <v>4159</v>
      </c>
      <c r="C55" s="2" t="s">
        <v>29</v>
      </c>
      <c r="D55" s="2" t="s">
        <v>27</v>
      </c>
      <c r="E55" s="2" t="s">
        <v>15</v>
      </c>
      <c r="F55" s="2" t="s">
        <v>24</v>
      </c>
      <c r="G55" s="3">
        <v>88</v>
      </c>
      <c r="H55" s="4" t="s">
        <v>16</v>
      </c>
      <c r="I55" s="2">
        <v>2304</v>
      </c>
      <c r="J55" s="3">
        <v>4.91</v>
      </c>
      <c r="K55" s="3">
        <v>11.38</v>
      </c>
      <c r="L55" s="3">
        <v>138.09</v>
      </c>
      <c r="M55" s="3">
        <v>509.62</v>
      </c>
    </row>
    <row r="56" spans="1:13" ht="15.75" x14ac:dyDescent="0.25">
      <c r="A56" s="3">
        <v>2565</v>
      </c>
      <c r="B56" s="2">
        <v>4159</v>
      </c>
      <c r="C56" s="2" t="s">
        <v>29</v>
      </c>
      <c r="D56" s="2" t="s">
        <v>27</v>
      </c>
      <c r="E56" s="2" t="s">
        <v>15</v>
      </c>
      <c r="F56" s="2" t="s">
        <v>24</v>
      </c>
      <c r="G56" s="3">
        <v>60</v>
      </c>
      <c r="H56" s="4" t="s">
        <v>16</v>
      </c>
      <c r="I56" s="2">
        <v>2304</v>
      </c>
      <c r="J56" s="3">
        <v>2.87</v>
      </c>
      <c r="K56" s="3">
        <v>20.059999999999999</v>
      </c>
      <c r="L56" s="3">
        <v>68.37</v>
      </c>
      <c r="M56" s="3">
        <v>256.68</v>
      </c>
    </row>
    <row r="57" spans="1:13" ht="15.75" x14ac:dyDescent="0.25">
      <c r="A57" s="3">
        <v>2565</v>
      </c>
      <c r="B57" s="2">
        <v>4159</v>
      </c>
      <c r="C57" s="2" t="s">
        <v>29</v>
      </c>
      <c r="D57" s="2" t="s">
        <v>27</v>
      </c>
      <c r="E57" s="2" t="s">
        <v>15</v>
      </c>
      <c r="F57" s="2" t="s">
        <v>24</v>
      </c>
      <c r="G57" s="3">
        <v>0</v>
      </c>
      <c r="H57" s="4" t="s">
        <v>16</v>
      </c>
      <c r="I57" s="2">
        <v>2304</v>
      </c>
      <c r="J57" s="3">
        <v>3.14</v>
      </c>
      <c r="K57" s="3">
        <v>40.83</v>
      </c>
      <c r="L57" s="3">
        <v>89.01</v>
      </c>
      <c r="M57" s="3">
        <v>541.65</v>
      </c>
    </row>
    <row r="58" spans="1:13" ht="15.75" x14ac:dyDescent="0.25">
      <c r="A58" s="3">
        <v>2566</v>
      </c>
      <c r="B58" s="2">
        <v>9587</v>
      </c>
      <c r="C58" s="2" t="s">
        <v>30</v>
      </c>
      <c r="D58" s="2" t="s">
        <v>20</v>
      </c>
      <c r="E58" s="2" t="s">
        <v>21</v>
      </c>
      <c r="F58" s="2" t="s">
        <v>15</v>
      </c>
      <c r="G58" s="3">
        <v>14</v>
      </c>
      <c r="H58" s="4" t="s">
        <v>16</v>
      </c>
      <c r="I58" s="2">
        <v>2304</v>
      </c>
      <c r="J58" s="3">
        <v>2.15</v>
      </c>
      <c r="K58" s="3">
        <v>94.37</v>
      </c>
      <c r="L58" s="3">
        <v>43.59</v>
      </c>
      <c r="M58" s="3">
        <v>497.86</v>
      </c>
    </row>
    <row r="59" spans="1:13" ht="15.75" x14ac:dyDescent="0.25">
      <c r="A59" s="3">
        <v>2566</v>
      </c>
      <c r="B59" s="2">
        <v>9587</v>
      </c>
      <c r="C59" s="2" t="s">
        <v>30</v>
      </c>
      <c r="D59" s="2" t="s">
        <v>20</v>
      </c>
      <c r="E59" s="2" t="s">
        <v>21</v>
      </c>
      <c r="F59" s="2" t="s">
        <v>15</v>
      </c>
      <c r="G59" s="3">
        <v>88</v>
      </c>
      <c r="H59" s="4" t="s">
        <v>16</v>
      </c>
      <c r="I59" s="2">
        <v>2304</v>
      </c>
      <c r="J59" s="3">
        <v>2.41</v>
      </c>
      <c r="K59" s="3">
        <v>53.86</v>
      </c>
      <c r="L59" s="3">
        <v>49.82</v>
      </c>
      <c r="M59" s="3">
        <v>224.9</v>
      </c>
    </row>
    <row r="60" spans="1:13" ht="15.75" x14ac:dyDescent="0.25">
      <c r="A60" s="3">
        <v>2566</v>
      </c>
      <c r="B60" s="2">
        <v>9587</v>
      </c>
      <c r="C60" s="2" t="s">
        <v>30</v>
      </c>
      <c r="D60" s="2" t="s">
        <v>20</v>
      </c>
      <c r="E60" s="2" t="s">
        <v>21</v>
      </c>
      <c r="F60" s="2" t="s">
        <v>15</v>
      </c>
      <c r="G60" s="3">
        <v>60</v>
      </c>
      <c r="H60" s="4" t="s">
        <v>16</v>
      </c>
      <c r="I60" s="2">
        <v>2304</v>
      </c>
      <c r="J60" s="3">
        <v>2.04</v>
      </c>
      <c r="K60" s="3">
        <v>67.88</v>
      </c>
      <c r="L60" s="3">
        <v>83.47</v>
      </c>
      <c r="M60" s="3">
        <v>2304.84</v>
      </c>
    </row>
    <row r="61" spans="1:13" ht="15.75" x14ac:dyDescent="0.25">
      <c r="A61" s="3">
        <v>2566</v>
      </c>
      <c r="B61" s="2">
        <v>9587</v>
      </c>
      <c r="C61" s="2" t="s">
        <v>30</v>
      </c>
      <c r="D61" s="2" t="s">
        <v>20</v>
      </c>
      <c r="E61" s="2" t="s">
        <v>21</v>
      </c>
      <c r="F61" s="2" t="s">
        <v>15</v>
      </c>
      <c r="G61" s="3">
        <v>0</v>
      </c>
      <c r="H61" s="4" t="s">
        <v>16</v>
      </c>
      <c r="I61" s="2">
        <v>2304</v>
      </c>
      <c r="J61" s="3">
        <v>1.88</v>
      </c>
      <c r="K61" s="3">
        <v>92.2</v>
      </c>
      <c r="L61" s="3">
        <v>32.82</v>
      </c>
      <c r="M61" s="3">
        <v>201.82</v>
      </c>
    </row>
    <row r="62" spans="1:13" ht="15.75" x14ac:dyDescent="0.25">
      <c r="A62" s="3">
        <v>2568</v>
      </c>
      <c r="B62" s="2">
        <v>8572</v>
      </c>
      <c r="C62" s="2" t="s">
        <v>29</v>
      </c>
      <c r="D62" s="2" t="s">
        <v>27</v>
      </c>
      <c r="E62" s="2" t="s">
        <v>15</v>
      </c>
      <c r="F62" s="2" t="s">
        <v>24</v>
      </c>
      <c r="G62" s="3">
        <v>14</v>
      </c>
      <c r="H62" s="4" t="s">
        <v>16</v>
      </c>
      <c r="I62" s="2">
        <v>2304</v>
      </c>
      <c r="J62" s="3">
        <v>0.81</v>
      </c>
      <c r="K62" s="3">
        <v>9.3000000000000007</v>
      </c>
      <c r="L62" s="3">
        <v>66.510000000000005</v>
      </c>
      <c r="M62" s="3">
        <v>265.95</v>
      </c>
    </row>
    <row r="63" spans="1:13" ht="15.75" x14ac:dyDescent="0.25">
      <c r="A63" s="3">
        <v>2568</v>
      </c>
      <c r="B63" s="2">
        <v>8572</v>
      </c>
      <c r="C63" s="2" t="s">
        <v>29</v>
      </c>
      <c r="D63" s="2" t="s">
        <v>27</v>
      </c>
      <c r="E63" s="2" t="s">
        <v>15</v>
      </c>
      <c r="F63" s="2" t="s">
        <v>24</v>
      </c>
      <c r="G63" s="3">
        <v>88</v>
      </c>
      <c r="H63" s="4" t="s">
        <v>16</v>
      </c>
      <c r="I63" s="2">
        <v>2304</v>
      </c>
      <c r="J63" s="3">
        <v>2.2400000000000002</v>
      </c>
      <c r="K63" s="3">
        <v>53.61</v>
      </c>
      <c r="L63" s="3">
        <v>374.58</v>
      </c>
      <c r="M63" s="3">
        <v>1430.9</v>
      </c>
    </row>
    <row r="64" spans="1:13" ht="15.75" x14ac:dyDescent="0.25">
      <c r="A64" s="3">
        <v>2568</v>
      </c>
      <c r="B64" s="2">
        <v>8572</v>
      </c>
      <c r="C64" s="2" t="s">
        <v>29</v>
      </c>
      <c r="D64" s="2" t="s">
        <v>27</v>
      </c>
      <c r="E64" s="2" t="s">
        <v>15</v>
      </c>
      <c r="F64" s="2" t="s">
        <v>24</v>
      </c>
      <c r="G64" s="3">
        <v>60</v>
      </c>
      <c r="H64" s="4" t="s">
        <v>16</v>
      </c>
      <c r="I64" s="2">
        <v>2304</v>
      </c>
      <c r="J64" s="3">
        <v>4.0999999999999996</v>
      </c>
      <c r="K64" s="3">
        <v>16.829999999999998</v>
      </c>
      <c r="L64" s="3">
        <v>44.23</v>
      </c>
      <c r="M64" s="3">
        <v>321.41000000000003</v>
      </c>
    </row>
    <row r="65" spans="1:13" ht="15.75" x14ac:dyDescent="0.25">
      <c r="A65" s="3">
        <v>2568</v>
      </c>
      <c r="B65" s="2">
        <v>8572</v>
      </c>
      <c r="C65" s="2" t="s">
        <v>29</v>
      </c>
      <c r="D65" s="2" t="s">
        <v>27</v>
      </c>
      <c r="E65" s="2" t="s">
        <v>15</v>
      </c>
      <c r="F65" s="2" t="s">
        <v>24</v>
      </c>
      <c r="G65" s="3">
        <v>0</v>
      </c>
      <c r="H65" s="4" t="s">
        <v>16</v>
      </c>
      <c r="I65" s="2">
        <v>2304</v>
      </c>
      <c r="J65" s="3">
        <v>1E-3</v>
      </c>
      <c r="K65" s="3">
        <v>28.62</v>
      </c>
      <c r="L65" s="3">
        <v>77.180000000000007</v>
      </c>
      <c r="M65" s="3">
        <v>312.18</v>
      </c>
    </row>
    <row r="66" spans="1:13" ht="15.75" x14ac:dyDescent="0.25">
      <c r="A66" s="3">
        <v>2569</v>
      </c>
      <c r="B66" s="2">
        <v>6798</v>
      </c>
      <c r="C66" s="2" t="s">
        <v>29</v>
      </c>
      <c r="D66" s="2" t="s">
        <v>27</v>
      </c>
      <c r="E66" s="2" t="s">
        <v>15</v>
      </c>
      <c r="F66" s="2" t="s">
        <v>24</v>
      </c>
      <c r="G66" s="3">
        <v>14</v>
      </c>
      <c r="H66" s="4" t="s">
        <v>16</v>
      </c>
      <c r="I66" s="2">
        <v>2304</v>
      </c>
      <c r="J66" s="3">
        <v>6.31</v>
      </c>
      <c r="K66" s="3">
        <v>33.74</v>
      </c>
      <c r="L66" s="3">
        <v>53.29</v>
      </c>
      <c r="M66" s="3">
        <v>450.09</v>
      </c>
    </row>
    <row r="67" spans="1:13" ht="15.75" x14ac:dyDescent="0.25">
      <c r="A67" s="3">
        <v>2569</v>
      </c>
      <c r="B67" s="2">
        <v>6798</v>
      </c>
      <c r="C67" s="2" t="s">
        <v>29</v>
      </c>
      <c r="D67" s="2" t="s">
        <v>27</v>
      </c>
      <c r="E67" s="2" t="s">
        <v>15</v>
      </c>
      <c r="F67" s="2" t="s">
        <v>24</v>
      </c>
      <c r="G67" s="3">
        <v>88</v>
      </c>
      <c r="H67" s="4" t="s">
        <v>16</v>
      </c>
      <c r="I67" s="2">
        <v>2304</v>
      </c>
      <c r="J67" s="3">
        <v>10.72</v>
      </c>
      <c r="K67" s="3">
        <v>43.07</v>
      </c>
      <c r="L67" s="3">
        <v>197.75</v>
      </c>
      <c r="M67" s="3">
        <v>1905.18</v>
      </c>
    </row>
    <row r="68" spans="1:13" ht="15.75" x14ac:dyDescent="0.25">
      <c r="A68" s="3">
        <v>2569</v>
      </c>
      <c r="B68" s="2">
        <v>6798</v>
      </c>
      <c r="C68" s="2" t="s">
        <v>29</v>
      </c>
      <c r="D68" s="2" t="s">
        <v>27</v>
      </c>
      <c r="E68" s="2" t="s">
        <v>15</v>
      </c>
      <c r="F68" s="2" t="s">
        <v>24</v>
      </c>
      <c r="G68" s="3">
        <v>60</v>
      </c>
      <c r="H68" s="4" t="s">
        <v>16</v>
      </c>
      <c r="I68" s="2">
        <v>2304</v>
      </c>
      <c r="J68" s="3">
        <v>2.8</v>
      </c>
      <c r="K68" s="3">
        <v>25.91</v>
      </c>
      <c r="L68" s="3">
        <v>46.55</v>
      </c>
      <c r="M68" s="3">
        <v>678.74</v>
      </c>
    </row>
    <row r="69" spans="1:13" ht="15.75" x14ac:dyDescent="0.25">
      <c r="A69" s="3">
        <v>2569</v>
      </c>
      <c r="B69" s="2">
        <v>6798</v>
      </c>
      <c r="C69" s="2" t="s">
        <v>29</v>
      </c>
      <c r="D69" s="2" t="s">
        <v>27</v>
      </c>
      <c r="E69" s="2" t="s">
        <v>15</v>
      </c>
      <c r="F69" s="2" t="s">
        <v>24</v>
      </c>
      <c r="G69" s="3">
        <v>0</v>
      </c>
      <c r="H69" s="4" t="s">
        <v>16</v>
      </c>
      <c r="I69" s="2">
        <v>2304</v>
      </c>
      <c r="J69" s="3">
        <v>3.03</v>
      </c>
      <c r="K69" s="3">
        <v>43.07</v>
      </c>
      <c r="L69" s="3">
        <v>51.9</v>
      </c>
      <c r="M69" s="3">
        <v>687.87</v>
      </c>
    </row>
    <row r="70" spans="1:13" ht="15.75" x14ac:dyDescent="0.25">
      <c r="A70" s="3">
        <v>2571</v>
      </c>
      <c r="B70" s="2">
        <v>6740</v>
      </c>
      <c r="C70" s="2" t="s">
        <v>29</v>
      </c>
      <c r="D70" s="2" t="s">
        <v>27</v>
      </c>
      <c r="E70" s="2" t="s">
        <v>15</v>
      </c>
      <c r="F70" s="2" t="s">
        <v>24</v>
      </c>
      <c r="G70" s="3">
        <v>14</v>
      </c>
      <c r="H70" s="4" t="s">
        <v>16</v>
      </c>
      <c r="I70" s="2">
        <v>2304</v>
      </c>
      <c r="J70" s="3">
        <v>14.35</v>
      </c>
      <c r="K70" s="3">
        <v>9.3000000000000007</v>
      </c>
      <c r="L70" s="3">
        <v>78.8</v>
      </c>
      <c r="M70" s="3">
        <v>106.6</v>
      </c>
    </row>
    <row r="71" spans="1:13" ht="15.75" x14ac:dyDescent="0.25">
      <c r="A71" s="3">
        <v>2571</v>
      </c>
      <c r="B71" s="2">
        <v>6740</v>
      </c>
      <c r="C71" s="2" t="s">
        <v>29</v>
      </c>
      <c r="D71" s="2" t="s">
        <v>27</v>
      </c>
      <c r="E71" s="2" t="s">
        <v>15</v>
      </c>
      <c r="F71" s="2" t="s">
        <v>24</v>
      </c>
      <c r="G71" s="3">
        <v>88</v>
      </c>
      <c r="H71" s="4" t="s">
        <v>16</v>
      </c>
      <c r="I71" s="2">
        <v>2304</v>
      </c>
      <c r="J71" s="3">
        <v>4.9800000000000004</v>
      </c>
      <c r="K71" s="3">
        <v>50.55</v>
      </c>
      <c r="L71" s="3">
        <v>256.36</v>
      </c>
      <c r="M71" s="3">
        <v>1737.06</v>
      </c>
    </row>
    <row r="72" spans="1:13" ht="15.75" x14ac:dyDescent="0.25">
      <c r="A72" s="3">
        <v>2571</v>
      </c>
      <c r="B72" s="2">
        <v>6740</v>
      </c>
      <c r="C72" s="2" t="s">
        <v>29</v>
      </c>
      <c r="D72" s="2" t="s">
        <v>27</v>
      </c>
      <c r="E72" s="2" t="s">
        <v>15</v>
      </c>
      <c r="F72" s="2" t="s">
        <v>24</v>
      </c>
      <c r="G72" s="3">
        <v>60</v>
      </c>
      <c r="H72" s="4" t="s">
        <v>16</v>
      </c>
      <c r="I72" s="2">
        <v>2304</v>
      </c>
      <c r="J72" s="3">
        <v>4.3899999999999997</v>
      </c>
      <c r="K72" s="3">
        <v>16.829999999999998</v>
      </c>
      <c r="L72" s="3">
        <v>55.84</v>
      </c>
      <c r="M72" s="3">
        <v>362.86</v>
      </c>
    </row>
    <row r="73" spans="1:13" ht="15.75" x14ac:dyDescent="0.25">
      <c r="A73" s="3">
        <v>2571</v>
      </c>
      <c r="B73" s="2">
        <v>6740</v>
      </c>
      <c r="C73" s="2" t="s">
        <v>29</v>
      </c>
      <c r="D73" s="2" t="s">
        <v>27</v>
      </c>
      <c r="E73" s="2" t="s">
        <v>15</v>
      </c>
      <c r="F73" s="2" t="s">
        <v>24</v>
      </c>
      <c r="G73" s="3">
        <v>0</v>
      </c>
      <c r="H73" s="4" t="s">
        <v>16</v>
      </c>
      <c r="I73" s="2">
        <v>2304</v>
      </c>
      <c r="J73" s="3">
        <v>6.24</v>
      </c>
      <c r="K73" s="3">
        <v>4.25</v>
      </c>
      <c r="L73" s="3">
        <v>50.5</v>
      </c>
      <c r="M73" s="3">
        <v>210.18</v>
      </c>
    </row>
    <row r="74" spans="1:13" ht="15.75" x14ac:dyDescent="0.25">
      <c r="A74" s="3">
        <v>2572</v>
      </c>
      <c r="B74" s="2">
        <v>8552</v>
      </c>
      <c r="C74" s="2" t="s">
        <v>18</v>
      </c>
      <c r="D74" s="2" t="s">
        <v>14</v>
      </c>
      <c r="E74" s="2" t="s">
        <v>15</v>
      </c>
      <c r="F74" s="2" t="s">
        <v>15</v>
      </c>
      <c r="G74" s="3">
        <v>14</v>
      </c>
      <c r="H74" s="4" t="s">
        <v>16</v>
      </c>
      <c r="I74" s="2">
        <v>2304</v>
      </c>
      <c r="J74" s="3">
        <v>2.59</v>
      </c>
      <c r="K74" s="3">
        <v>79.52</v>
      </c>
      <c r="L74" s="3">
        <v>76.16</v>
      </c>
      <c r="M74" s="3">
        <v>481.66</v>
      </c>
    </row>
    <row r="75" spans="1:13" ht="15.75" x14ac:dyDescent="0.25">
      <c r="A75" s="3">
        <v>2572</v>
      </c>
      <c r="B75" s="2">
        <v>8552</v>
      </c>
      <c r="C75" s="2" t="s">
        <v>18</v>
      </c>
      <c r="D75" s="2" t="s">
        <v>14</v>
      </c>
      <c r="E75" s="2" t="s">
        <v>15</v>
      </c>
      <c r="F75" s="2" t="s">
        <v>15</v>
      </c>
      <c r="G75" s="3">
        <v>88</v>
      </c>
      <c r="H75" s="4" t="s">
        <v>16</v>
      </c>
      <c r="I75" s="2">
        <v>2304</v>
      </c>
      <c r="J75" s="3">
        <v>5.45</v>
      </c>
      <c r="K75" s="3">
        <v>62.6</v>
      </c>
      <c r="L75" s="3">
        <v>155.63</v>
      </c>
      <c r="M75" s="3">
        <v>545.14</v>
      </c>
    </row>
    <row r="76" spans="1:13" ht="15.75" x14ac:dyDescent="0.25">
      <c r="A76" s="3">
        <v>2572</v>
      </c>
      <c r="B76" s="2">
        <v>8552</v>
      </c>
      <c r="C76" s="2" t="s">
        <v>18</v>
      </c>
      <c r="D76" s="2" t="s">
        <v>14</v>
      </c>
      <c r="E76" s="2" t="s">
        <v>15</v>
      </c>
      <c r="F76" s="2" t="s">
        <v>15</v>
      </c>
      <c r="G76" s="3">
        <v>60</v>
      </c>
      <c r="H76" s="4" t="s">
        <v>16</v>
      </c>
      <c r="I76" s="2">
        <v>2304</v>
      </c>
      <c r="J76" s="3">
        <v>3.14</v>
      </c>
      <c r="K76" s="3">
        <v>114</v>
      </c>
      <c r="L76" s="3">
        <v>49.26</v>
      </c>
      <c r="M76" s="3">
        <v>449.8</v>
      </c>
    </row>
    <row r="77" spans="1:13" ht="15.75" x14ac:dyDescent="0.25">
      <c r="A77" s="3">
        <v>2572</v>
      </c>
      <c r="B77" s="2">
        <v>8552</v>
      </c>
      <c r="C77" s="2" t="s">
        <v>18</v>
      </c>
      <c r="D77" s="2" t="s">
        <v>14</v>
      </c>
      <c r="E77" s="2" t="s">
        <v>15</v>
      </c>
      <c r="F77" s="2" t="s">
        <v>15</v>
      </c>
      <c r="G77" s="3">
        <v>0</v>
      </c>
      <c r="H77" s="4" t="s">
        <v>16</v>
      </c>
      <c r="I77" s="2">
        <v>2304</v>
      </c>
      <c r="J77" s="3">
        <v>2.15</v>
      </c>
      <c r="K77" s="3">
        <v>31.98</v>
      </c>
      <c r="L77" s="3">
        <v>76.459999999999994</v>
      </c>
      <c r="M77" s="3">
        <v>321.42</v>
      </c>
    </row>
    <row r="78" spans="1:13" ht="15.75" x14ac:dyDescent="0.25">
      <c r="A78" s="3">
        <v>2575</v>
      </c>
      <c r="B78" s="2">
        <v>566</v>
      </c>
      <c r="C78" s="2" t="s">
        <v>30</v>
      </c>
      <c r="D78" s="2" t="s">
        <v>20</v>
      </c>
      <c r="E78" s="2" t="s">
        <v>21</v>
      </c>
      <c r="F78" s="2" t="s">
        <v>15</v>
      </c>
      <c r="G78" s="3">
        <v>14</v>
      </c>
      <c r="H78" s="4" t="s">
        <v>16</v>
      </c>
      <c r="I78" s="2">
        <v>2304</v>
      </c>
      <c r="J78" s="3">
        <v>1.69</v>
      </c>
      <c r="K78" s="3">
        <v>8.6300000000000008</v>
      </c>
      <c r="L78" s="3">
        <v>24.58</v>
      </c>
      <c r="M78" s="3">
        <v>48.8</v>
      </c>
    </row>
    <row r="79" spans="1:13" ht="15.75" x14ac:dyDescent="0.25">
      <c r="A79" s="3">
        <v>2575</v>
      </c>
      <c r="B79" s="2">
        <v>566</v>
      </c>
      <c r="C79" s="2" t="s">
        <v>30</v>
      </c>
      <c r="D79" s="2" t="s">
        <v>20</v>
      </c>
      <c r="E79" s="2" t="s">
        <v>21</v>
      </c>
      <c r="F79" s="2" t="s">
        <v>15</v>
      </c>
      <c r="G79" s="3">
        <v>88</v>
      </c>
      <c r="H79" s="4" t="s">
        <v>16</v>
      </c>
      <c r="I79" s="2">
        <v>2304</v>
      </c>
      <c r="J79" s="3">
        <v>5.6</v>
      </c>
      <c r="K79" s="3">
        <v>32.49</v>
      </c>
      <c r="L79" s="3">
        <v>164.77</v>
      </c>
      <c r="M79" s="3">
        <v>1737.06</v>
      </c>
    </row>
    <row r="80" spans="1:13" ht="15.75" x14ac:dyDescent="0.25">
      <c r="A80" s="3">
        <v>2575</v>
      </c>
      <c r="B80" s="2">
        <v>566</v>
      </c>
      <c r="C80" s="2" t="s">
        <v>30</v>
      </c>
      <c r="D80" s="2" t="s">
        <v>20</v>
      </c>
      <c r="E80" s="2" t="s">
        <v>21</v>
      </c>
      <c r="F80" s="2" t="s">
        <v>15</v>
      </c>
      <c r="G80" s="3">
        <v>60</v>
      </c>
      <c r="H80" s="4" t="s">
        <v>16</v>
      </c>
      <c r="I80" s="2">
        <v>2304</v>
      </c>
      <c r="J80" s="3">
        <v>0.91</v>
      </c>
      <c r="K80" s="3">
        <v>25.91</v>
      </c>
      <c r="L80" s="3">
        <v>35.840000000000003</v>
      </c>
      <c r="M80" s="3">
        <v>385.85</v>
      </c>
    </row>
    <row r="81" spans="1:13" ht="15.75" x14ac:dyDescent="0.25">
      <c r="A81" s="3">
        <v>2575</v>
      </c>
      <c r="B81" s="2">
        <v>566</v>
      </c>
      <c r="C81" s="2" t="s">
        <v>30</v>
      </c>
      <c r="D81" s="2" t="s">
        <v>20</v>
      </c>
      <c r="E81" s="2" t="s">
        <v>21</v>
      </c>
      <c r="F81" s="2" t="s">
        <v>15</v>
      </c>
      <c r="G81" s="3">
        <v>0</v>
      </c>
      <c r="H81" s="4" t="s">
        <v>16</v>
      </c>
      <c r="I81" s="2">
        <v>2304</v>
      </c>
      <c r="J81" s="3">
        <v>1.81</v>
      </c>
      <c r="K81" s="3">
        <v>21.27</v>
      </c>
      <c r="L81" s="3">
        <v>58.31</v>
      </c>
      <c r="M81" s="3">
        <v>305.14999999999998</v>
      </c>
    </row>
    <row r="82" spans="1:13" ht="15.75" x14ac:dyDescent="0.25">
      <c r="A82" s="3">
        <v>2578</v>
      </c>
      <c r="B82" s="2">
        <v>5663</v>
      </c>
      <c r="C82" s="2" t="s">
        <v>26</v>
      </c>
      <c r="D82" s="2" t="s">
        <v>27</v>
      </c>
      <c r="E82" s="2" t="s">
        <v>15</v>
      </c>
      <c r="F82" s="2" t="s">
        <v>24</v>
      </c>
      <c r="G82" s="3">
        <v>14</v>
      </c>
      <c r="H82" s="4" t="s">
        <v>16</v>
      </c>
      <c r="I82" s="2">
        <v>2304</v>
      </c>
      <c r="J82" s="3">
        <v>3.81</v>
      </c>
      <c r="K82" s="3">
        <v>15.12</v>
      </c>
      <c r="L82" s="3">
        <v>66.510000000000005</v>
      </c>
      <c r="M82" s="3">
        <v>468.42</v>
      </c>
    </row>
    <row r="83" spans="1:13" ht="15.75" x14ac:dyDescent="0.25">
      <c r="A83" s="3">
        <v>2578</v>
      </c>
      <c r="B83" s="2">
        <v>5663</v>
      </c>
      <c r="C83" s="2" t="s">
        <v>26</v>
      </c>
      <c r="D83" s="2" t="s">
        <v>27</v>
      </c>
      <c r="E83" s="2" t="s">
        <v>15</v>
      </c>
      <c r="F83" s="2" t="s">
        <v>24</v>
      </c>
      <c r="G83" s="3">
        <v>88</v>
      </c>
      <c r="H83" s="4" t="s">
        <v>16</v>
      </c>
      <c r="I83" s="2">
        <v>2304</v>
      </c>
      <c r="J83" s="3">
        <v>2.3199999999999998</v>
      </c>
      <c r="K83" s="3">
        <v>62.36</v>
      </c>
      <c r="L83" s="3">
        <v>140.88999999999999</v>
      </c>
      <c r="M83" s="3">
        <v>587.36</v>
      </c>
    </row>
    <row r="84" spans="1:13" ht="15.75" x14ac:dyDescent="0.25">
      <c r="A84" s="3">
        <v>2578</v>
      </c>
      <c r="B84" s="2">
        <v>5663</v>
      </c>
      <c r="C84" s="2" t="s">
        <v>26</v>
      </c>
      <c r="D84" s="2" t="s">
        <v>27</v>
      </c>
      <c r="E84" s="2" t="s">
        <v>15</v>
      </c>
      <c r="F84" s="2" t="s">
        <v>24</v>
      </c>
      <c r="G84" s="3">
        <v>60</v>
      </c>
      <c r="H84" s="4" t="s">
        <v>16</v>
      </c>
      <c r="I84" s="2">
        <v>2304</v>
      </c>
      <c r="J84" s="3">
        <v>1.91</v>
      </c>
      <c r="K84" s="3">
        <v>11.38</v>
      </c>
      <c r="L84" s="3">
        <v>75.790000000000006</v>
      </c>
      <c r="M84" s="3">
        <v>550.79</v>
      </c>
    </row>
    <row r="85" spans="1:13" ht="15.75" x14ac:dyDescent="0.25">
      <c r="A85" s="3">
        <v>2578</v>
      </c>
      <c r="B85" s="2">
        <v>5663</v>
      </c>
      <c r="C85" s="2" t="s">
        <v>26</v>
      </c>
      <c r="D85" s="2" t="s">
        <v>27</v>
      </c>
      <c r="E85" s="2" t="s">
        <v>15</v>
      </c>
      <c r="F85" s="2" t="s">
        <v>24</v>
      </c>
      <c r="G85" s="3">
        <v>0</v>
      </c>
      <c r="H85" s="4" t="s">
        <v>16</v>
      </c>
      <c r="I85" s="2">
        <v>2304</v>
      </c>
      <c r="J85" s="3">
        <v>6.04</v>
      </c>
      <c r="K85" s="3">
        <v>1E-3</v>
      </c>
      <c r="L85" s="3">
        <v>73.47</v>
      </c>
      <c r="M85" s="3">
        <v>573.65</v>
      </c>
    </row>
    <row r="86" spans="1:13" ht="15.75" x14ac:dyDescent="0.25">
      <c r="A86" s="3">
        <v>2581</v>
      </c>
      <c r="B86" s="2">
        <v>5642</v>
      </c>
      <c r="C86" s="2" t="s">
        <v>22</v>
      </c>
      <c r="D86" s="2" t="s">
        <v>23</v>
      </c>
      <c r="E86" s="2" t="s">
        <v>21</v>
      </c>
      <c r="F86" s="2" t="s">
        <v>24</v>
      </c>
      <c r="G86" s="3">
        <v>14</v>
      </c>
      <c r="H86" s="4" t="s">
        <v>16</v>
      </c>
      <c r="I86" s="2">
        <v>2304</v>
      </c>
      <c r="J86" s="3">
        <v>1.07</v>
      </c>
      <c r="K86" s="3">
        <v>44.36</v>
      </c>
      <c r="L86" s="3">
        <v>73.349999999999994</v>
      </c>
      <c r="M86" s="3">
        <v>1E-3</v>
      </c>
    </row>
    <row r="87" spans="1:13" ht="15.75" x14ac:dyDescent="0.25">
      <c r="A87" s="3">
        <v>2581</v>
      </c>
      <c r="B87" s="2">
        <v>5642</v>
      </c>
      <c r="C87" s="2" t="s">
        <v>22</v>
      </c>
      <c r="D87" s="2" t="s">
        <v>23</v>
      </c>
      <c r="E87" s="2" t="s">
        <v>21</v>
      </c>
      <c r="F87" s="2" t="s">
        <v>24</v>
      </c>
      <c r="G87" s="3">
        <v>88</v>
      </c>
      <c r="H87" s="4" t="s">
        <v>16</v>
      </c>
      <c r="I87" s="2">
        <v>2304</v>
      </c>
      <c r="J87" s="3">
        <v>1.92</v>
      </c>
      <c r="K87" s="3">
        <v>41.72</v>
      </c>
      <c r="L87" s="3">
        <v>87.09</v>
      </c>
      <c r="M87" s="3">
        <v>1E-3</v>
      </c>
    </row>
    <row r="88" spans="1:13" ht="15.75" x14ac:dyDescent="0.25">
      <c r="A88" s="3">
        <v>2581</v>
      </c>
      <c r="B88" s="2">
        <v>5642</v>
      </c>
      <c r="C88" s="2" t="s">
        <v>22</v>
      </c>
      <c r="D88" s="2" t="s">
        <v>23</v>
      </c>
      <c r="E88" s="2" t="s">
        <v>21</v>
      </c>
      <c r="F88" s="2" t="s">
        <v>24</v>
      </c>
      <c r="G88" s="3">
        <v>60</v>
      </c>
      <c r="H88" s="4" t="s">
        <v>16</v>
      </c>
      <c r="I88" s="2">
        <v>2304</v>
      </c>
      <c r="J88" s="3">
        <v>1.6</v>
      </c>
      <c r="K88" s="3">
        <v>34.44</v>
      </c>
      <c r="L88" s="3">
        <v>28.68</v>
      </c>
      <c r="M88" s="3">
        <v>1E-3</v>
      </c>
    </row>
    <row r="89" spans="1:13" ht="15.75" x14ac:dyDescent="0.25">
      <c r="A89" s="3">
        <v>2581</v>
      </c>
      <c r="B89" s="2">
        <v>5642</v>
      </c>
      <c r="C89" s="2" t="s">
        <v>22</v>
      </c>
      <c r="D89" s="2" t="s">
        <v>23</v>
      </c>
      <c r="E89" s="2" t="s">
        <v>21</v>
      </c>
      <c r="F89" s="2" t="s">
        <v>24</v>
      </c>
      <c r="G89" s="3">
        <v>0</v>
      </c>
      <c r="H89" s="4" t="s">
        <v>16</v>
      </c>
      <c r="I89" s="2">
        <v>2304</v>
      </c>
      <c r="J89" s="3">
        <v>1.51</v>
      </c>
      <c r="K89" s="3">
        <v>34.44</v>
      </c>
      <c r="L89" s="3">
        <v>69.56</v>
      </c>
      <c r="M89" s="3">
        <v>441.41</v>
      </c>
    </row>
    <row r="90" spans="1:13" ht="15.75" x14ac:dyDescent="0.25">
      <c r="A90" s="3">
        <v>2590</v>
      </c>
      <c r="B90" s="2">
        <v>542</v>
      </c>
      <c r="C90" s="2" t="s">
        <v>30</v>
      </c>
      <c r="D90" s="2" t="s">
        <v>20</v>
      </c>
      <c r="E90" s="2" t="s">
        <v>21</v>
      </c>
      <c r="F90" s="2" t="s">
        <v>15</v>
      </c>
      <c r="G90" s="3">
        <v>14</v>
      </c>
      <c r="H90" s="4" t="s">
        <v>16</v>
      </c>
      <c r="I90" s="2">
        <v>2304</v>
      </c>
      <c r="J90" s="3">
        <v>2.08</v>
      </c>
      <c r="K90" s="3">
        <v>32.49</v>
      </c>
      <c r="L90" s="3">
        <v>47.48</v>
      </c>
      <c r="M90" s="3">
        <v>998.71</v>
      </c>
    </row>
    <row r="91" spans="1:13" ht="15.75" x14ac:dyDescent="0.25">
      <c r="A91" s="3">
        <v>2590</v>
      </c>
      <c r="B91" s="2">
        <v>542</v>
      </c>
      <c r="C91" s="2" t="s">
        <v>30</v>
      </c>
      <c r="D91" s="2" t="s">
        <v>20</v>
      </c>
      <c r="E91" s="2" t="s">
        <v>21</v>
      </c>
      <c r="F91" s="2" t="s">
        <v>15</v>
      </c>
      <c r="G91" s="3">
        <v>88</v>
      </c>
      <c r="H91" s="4" t="s">
        <v>16</v>
      </c>
      <c r="I91" s="2">
        <v>2304</v>
      </c>
      <c r="J91" s="3">
        <v>5.36</v>
      </c>
      <c r="K91" s="3">
        <v>28.62</v>
      </c>
      <c r="L91" s="3">
        <v>210.54</v>
      </c>
      <c r="M91" s="3">
        <v>3872.13</v>
      </c>
    </row>
    <row r="92" spans="1:13" ht="15.75" x14ac:dyDescent="0.25">
      <c r="A92" s="3">
        <v>2590</v>
      </c>
      <c r="B92" s="2">
        <v>542</v>
      </c>
      <c r="C92" s="2" t="s">
        <v>30</v>
      </c>
      <c r="D92" s="2" t="s">
        <v>20</v>
      </c>
      <c r="E92" s="2" t="s">
        <v>21</v>
      </c>
      <c r="F92" s="2" t="s">
        <v>15</v>
      </c>
      <c r="G92" s="3">
        <v>60</v>
      </c>
      <c r="H92" s="4" t="s">
        <v>16</v>
      </c>
      <c r="I92" s="2">
        <v>2304</v>
      </c>
      <c r="J92" s="3">
        <v>4.0599999999999996</v>
      </c>
      <c r="K92" s="3">
        <v>38.53</v>
      </c>
      <c r="L92" s="3">
        <v>68.83</v>
      </c>
      <c r="M92" s="3">
        <v>1755.7</v>
      </c>
    </row>
    <row r="93" spans="1:13" ht="15.75" x14ac:dyDescent="0.25">
      <c r="A93" s="3">
        <v>2590</v>
      </c>
      <c r="B93" s="2">
        <v>542</v>
      </c>
      <c r="C93" s="2" t="s">
        <v>30</v>
      </c>
      <c r="D93" s="2" t="s">
        <v>20</v>
      </c>
      <c r="E93" s="2" t="s">
        <v>21</v>
      </c>
      <c r="F93" s="2" t="s">
        <v>15</v>
      </c>
      <c r="G93" s="3">
        <v>0</v>
      </c>
      <c r="H93" s="4" t="s">
        <v>16</v>
      </c>
      <c r="I93" s="2">
        <v>2304</v>
      </c>
      <c r="J93" s="3">
        <v>2.04</v>
      </c>
      <c r="K93" s="3">
        <v>25.91</v>
      </c>
      <c r="L93" s="3">
        <v>52.13</v>
      </c>
      <c r="M93" s="3">
        <v>1375.5</v>
      </c>
    </row>
    <row r="94" spans="1:13" ht="15.75" x14ac:dyDescent="0.25">
      <c r="A94" s="3">
        <v>2591</v>
      </c>
      <c r="B94" s="2">
        <v>3230</v>
      </c>
      <c r="C94" s="2" t="s">
        <v>26</v>
      </c>
      <c r="D94" s="2" t="s">
        <v>27</v>
      </c>
      <c r="E94" s="2" t="s">
        <v>15</v>
      </c>
      <c r="F94" s="2" t="s">
        <v>24</v>
      </c>
      <c r="G94" s="3">
        <v>14</v>
      </c>
      <c r="H94" s="4" t="s">
        <v>16</v>
      </c>
      <c r="I94" s="2">
        <v>2304</v>
      </c>
      <c r="J94" s="3">
        <v>7.66</v>
      </c>
      <c r="K94" s="3">
        <v>38.53</v>
      </c>
      <c r="L94" s="3">
        <v>53.52</v>
      </c>
      <c r="M94" s="3">
        <v>413.4</v>
      </c>
    </row>
    <row r="95" spans="1:13" ht="15.75" x14ac:dyDescent="0.25">
      <c r="A95" s="3">
        <v>2591</v>
      </c>
      <c r="B95" s="2">
        <v>3230</v>
      </c>
      <c r="C95" s="2" t="s">
        <v>26</v>
      </c>
      <c r="D95" s="2" t="s">
        <v>27</v>
      </c>
      <c r="E95" s="2" t="s">
        <v>15</v>
      </c>
      <c r="F95" s="2" t="s">
        <v>24</v>
      </c>
      <c r="G95" s="3">
        <v>88</v>
      </c>
      <c r="H95" s="4" t="s">
        <v>16</v>
      </c>
      <c r="I95" s="2">
        <v>2304</v>
      </c>
      <c r="J95" s="3">
        <v>6.28</v>
      </c>
      <c r="K95" s="3">
        <v>37.36</v>
      </c>
      <c r="L95" s="3">
        <v>359.7</v>
      </c>
      <c r="M95" s="3">
        <v>4042.55</v>
      </c>
    </row>
    <row r="96" spans="1:13" ht="15.75" x14ac:dyDescent="0.25">
      <c r="A96" s="3">
        <v>2591</v>
      </c>
      <c r="B96" s="2">
        <v>3230</v>
      </c>
      <c r="C96" s="2" t="s">
        <v>26</v>
      </c>
      <c r="D96" s="2" t="s">
        <v>27</v>
      </c>
      <c r="E96" s="2" t="s">
        <v>15</v>
      </c>
      <c r="F96" s="2" t="s">
        <v>24</v>
      </c>
      <c r="G96" s="3">
        <v>60</v>
      </c>
      <c r="H96" s="4" t="s">
        <v>16</v>
      </c>
      <c r="I96" s="2">
        <v>2304</v>
      </c>
      <c r="J96" s="3">
        <v>5.12</v>
      </c>
      <c r="K96" s="3">
        <v>74.13</v>
      </c>
      <c r="L96" s="3">
        <v>59.32</v>
      </c>
      <c r="M96" s="3">
        <v>911.77</v>
      </c>
    </row>
    <row r="97" spans="1:13" ht="15.75" x14ac:dyDescent="0.25">
      <c r="A97" s="3">
        <v>2591</v>
      </c>
      <c r="B97" s="2">
        <v>3230</v>
      </c>
      <c r="C97" s="2" t="s">
        <v>26</v>
      </c>
      <c r="D97" s="2" t="s">
        <v>27</v>
      </c>
      <c r="E97" s="2" t="s">
        <v>15</v>
      </c>
      <c r="F97" s="2" t="s">
        <v>24</v>
      </c>
      <c r="G97" s="3">
        <v>0</v>
      </c>
      <c r="H97" s="4" t="s">
        <v>16</v>
      </c>
      <c r="I97" s="2">
        <v>2304</v>
      </c>
      <c r="J97" s="3">
        <v>6.01</v>
      </c>
      <c r="K97" s="3">
        <v>20.059999999999999</v>
      </c>
      <c r="L97" s="3">
        <v>48.18</v>
      </c>
      <c r="M97" s="3">
        <v>289.08999999999997</v>
      </c>
    </row>
    <row r="98" spans="1:13" ht="15.75" x14ac:dyDescent="0.25">
      <c r="A98" s="3">
        <v>2595</v>
      </c>
      <c r="B98" s="2">
        <v>1615</v>
      </c>
      <c r="C98" s="2" t="s">
        <v>30</v>
      </c>
      <c r="D98" s="2" t="s">
        <v>20</v>
      </c>
      <c r="E98" s="2" t="s">
        <v>21</v>
      </c>
      <c r="F98" s="2" t="s">
        <v>15</v>
      </c>
      <c r="G98" s="3">
        <v>14</v>
      </c>
      <c r="H98" s="4" t="s">
        <v>16</v>
      </c>
      <c r="I98" s="2">
        <v>2304</v>
      </c>
      <c r="J98" s="3">
        <v>4.5599999999999996</v>
      </c>
      <c r="K98" s="3">
        <v>60.47</v>
      </c>
      <c r="L98" s="3">
        <v>81.819999999999993</v>
      </c>
      <c r="M98" s="3">
        <v>330.63</v>
      </c>
    </row>
    <row r="99" spans="1:13" ht="15.75" x14ac:dyDescent="0.25">
      <c r="A99" s="3">
        <v>2595</v>
      </c>
      <c r="B99" s="2">
        <v>1615</v>
      </c>
      <c r="C99" s="2" t="s">
        <v>30</v>
      </c>
      <c r="D99" s="2" t="s">
        <v>20</v>
      </c>
      <c r="E99" s="2" t="s">
        <v>21</v>
      </c>
      <c r="F99" s="2" t="s">
        <v>15</v>
      </c>
      <c r="G99" s="3">
        <v>88</v>
      </c>
      <c r="H99" s="4" t="s">
        <v>16</v>
      </c>
      <c r="I99" s="2">
        <v>2304</v>
      </c>
      <c r="J99" s="3">
        <v>6.41</v>
      </c>
      <c r="K99" s="3">
        <v>67</v>
      </c>
      <c r="L99" s="3">
        <v>188.54</v>
      </c>
      <c r="M99" s="3">
        <v>265.95</v>
      </c>
    </row>
    <row r="100" spans="1:13" ht="15.75" x14ac:dyDescent="0.25">
      <c r="A100" s="3">
        <v>2595</v>
      </c>
      <c r="B100" s="2">
        <v>1615</v>
      </c>
      <c r="C100" s="2" t="s">
        <v>30</v>
      </c>
      <c r="D100" s="2" t="s">
        <v>20</v>
      </c>
      <c r="E100" s="2" t="s">
        <v>21</v>
      </c>
      <c r="F100" s="2" t="s">
        <v>15</v>
      </c>
      <c r="G100" s="3">
        <v>60</v>
      </c>
      <c r="H100" s="4" t="s">
        <v>16</v>
      </c>
      <c r="I100" s="2">
        <v>2304</v>
      </c>
      <c r="J100" s="3">
        <v>5.33</v>
      </c>
      <c r="K100" s="3">
        <v>64.23</v>
      </c>
      <c r="L100" s="3">
        <v>582.57000000000005</v>
      </c>
      <c r="M100" s="3">
        <v>321.41000000000003</v>
      </c>
    </row>
    <row r="101" spans="1:13" ht="15.75" x14ac:dyDescent="0.25">
      <c r="A101" s="3">
        <v>2595</v>
      </c>
      <c r="B101" s="2">
        <v>1615</v>
      </c>
      <c r="C101" s="2" t="s">
        <v>30</v>
      </c>
      <c r="D101" s="2" t="s">
        <v>20</v>
      </c>
      <c r="E101" s="2" t="s">
        <v>21</v>
      </c>
      <c r="F101" s="2" t="s">
        <v>15</v>
      </c>
      <c r="G101" s="3">
        <v>0</v>
      </c>
      <c r="H101" s="4" t="s">
        <v>16</v>
      </c>
      <c r="I101" s="2">
        <v>2304</v>
      </c>
      <c r="J101" s="3">
        <v>3.52</v>
      </c>
      <c r="K101" s="3">
        <v>193.81</v>
      </c>
      <c r="L101" s="3">
        <v>121.07</v>
      </c>
      <c r="M101" s="3">
        <v>728.98</v>
      </c>
    </row>
    <row r="102" spans="1:13" ht="15.75" x14ac:dyDescent="0.25">
      <c r="A102" s="3">
        <v>2598</v>
      </c>
      <c r="B102" s="2">
        <v>4040</v>
      </c>
      <c r="C102" s="2" t="s">
        <v>28</v>
      </c>
      <c r="D102" s="2" t="s">
        <v>20</v>
      </c>
      <c r="E102" s="2" t="s">
        <v>21</v>
      </c>
      <c r="F102" s="2" t="s">
        <v>15</v>
      </c>
      <c r="G102" s="3">
        <v>14</v>
      </c>
      <c r="H102" s="4" t="s">
        <v>16</v>
      </c>
      <c r="I102" s="2">
        <v>2304</v>
      </c>
      <c r="J102" s="3">
        <v>2.3199999999999998</v>
      </c>
      <c r="K102" s="3">
        <v>25.91</v>
      </c>
      <c r="L102" s="3">
        <v>129.22</v>
      </c>
      <c r="M102" s="3">
        <v>1430.9</v>
      </c>
    </row>
    <row r="103" spans="1:13" ht="15.75" x14ac:dyDescent="0.25">
      <c r="A103" s="3">
        <v>2598</v>
      </c>
      <c r="B103" s="2">
        <v>4040</v>
      </c>
      <c r="C103" s="2" t="s">
        <v>28</v>
      </c>
      <c r="D103" s="2" t="s">
        <v>20</v>
      </c>
      <c r="E103" s="2" t="s">
        <v>21</v>
      </c>
      <c r="F103" s="2" t="s">
        <v>15</v>
      </c>
      <c r="G103" s="3">
        <v>88</v>
      </c>
      <c r="H103" s="4" t="s">
        <v>16</v>
      </c>
      <c r="I103" s="2">
        <v>2304</v>
      </c>
      <c r="J103" s="3">
        <v>5.91</v>
      </c>
      <c r="K103" s="3">
        <v>9.3000000000000007</v>
      </c>
      <c r="L103" s="3">
        <v>115.72</v>
      </c>
      <c r="M103" s="3">
        <v>427.17</v>
      </c>
    </row>
    <row r="104" spans="1:13" ht="15.75" x14ac:dyDescent="0.25">
      <c r="A104" s="3">
        <v>2598</v>
      </c>
      <c r="B104" s="2">
        <v>4040</v>
      </c>
      <c r="C104" s="2" t="s">
        <v>28</v>
      </c>
      <c r="D104" s="2" t="s">
        <v>20</v>
      </c>
      <c r="E104" s="2" t="s">
        <v>21</v>
      </c>
      <c r="F104" s="2" t="s">
        <v>15</v>
      </c>
      <c r="G104" s="3">
        <v>60</v>
      </c>
      <c r="H104" s="4" t="s">
        <v>16</v>
      </c>
      <c r="I104" s="2">
        <v>2304</v>
      </c>
      <c r="J104" s="3">
        <v>2.56</v>
      </c>
      <c r="K104" s="3">
        <v>1E-3</v>
      </c>
      <c r="L104" s="3">
        <v>36.770000000000003</v>
      </c>
      <c r="M104" s="3">
        <v>385.85</v>
      </c>
    </row>
    <row r="105" spans="1:13" ht="15.75" x14ac:dyDescent="0.25">
      <c r="A105" s="3">
        <v>2598</v>
      </c>
      <c r="B105" s="2">
        <v>4040</v>
      </c>
      <c r="C105" s="2" t="s">
        <v>28</v>
      </c>
      <c r="D105" s="2" t="s">
        <v>20</v>
      </c>
      <c r="E105" s="2" t="s">
        <v>21</v>
      </c>
      <c r="F105" s="2" t="s">
        <v>15</v>
      </c>
      <c r="G105" s="3">
        <v>0</v>
      </c>
      <c r="H105" s="4" t="s">
        <v>16</v>
      </c>
      <c r="I105" s="2">
        <v>2304</v>
      </c>
      <c r="J105" s="3">
        <v>2.16</v>
      </c>
      <c r="K105" s="3">
        <v>18.48</v>
      </c>
      <c r="L105" s="3">
        <v>71.150000000000006</v>
      </c>
      <c r="M105" s="3">
        <v>219.5</v>
      </c>
    </row>
    <row r="106" spans="1:13" ht="15.75" x14ac:dyDescent="0.25">
      <c r="A106" s="2">
        <v>3503</v>
      </c>
      <c r="B106" s="2">
        <v>1584</v>
      </c>
      <c r="C106" s="2" t="s">
        <v>18</v>
      </c>
      <c r="D106" s="2" t="s">
        <v>14</v>
      </c>
      <c r="E106" s="2" t="s">
        <v>15</v>
      </c>
      <c r="F106" s="2" t="s">
        <v>15</v>
      </c>
      <c r="G106" s="2">
        <v>0</v>
      </c>
      <c r="H106" s="4" t="s">
        <v>16</v>
      </c>
      <c r="I106" s="2">
        <v>2404</v>
      </c>
      <c r="J106" s="2">
        <v>10.050000000000001</v>
      </c>
      <c r="K106" s="5">
        <v>1E-3</v>
      </c>
      <c r="L106" s="2">
        <v>125.18</v>
      </c>
      <c r="M106" s="2">
        <v>358.76</v>
      </c>
    </row>
    <row r="107" spans="1:13" ht="15.75" x14ac:dyDescent="0.25">
      <c r="A107" s="2">
        <v>3503</v>
      </c>
      <c r="B107" s="2">
        <v>1584</v>
      </c>
      <c r="C107" s="2" t="s">
        <v>18</v>
      </c>
      <c r="D107" s="2" t="s">
        <v>14</v>
      </c>
      <c r="E107" s="2" t="s">
        <v>15</v>
      </c>
      <c r="F107" s="2" t="s">
        <v>15</v>
      </c>
      <c r="G107" s="2">
        <v>14</v>
      </c>
      <c r="H107" s="4" t="s">
        <v>16</v>
      </c>
      <c r="I107" s="2">
        <v>2404</v>
      </c>
      <c r="J107" s="2">
        <v>5.12</v>
      </c>
      <c r="K107" s="5">
        <v>1E-3</v>
      </c>
      <c r="L107" s="2">
        <v>118.09</v>
      </c>
      <c r="M107" s="2">
        <v>475.64</v>
      </c>
    </row>
    <row r="108" spans="1:13" ht="15.75" x14ac:dyDescent="0.25">
      <c r="A108" s="2">
        <v>3503</v>
      </c>
      <c r="B108" s="2">
        <v>1584</v>
      </c>
      <c r="C108" s="2" t="s">
        <v>18</v>
      </c>
      <c r="D108" s="2" t="s">
        <v>14</v>
      </c>
      <c r="E108" s="2" t="s">
        <v>15</v>
      </c>
      <c r="F108" s="2" t="s">
        <v>15</v>
      </c>
      <c r="G108" s="2">
        <v>60</v>
      </c>
      <c r="H108" s="4" t="s">
        <v>16</v>
      </c>
      <c r="I108" s="2">
        <v>2404</v>
      </c>
      <c r="J108" s="2">
        <v>6.14</v>
      </c>
      <c r="K108" s="5">
        <v>1E-3</v>
      </c>
      <c r="L108" s="2">
        <v>131.28</v>
      </c>
      <c r="M108" s="2">
        <v>327.02999999999997</v>
      </c>
    </row>
    <row r="109" spans="1:13" ht="15.75" x14ac:dyDescent="0.25">
      <c r="A109" s="2">
        <v>3503</v>
      </c>
      <c r="B109" s="2">
        <v>1584</v>
      </c>
      <c r="C109" s="2" t="s">
        <v>18</v>
      </c>
      <c r="D109" s="2" t="s">
        <v>14</v>
      </c>
      <c r="E109" s="2" t="s">
        <v>15</v>
      </c>
      <c r="F109" s="2" t="s">
        <v>15</v>
      </c>
      <c r="G109" s="2">
        <v>88</v>
      </c>
      <c r="H109" s="4" t="s">
        <v>16</v>
      </c>
      <c r="I109" s="2">
        <v>2404</v>
      </c>
      <c r="J109" s="2">
        <v>8.35</v>
      </c>
      <c r="K109" s="2">
        <v>17.48</v>
      </c>
      <c r="L109" s="2">
        <v>1024.9000000000001</v>
      </c>
      <c r="M109" s="2">
        <v>7339.41</v>
      </c>
    </row>
    <row r="110" spans="1:13" ht="15.75" x14ac:dyDescent="0.25">
      <c r="A110" s="2">
        <v>3505</v>
      </c>
      <c r="B110" s="2">
        <v>1555</v>
      </c>
      <c r="C110" s="2" t="s">
        <v>30</v>
      </c>
      <c r="D110" s="2" t="s">
        <v>20</v>
      </c>
      <c r="E110" s="2" t="s">
        <v>21</v>
      </c>
      <c r="F110" s="2" t="s">
        <v>15</v>
      </c>
      <c r="G110" s="2">
        <v>0</v>
      </c>
      <c r="H110" s="4" t="s">
        <v>16</v>
      </c>
      <c r="I110" s="2">
        <v>2404</v>
      </c>
      <c r="J110" s="2">
        <v>10.01</v>
      </c>
      <c r="K110" s="2">
        <v>49.87</v>
      </c>
      <c r="L110" s="2">
        <v>404.44</v>
      </c>
      <c r="M110" s="2">
        <v>2509.5300000000002</v>
      </c>
    </row>
    <row r="111" spans="1:13" ht="15.75" x14ac:dyDescent="0.25">
      <c r="A111" s="2">
        <v>3505</v>
      </c>
      <c r="B111" s="2">
        <v>1555</v>
      </c>
      <c r="C111" s="2" t="s">
        <v>30</v>
      </c>
      <c r="D111" s="2" t="s">
        <v>20</v>
      </c>
      <c r="E111" s="2" t="s">
        <v>21</v>
      </c>
      <c r="F111" s="2" t="s">
        <v>15</v>
      </c>
      <c r="G111" s="2">
        <v>14</v>
      </c>
      <c r="H111" s="4" t="s">
        <v>16</v>
      </c>
      <c r="I111" s="2">
        <v>2404</v>
      </c>
      <c r="J111" s="2">
        <v>6.8</v>
      </c>
      <c r="K111" s="2">
        <v>20.93</v>
      </c>
      <c r="L111" s="2">
        <v>197.89</v>
      </c>
      <c r="M111" s="2">
        <v>657.81</v>
      </c>
    </row>
    <row r="112" spans="1:13" ht="15.75" x14ac:dyDescent="0.25">
      <c r="A112" s="2">
        <v>3505</v>
      </c>
      <c r="B112" s="2">
        <v>1555</v>
      </c>
      <c r="C112" s="2" t="s">
        <v>30</v>
      </c>
      <c r="D112" s="2" t="s">
        <v>20</v>
      </c>
      <c r="E112" s="2" t="s">
        <v>21</v>
      </c>
      <c r="F112" s="2" t="s">
        <v>15</v>
      </c>
      <c r="G112" s="2">
        <v>60</v>
      </c>
      <c r="H112" s="4" t="s">
        <v>16</v>
      </c>
      <c r="I112" s="2">
        <v>2404</v>
      </c>
      <c r="J112" s="2">
        <v>52.3</v>
      </c>
      <c r="K112" s="2">
        <v>254.97</v>
      </c>
      <c r="L112" s="2">
        <v>642.37</v>
      </c>
      <c r="M112" s="2">
        <v>5895.68</v>
      </c>
    </row>
    <row r="113" spans="1:13" ht="15.75" x14ac:dyDescent="0.25">
      <c r="A113" s="2">
        <v>3505</v>
      </c>
      <c r="B113" s="2">
        <v>1555</v>
      </c>
      <c r="C113" s="2" t="s">
        <v>30</v>
      </c>
      <c r="D113" s="2" t="s">
        <v>20</v>
      </c>
      <c r="E113" s="2" t="s">
        <v>21</v>
      </c>
      <c r="F113" s="2" t="s">
        <v>15</v>
      </c>
      <c r="G113" s="2">
        <v>88</v>
      </c>
      <c r="H113" s="4" t="s">
        <v>16</v>
      </c>
      <c r="I113" s="2">
        <v>2404</v>
      </c>
      <c r="J113" s="2">
        <v>3.95</v>
      </c>
      <c r="K113" s="5">
        <v>1E-3</v>
      </c>
      <c r="L113" s="2">
        <v>154.30000000000001</v>
      </c>
      <c r="M113" s="2">
        <v>214.78</v>
      </c>
    </row>
    <row r="114" spans="1:13" ht="15.75" x14ac:dyDescent="0.25">
      <c r="A114" s="2">
        <v>3509</v>
      </c>
      <c r="B114" s="2">
        <v>1602</v>
      </c>
      <c r="C114" s="2" t="s">
        <v>31</v>
      </c>
      <c r="D114" s="2" t="s">
        <v>20</v>
      </c>
      <c r="E114" s="2" t="s">
        <v>21</v>
      </c>
      <c r="F114" s="2" t="s">
        <v>15</v>
      </c>
      <c r="G114" s="2">
        <v>0</v>
      </c>
      <c r="H114" s="4" t="s">
        <v>16</v>
      </c>
      <c r="I114" s="2">
        <v>2404</v>
      </c>
      <c r="J114" s="2">
        <v>15.04</v>
      </c>
      <c r="K114" s="2">
        <v>51.81</v>
      </c>
      <c r="L114" s="2">
        <v>166.16</v>
      </c>
      <c r="M114" s="2">
        <v>504.1</v>
      </c>
    </row>
    <row r="115" spans="1:13" ht="15.75" x14ac:dyDescent="0.25">
      <c r="A115" s="2">
        <v>3509</v>
      </c>
      <c r="B115" s="2">
        <v>1602</v>
      </c>
      <c r="C115" s="2" t="s">
        <v>31</v>
      </c>
      <c r="D115" s="2" t="s">
        <v>20</v>
      </c>
      <c r="E115" s="2" t="s">
        <v>21</v>
      </c>
      <c r="F115" s="2" t="s">
        <v>15</v>
      </c>
      <c r="G115" s="2">
        <v>14</v>
      </c>
      <c r="H115" s="4" t="s">
        <v>16</v>
      </c>
      <c r="I115" s="2">
        <v>2404</v>
      </c>
      <c r="J115" s="2">
        <v>20.91</v>
      </c>
      <c r="K115" s="2">
        <v>13.56</v>
      </c>
      <c r="L115" s="2">
        <v>159.44999999999999</v>
      </c>
      <c r="M115" s="2">
        <v>440.14</v>
      </c>
    </row>
    <row r="116" spans="1:13" ht="15.75" x14ac:dyDescent="0.25">
      <c r="A116" s="2">
        <v>3509</v>
      </c>
      <c r="B116" s="2">
        <v>1602</v>
      </c>
      <c r="C116" s="2" t="s">
        <v>31</v>
      </c>
      <c r="D116" s="2" t="s">
        <v>20</v>
      </c>
      <c r="E116" s="2" t="s">
        <v>21</v>
      </c>
      <c r="F116" s="2" t="s">
        <v>15</v>
      </c>
      <c r="G116" s="2">
        <v>60</v>
      </c>
      <c r="H116" s="4" t="s">
        <v>16</v>
      </c>
      <c r="I116" s="2">
        <v>2404</v>
      </c>
      <c r="J116" s="2">
        <v>15.19</v>
      </c>
      <c r="K116" s="2">
        <v>24.07</v>
      </c>
      <c r="L116" s="2">
        <v>149.66999999999999</v>
      </c>
      <c r="M116" s="2">
        <v>675.76</v>
      </c>
    </row>
    <row r="117" spans="1:13" ht="15.75" x14ac:dyDescent="0.25">
      <c r="A117" s="2">
        <v>3509</v>
      </c>
      <c r="B117" s="2">
        <v>1602</v>
      </c>
      <c r="C117" s="2" t="s">
        <v>31</v>
      </c>
      <c r="D117" s="2" t="s">
        <v>20</v>
      </c>
      <c r="E117" s="2" t="s">
        <v>21</v>
      </c>
      <c r="F117" s="2" t="s">
        <v>15</v>
      </c>
      <c r="G117" s="2">
        <v>88</v>
      </c>
      <c r="H117" s="4" t="s">
        <v>16</v>
      </c>
      <c r="I117" s="2">
        <v>2404</v>
      </c>
      <c r="J117" s="2">
        <v>26.67</v>
      </c>
      <c r="K117" s="5">
        <v>1E-3</v>
      </c>
      <c r="L117" s="2">
        <v>364.75</v>
      </c>
      <c r="M117" s="2">
        <v>228.76</v>
      </c>
    </row>
    <row r="118" spans="1:13" ht="15.75" x14ac:dyDescent="0.25">
      <c r="A118" s="2">
        <v>3511</v>
      </c>
      <c r="B118" s="2">
        <v>1506</v>
      </c>
      <c r="C118" s="2" t="s">
        <v>17</v>
      </c>
      <c r="D118" s="2" t="s">
        <v>14</v>
      </c>
      <c r="E118" s="2" t="s">
        <v>15</v>
      </c>
      <c r="F118" s="2" t="s">
        <v>15</v>
      </c>
      <c r="G118" s="2">
        <v>0</v>
      </c>
      <c r="H118" s="4" t="s">
        <v>16</v>
      </c>
      <c r="I118" s="2">
        <v>2404</v>
      </c>
      <c r="J118" s="2">
        <v>1.74</v>
      </c>
      <c r="K118" s="2">
        <v>1E-3</v>
      </c>
      <c r="L118" s="2">
        <v>177.71</v>
      </c>
      <c r="M118" s="2">
        <v>946.01</v>
      </c>
    </row>
    <row r="119" spans="1:13" ht="15.75" x14ac:dyDescent="0.25">
      <c r="A119" s="2">
        <v>3511</v>
      </c>
      <c r="B119" s="2">
        <v>1506</v>
      </c>
      <c r="C119" s="2" t="s">
        <v>17</v>
      </c>
      <c r="D119" s="2" t="s">
        <v>14</v>
      </c>
      <c r="E119" s="2" t="s">
        <v>15</v>
      </c>
      <c r="F119" s="2" t="s">
        <v>15</v>
      </c>
      <c r="G119" s="2">
        <v>14</v>
      </c>
      <c r="H119" s="4" t="s">
        <v>16</v>
      </c>
      <c r="I119" s="2">
        <v>2404</v>
      </c>
      <c r="J119" s="2">
        <v>1.64</v>
      </c>
      <c r="K119" s="2">
        <v>1E-3</v>
      </c>
      <c r="L119" s="2">
        <v>129.03</v>
      </c>
      <c r="M119" s="2">
        <v>661.68</v>
      </c>
    </row>
    <row r="120" spans="1:13" ht="15.75" x14ac:dyDescent="0.25">
      <c r="A120" s="2">
        <v>3511</v>
      </c>
      <c r="B120" s="2">
        <v>1506</v>
      </c>
      <c r="C120" s="2" t="s">
        <v>17</v>
      </c>
      <c r="D120" s="2" t="s">
        <v>14</v>
      </c>
      <c r="E120" s="2" t="s">
        <v>15</v>
      </c>
      <c r="F120" s="2" t="s">
        <v>15</v>
      </c>
      <c r="G120" s="2">
        <v>60</v>
      </c>
      <c r="H120" s="4" t="s">
        <v>16</v>
      </c>
      <c r="I120" s="2">
        <v>2404</v>
      </c>
      <c r="J120" s="2">
        <v>5.45</v>
      </c>
      <c r="K120" s="2">
        <v>1E-3</v>
      </c>
      <c r="L120" s="2">
        <v>217.93</v>
      </c>
      <c r="M120" s="2">
        <v>623.59</v>
      </c>
    </row>
    <row r="121" spans="1:13" ht="15.75" x14ac:dyDescent="0.25">
      <c r="A121" s="2">
        <v>3511</v>
      </c>
      <c r="B121" s="2">
        <v>1506</v>
      </c>
      <c r="C121" s="2" t="s">
        <v>17</v>
      </c>
      <c r="D121" s="2" t="s">
        <v>14</v>
      </c>
      <c r="E121" s="2" t="s">
        <v>15</v>
      </c>
      <c r="F121" s="2" t="s">
        <v>15</v>
      </c>
      <c r="G121" s="2">
        <v>88</v>
      </c>
      <c r="H121" s="4" t="s">
        <v>16</v>
      </c>
      <c r="I121" s="2">
        <v>2404</v>
      </c>
      <c r="J121" s="2">
        <v>0.9</v>
      </c>
      <c r="K121" s="2">
        <v>1E-3</v>
      </c>
      <c r="L121" s="2">
        <v>24.49</v>
      </c>
      <c r="M121" s="2">
        <v>120.68</v>
      </c>
    </row>
    <row r="122" spans="1:13" ht="15.75" x14ac:dyDescent="0.25">
      <c r="A122" s="2">
        <v>3514</v>
      </c>
      <c r="B122" s="2">
        <v>1565</v>
      </c>
      <c r="C122" s="2" t="s">
        <v>13</v>
      </c>
      <c r="D122" s="2" t="s">
        <v>14</v>
      </c>
      <c r="E122" s="2" t="s">
        <v>15</v>
      </c>
      <c r="F122" s="2" t="s">
        <v>15</v>
      </c>
      <c r="G122" s="2">
        <v>0</v>
      </c>
      <c r="H122" s="4" t="s">
        <v>16</v>
      </c>
      <c r="I122" s="2">
        <v>2404</v>
      </c>
      <c r="J122" s="2">
        <v>2.2599999999999998</v>
      </c>
      <c r="K122" s="2">
        <v>1E-3</v>
      </c>
      <c r="L122" s="2">
        <v>220.4</v>
      </c>
      <c r="M122" s="2">
        <v>2723.54</v>
      </c>
    </row>
    <row r="123" spans="1:13" ht="15.75" x14ac:dyDescent="0.25">
      <c r="A123" s="2">
        <v>3514</v>
      </c>
      <c r="B123" s="2">
        <v>1565</v>
      </c>
      <c r="C123" s="2" t="s">
        <v>13</v>
      </c>
      <c r="D123" s="2" t="s">
        <v>14</v>
      </c>
      <c r="E123" s="2" t="s">
        <v>15</v>
      </c>
      <c r="F123" s="2" t="s">
        <v>15</v>
      </c>
      <c r="G123" s="2">
        <v>14</v>
      </c>
      <c r="H123" s="4" t="s">
        <v>16</v>
      </c>
      <c r="I123" s="2">
        <v>2404</v>
      </c>
      <c r="J123" s="2">
        <v>4.3099999999999996</v>
      </c>
      <c r="K123" s="2">
        <v>101.63</v>
      </c>
      <c r="L123" s="2">
        <v>294.60000000000002</v>
      </c>
      <c r="M123" s="2">
        <v>2462.35</v>
      </c>
    </row>
    <row r="124" spans="1:13" ht="15.75" x14ac:dyDescent="0.25">
      <c r="A124" s="2">
        <v>3514</v>
      </c>
      <c r="B124" s="2">
        <v>1565</v>
      </c>
      <c r="C124" s="2" t="s">
        <v>13</v>
      </c>
      <c r="D124" s="2" t="s">
        <v>14</v>
      </c>
      <c r="E124" s="2" t="s">
        <v>15</v>
      </c>
      <c r="F124" s="2" t="s">
        <v>15</v>
      </c>
      <c r="G124" s="2">
        <v>60</v>
      </c>
      <c r="H124" s="4" t="s">
        <v>16</v>
      </c>
      <c r="I124" s="2">
        <v>2404</v>
      </c>
      <c r="J124" s="2">
        <v>4.9400000000000004</v>
      </c>
      <c r="K124" s="2">
        <v>83.24</v>
      </c>
      <c r="L124" s="2">
        <v>169.98</v>
      </c>
      <c r="M124" s="2">
        <v>3181.11</v>
      </c>
    </row>
    <row r="125" spans="1:13" ht="15.75" x14ac:dyDescent="0.25">
      <c r="A125" s="2">
        <v>3514</v>
      </c>
      <c r="B125" s="2">
        <v>1565</v>
      </c>
      <c r="C125" s="2" t="s">
        <v>13</v>
      </c>
      <c r="D125" s="2" t="s">
        <v>14</v>
      </c>
      <c r="E125" s="2" t="s">
        <v>15</v>
      </c>
      <c r="F125" s="2" t="s">
        <v>15</v>
      </c>
      <c r="G125" s="2">
        <v>88</v>
      </c>
      <c r="H125" s="4" t="s">
        <v>16</v>
      </c>
      <c r="I125" s="2">
        <v>2404</v>
      </c>
      <c r="J125" s="2">
        <v>5.98</v>
      </c>
      <c r="K125" s="2">
        <v>72.84</v>
      </c>
      <c r="L125" s="2">
        <v>252.92</v>
      </c>
      <c r="M125" s="2">
        <v>972.4</v>
      </c>
    </row>
    <row r="126" spans="1:13" ht="15.75" x14ac:dyDescent="0.25">
      <c r="A126" s="2">
        <v>3517</v>
      </c>
      <c r="B126" s="2">
        <v>1551</v>
      </c>
      <c r="C126" s="2" t="s">
        <v>30</v>
      </c>
      <c r="D126" s="2" t="s">
        <v>20</v>
      </c>
      <c r="E126" s="2" t="s">
        <v>21</v>
      </c>
      <c r="F126" s="2" t="s">
        <v>15</v>
      </c>
      <c r="G126" s="2">
        <v>0</v>
      </c>
      <c r="H126" s="4" t="s">
        <v>16</v>
      </c>
      <c r="I126" s="2">
        <v>2404</v>
      </c>
      <c r="J126" s="2">
        <v>3.02</v>
      </c>
      <c r="K126" s="2">
        <v>96.46</v>
      </c>
      <c r="L126" s="2">
        <v>182.96</v>
      </c>
      <c r="M126" s="2">
        <v>1374.06</v>
      </c>
    </row>
    <row r="127" spans="1:13" ht="15.75" x14ac:dyDescent="0.25">
      <c r="A127" s="2">
        <v>3517</v>
      </c>
      <c r="B127" s="2">
        <v>1551</v>
      </c>
      <c r="C127" s="2" t="s">
        <v>30</v>
      </c>
      <c r="D127" s="2" t="s">
        <v>20</v>
      </c>
      <c r="E127" s="2" t="s">
        <v>21</v>
      </c>
      <c r="F127" s="2" t="s">
        <v>15</v>
      </c>
      <c r="G127" s="2">
        <v>14</v>
      </c>
      <c r="H127" s="4" t="s">
        <v>16</v>
      </c>
      <c r="I127" s="2">
        <v>2404</v>
      </c>
      <c r="J127" s="2">
        <v>4.4400000000000004</v>
      </c>
      <c r="K127" s="2">
        <v>84.57</v>
      </c>
      <c r="L127" s="2">
        <v>182.96</v>
      </c>
      <c r="M127" s="2">
        <v>1007.61</v>
      </c>
    </row>
    <row r="128" spans="1:13" ht="15.75" x14ac:dyDescent="0.25">
      <c r="A128" s="2">
        <v>3517</v>
      </c>
      <c r="B128" s="2">
        <v>1551</v>
      </c>
      <c r="C128" s="2" t="s">
        <v>30</v>
      </c>
      <c r="D128" s="2" t="s">
        <v>20</v>
      </c>
      <c r="E128" s="2" t="s">
        <v>21</v>
      </c>
      <c r="F128" s="2" t="s">
        <v>15</v>
      </c>
      <c r="G128" s="2">
        <v>60</v>
      </c>
      <c r="H128" s="4" t="s">
        <v>16</v>
      </c>
      <c r="I128" s="2">
        <v>2404</v>
      </c>
      <c r="J128" s="2">
        <v>5.41</v>
      </c>
      <c r="K128" s="2">
        <v>78.2</v>
      </c>
      <c r="L128" s="2">
        <v>320.23</v>
      </c>
      <c r="M128" s="2">
        <v>2312.0100000000002</v>
      </c>
    </row>
    <row r="129" spans="1:13" ht="15.75" x14ac:dyDescent="0.25">
      <c r="A129" s="2">
        <v>3517</v>
      </c>
      <c r="B129" s="2">
        <v>1551</v>
      </c>
      <c r="C129" s="2" t="s">
        <v>30</v>
      </c>
      <c r="D129" s="2" t="s">
        <v>20</v>
      </c>
      <c r="E129" s="2" t="s">
        <v>21</v>
      </c>
      <c r="F129" s="2" t="s">
        <v>15</v>
      </c>
      <c r="G129" s="2">
        <v>88</v>
      </c>
      <c r="H129" s="4" t="s">
        <v>16</v>
      </c>
      <c r="I129" s="2">
        <v>2404</v>
      </c>
      <c r="J129" s="2">
        <v>14.47</v>
      </c>
      <c r="K129" s="2">
        <v>102.06</v>
      </c>
      <c r="L129" s="2">
        <v>419.09</v>
      </c>
      <c r="M129" s="2">
        <v>3109.81</v>
      </c>
    </row>
    <row r="130" spans="1:13" ht="15.75" x14ac:dyDescent="0.25">
      <c r="A130" s="2">
        <v>3522</v>
      </c>
      <c r="B130" s="2">
        <v>510</v>
      </c>
      <c r="C130" s="2" t="s">
        <v>17</v>
      </c>
      <c r="D130" s="2" t="s">
        <v>14</v>
      </c>
      <c r="E130" s="2" t="s">
        <v>15</v>
      </c>
      <c r="F130" s="2" t="s">
        <v>15</v>
      </c>
      <c r="G130" s="2">
        <v>0</v>
      </c>
      <c r="H130" s="4" t="s">
        <v>16</v>
      </c>
      <c r="I130" s="2">
        <v>2404</v>
      </c>
      <c r="J130" s="2">
        <v>10.64</v>
      </c>
      <c r="K130" s="2">
        <v>1E-3</v>
      </c>
      <c r="L130" s="2">
        <v>148.88999999999999</v>
      </c>
      <c r="M130" s="2">
        <v>1028.94</v>
      </c>
    </row>
    <row r="131" spans="1:13" ht="15.75" x14ac:dyDescent="0.25">
      <c r="A131" s="2">
        <v>3522</v>
      </c>
      <c r="B131" s="2">
        <v>510</v>
      </c>
      <c r="C131" s="2" t="s">
        <v>17</v>
      </c>
      <c r="D131" s="2" t="s">
        <v>14</v>
      </c>
      <c r="E131" s="2" t="s">
        <v>15</v>
      </c>
      <c r="F131" s="2" t="s">
        <v>15</v>
      </c>
      <c r="G131" s="2">
        <v>14</v>
      </c>
      <c r="H131" s="4" t="s">
        <v>16</v>
      </c>
      <c r="I131" s="2">
        <v>2404</v>
      </c>
      <c r="J131" s="2">
        <v>6.26</v>
      </c>
      <c r="K131" s="2">
        <v>1E-3</v>
      </c>
      <c r="L131" s="2">
        <v>100.57</v>
      </c>
      <c r="M131" s="2">
        <v>1197.7</v>
      </c>
    </row>
    <row r="132" spans="1:13" ht="15.75" x14ac:dyDescent="0.25">
      <c r="A132" s="2">
        <v>3522</v>
      </c>
      <c r="B132" s="2">
        <v>510</v>
      </c>
      <c r="C132" s="2" t="s">
        <v>17</v>
      </c>
      <c r="D132" s="2" t="s">
        <v>14</v>
      </c>
      <c r="E132" s="2" t="s">
        <v>15</v>
      </c>
      <c r="F132" s="2" t="s">
        <v>15</v>
      </c>
      <c r="G132" s="2">
        <v>60</v>
      </c>
      <c r="H132" s="4" t="s">
        <v>16</v>
      </c>
      <c r="I132" s="2">
        <v>2404</v>
      </c>
      <c r="J132" s="2">
        <v>8.77</v>
      </c>
      <c r="K132" s="2">
        <v>204.41</v>
      </c>
      <c r="L132" s="2">
        <v>227.29</v>
      </c>
      <c r="M132" s="2">
        <v>3597.18</v>
      </c>
    </row>
    <row r="133" spans="1:13" ht="15.75" x14ac:dyDescent="0.25">
      <c r="A133" s="2">
        <v>3522</v>
      </c>
      <c r="B133" s="2">
        <v>510</v>
      </c>
      <c r="C133" s="2" t="s">
        <v>17</v>
      </c>
      <c r="D133" s="2" t="s">
        <v>14</v>
      </c>
      <c r="E133" s="2" t="s">
        <v>15</v>
      </c>
      <c r="F133" s="2" t="s">
        <v>15</v>
      </c>
      <c r="G133" s="2">
        <v>88</v>
      </c>
      <c r="H133" s="4" t="s">
        <v>16</v>
      </c>
      <c r="I133" s="2">
        <v>2404</v>
      </c>
      <c r="J133" s="2">
        <v>7.38</v>
      </c>
      <c r="K133" s="2">
        <v>54.76</v>
      </c>
      <c r="L133" s="2">
        <v>292.51</v>
      </c>
      <c r="M133" s="2">
        <v>1133.54</v>
      </c>
    </row>
    <row r="134" spans="1:13" ht="15.75" x14ac:dyDescent="0.25">
      <c r="A134" s="2">
        <v>3538</v>
      </c>
      <c r="B134" s="2">
        <v>5514</v>
      </c>
      <c r="C134" s="2" t="s">
        <v>13</v>
      </c>
      <c r="D134" s="2" t="s">
        <v>14</v>
      </c>
      <c r="E134" s="2" t="s">
        <v>15</v>
      </c>
      <c r="F134" s="2" t="s">
        <v>15</v>
      </c>
      <c r="G134" s="2">
        <v>0</v>
      </c>
      <c r="H134" s="4" t="s">
        <v>16</v>
      </c>
      <c r="I134" s="2">
        <v>2404</v>
      </c>
      <c r="J134" s="2">
        <v>38.729999999999997</v>
      </c>
      <c r="K134" s="2">
        <v>245.81</v>
      </c>
      <c r="L134" s="2">
        <v>238.43</v>
      </c>
      <c r="M134" s="2">
        <v>907.55</v>
      </c>
    </row>
    <row r="135" spans="1:13" ht="15.75" x14ac:dyDescent="0.25">
      <c r="A135" s="2">
        <v>3538</v>
      </c>
      <c r="B135" s="2">
        <v>5514</v>
      </c>
      <c r="C135" s="2" t="s">
        <v>13</v>
      </c>
      <c r="D135" s="2" t="s">
        <v>14</v>
      </c>
      <c r="E135" s="2" t="s">
        <v>15</v>
      </c>
      <c r="F135" s="2" t="s">
        <v>15</v>
      </c>
      <c r="G135" s="2">
        <v>14</v>
      </c>
      <c r="H135" s="4" t="s">
        <v>16</v>
      </c>
      <c r="I135" s="2">
        <v>2404</v>
      </c>
      <c r="J135" s="2">
        <v>14.25</v>
      </c>
      <c r="K135" s="2">
        <v>243.52</v>
      </c>
      <c r="L135" s="2">
        <v>246.71</v>
      </c>
      <c r="M135" s="2">
        <v>3647.52</v>
      </c>
    </row>
    <row r="136" spans="1:13" ht="15.75" x14ac:dyDescent="0.25">
      <c r="A136" s="2">
        <v>3538</v>
      </c>
      <c r="B136" s="2">
        <v>5514</v>
      </c>
      <c r="C136" s="2" t="s">
        <v>13</v>
      </c>
      <c r="D136" s="2" t="s">
        <v>14</v>
      </c>
      <c r="E136" s="2" t="s">
        <v>15</v>
      </c>
      <c r="F136" s="2" t="s">
        <v>15</v>
      </c>
      <c r="G136" s="2">
        <v>60</v>
      </c>
      <c r="H136" s="4" t="s">
        <v>16</v>
      </c>
      <c r="I136" s="2">
        <v>2404</v>
      </c>
      <c r="J136" s="2">
        <v>12.24</v>
      </c>
      <c r="K136" s="2">
        <v>67.209999999999994</v>
      </c>
      <c r="L136" s="2">
        <v>131.11000000000001</v>
      </c>
      <c r="M136" s="2">
        <v>858.72</v>
      </c>
    </row>
    <row r="137" spans="1:13" ht="15.75" x14ac:dyDescent="0.25">
      <c r="A137" s="2">
        <v>3538</v>
      </c>
      <c r="B137" s="2">
        <v>5514</v>
      </c>
      <c r="C137" s="2" t="s">
        <v>13</v>
      </c>
      <c r="D137" s="2" t="s">
        <v>14</v>
      </c>
      <c r="E137" s="2" t="s">
        <v>15</v>
      </c>
      <c r="F137" s="2" t="s">
        <v>15</v>
      </c>
      <c r="G137" s="2">
        <v>88</v>
      </c>
      <c r="H137" s="4" t="s">
        <v>16</v>
      </c>
      <c r="I137" s="2">
        <v>2404</v>
      </c>
      <c r="J137" s="2">
        <v>6.12</v>
      </c>
      <c r="K137" s="2">
        <v>1E-3</v>
      </c>
      <c r="L137" s="2">
        <v>133.53</v>
      </c>
      <c r="M137" s="2">
        <v>677.74</v>
      </c>
    </row>
    <row r="138" spans="1:13" ht="15.75" x14ac:dyDescent="0.25">
      <c r="A138" s="2">
        <v>3542</v>
      </c>
      <c r="B138" s="2">
        <v>4145</v>
      </c>
      <c r="C138" s="2" t="s">
        <v>17</v>
      </c>
      <c r="D138" s="2" t="s">
        <v>14</v>
      </c>
      <c r="E138" s="2" t="s">
        <v>15</v>
      </c>
      <c r="F138" s="2" t="s">
        <v>15</v>
      </c>
      <c r="G138" s="2">
        <v>0</v>
      </c>
      <c r="H138" s="4" t="s">
        <v>16</v>
      </c>
      <c r="I138" s="2">
        <v>2404</v>
      </c>
      <c r="J138" s="2">
        <v>11.68</v>
      </c>
      <c r="K138" s="2">
        <v>146.30000000000001</v>
      </c>
      <c r="L138" s="2">
        <v>847.38</v>
      </c>
      <c r="M138" s="2">
        <v>19072.36</v>
      </c>
    </row>
    <row r="139" spans="1:13" ht="15.75" x14ac:dyDescent="0.25">
      <c r="A139" s="2">
        <v>3542</v>
      </c>
      <c r="B139" s="2">
        <v>4145</v>
      </c>
      <c r="C139" s="2" t="s">
        <v>17</v>
      </c>
      <c r="D139" s="2" t="s">
        <v>14</v>
      </c>
      <c r="E139" s="2" t="s">
        <v>15</v>
      </c>
      <c r="F139" s="2" t="s">
        <v>15</v>
      </c>
      <c r="G139" s="2">
        <v>14</v>
      </c>
      <c r="H139" s="4" t="s">
        <v>16</v>
      </c>
      <c r="I139" s="2">
        <v>2404</v>
      </c>
      <c r="J139" s="2">
        <v>8.91</v>
      </c>
      <c r="K139" s="2">
        <v>172.69</v>
      </c>
      <c r="L139" s="2">
        <v>538.30999999999995</v>
      </c>
      <c r="M139" s="2">
        <v>9288.7800000000007</v>
      </c>
    </row>
    <row r="140" spans="1:13" ht="15.75" x14ac:dyDescent="0.25">
      <c r="A140" s="2">
        <v>3542</v>
      </c>
      <c r="B140" s="2">
        <v>4145</v>
      </c>
      <c r="C140" s="2" t="s">
        <v>17</v>
      </c>
      <c r="D140" s="2" t="s">
        <v>14</v>
      </c>
      <c r="E140" s="2" t="s">
        <v>15</v>
      </c>
      <c r="F140" s="2" t="s">
        <v>15</v>
      </c>
      <c r="G140" s="2">
        <v>60</v>
      </c>
      <c r="H140" s="4" t="s">
        <v>16</v>
      </c>
      <c r="I140" s="2">
        <v>2404</v>
      </c>
      <c r="J140" s="2">
        <v>5.01</v>
      </c>
      <c r="K140" s="2">
        <v>109.97</v>
      </c>
      <c r="L140" s="2">
        <v>326.14999999999998</v>
      </c>
      <c r="M140" s="2">
        <v>2397.7399999999998</v>
      </c>
    </row>
    <row r="141" spans="1:13" ht="15.75" x14ac:dyDescent="0.25">
      <c r="A141" s="2">
        <v>3542</v>
      </c>
      <c r="B141" s="2">
        <v>4145</v>
      </c>
      <c r="C141" s="2" t="s">
        <v>17</v>
      </c>
      <c r="D141" s="2" t="s">
        <v>14</v>
      </c>
      <c r="E141" s="2" t="s">
        <v>15</v>
      </c>
      <c r="F141" s="2" t="s">
        <v>15</v>
      </c>
      <c r="G141" s="2">
        <v>88</v>
      </c>
      <c r="H141" s="4" t="s">
        <v>16</v>
      </c>
      <c r="I141" s="2">
        <v>2404</v>
      </c>
      <c r="J141" s="2">
        <v>7.38</v>
      </c>
      <c r="K141" s="2">
        <v>39.74</v>
      </c>
      <c r="L141" s="2">
        <v>218.65</v>
      </c>
      <c r="M141" s="2">
        <v>1181.67</v>
      </c>
    </row>
    <row r="142" spans="1:13" ht="15.75" x14ac:dyDescent="0.25">
      <c r="A142" s="2">
        <v>3545</v>
      </c>
      <c r="B142" s="2">
        <v>537</v>
      </c>
      <c r="C142" s="2" t="s">
        <v>29</v>
      </c>
      <c r="D142" s="2" t="s">
        <v>27</v>
      </c>
      <c r="E142" s="2" t="s">
        <v>15</v>
      </c>
      <c r="F142" s="2" t="s">
        <v>24</v>
      </c>
      <c r="G142" s="2">
        <v>0</v>
      </c>
      <c r="H142" s="4" t="s">
        <v>16</v>
      </c>
      <c r="I142" s="2">
        <v>2404</v>
      </c>
      <c r="J142" s="2">
        <v>6.4</v>
      </c>
      <c r="K142" s="2">
        <v>92.76</v>
      </c>
      <c r="L142" s="2">
        <v>194.86</v>
      </c>
      <c r="M142" s="2">
        <v>743.96</v>
      </c>
    </row>
    <row r="143" spans="1:13" ht="15.75" x14ac:dyDescent="0.25">
      <c r="A143" s="2">
        <v>3545</v>
      </c>
      <c r="B143" s="2">
        <v>537</v>
      </c>
      <c r="C143" s="2" t="s">
        <v>29</v>
      </c>
      <c r="D143" s="2" t="s">
        <v>27</v>
      </c>
      <c r="E143" s="2" t="s">
        <v>15</v>
      </c>
      <c r="F143" s="2" t="s">
        <v>24</v>
      </c>
      <c r="G143" s="2">
        <v>14</v>
      </c>
      <c r="H143" s="4" t="s">
        <v>16</v>
      </c>
      <c r="I143" s="2">
        <v>2404</v>
      </c>
      <c r="J143" s="2">
        <v>7.59</v>
      </c>
      <c r="K143" s="2">
        <v>146.30000000000001</v>
      </c>
      <c r="L143" s="2">
        <v>185.06</v>
      </c>
      <c r="M143" s="2">
        <v>1117.48</v>
      </c>
    </row>
    <row r="144" spans="1:13" ht="15.75" x14ac:dyDescent="0.25">
      <c r="A144" s="2">
        <v>3545</v>
      </c>
      <c r="B144" s="2">
        <v>537</v>
      </c>
      <c r="C144" s="2" t="s">
        <v>29</v>
      </c>
      <c r="D144" s="2" t="s">
        <v>27</v>
      </c>
      <c r="E144" s="2" t="s">
        <v>15</v>
      </c>
      <c r="F144" s="2" t="s">
        <v>24</v>
      </c>
      <c r="G144" s="2">
        <v>60</v>
      </c>
      <c r="H144" s="4" t="s">
        <v>16</v>
      </c>
      <c r="I144" s="2">
        <v>2404</v>
      </c>
      <c r="J144" s="2">
        <v>3.47</v>
      </c>
      <c r="K144" s="2">
        <v>85.69</v>
      </c>
      <c r="L144" s="2">
        <v>133.13</v>
      </c>
      <c r="M144" s="2">
        <v>1157.6199999999999</v>
      </c>
    </row>
    <row r="145" spans="1:13" ht="15.75" x14ac:dyDescent="0.25">
      <c r="A145" s="2">
        <v>3545</v>
      </c>
      <c r="B145" s="2">
        <v>537</v>
      </c>
      <c r="C145" s="2" t="s">
        <v>29</v>
      </c>
      <c r="D145" s="2" t="s">
        <v>27</v>
      </c>
      <c r="E145" s="2" t="s">
        <v>15</v>
      </c>
      <c r="F145" s="2" t="s">
        <v>24</v>
      </c>
      <c r="G145" s="2">
        <v>88</v>
      </c>
      <c r="H145" s="4" t="s">
        <v>16</v>
      </c>
      <c r="I145" s="2">
        <v>2404</v>
      </c>
      <c r="J145" s="2">
        <v>5.01</v>
      </c>
      <c r="K145" s="2">
        <v>480.31</v>
      </c>
      <c r="L145" s="2">
        <v>619.02</v>
      </c>
      <c r="M145" s="2">
        <v>2446.1799999999998</v>
      </c>
    </row>
    <row r="146" spans="1:13" ht="15.75" x14ac:dyDescent="0.25">
      <c r="A146" s="2">
        <v>3546</v>
      </c>
      <c r="B146" s="2">
        <v>4096</v>
      </c>
      <c r="C146" s="2" t="s">
        <v>25</v>
      </c>
      <c r="D146" s="2" t="s">
        <v>23</v>
      </c>
      <c r="E146" s="2" t="s">
        <v>21</v>
      </c>
      <c r="F146" s="2" t="s">
        <v>24</v>
      </c>
      <c r="G146" s="2">
        <v>0</v>
      </c>
      <c r="H146" s="4" t="s">
        <v>16</v>
      </c>
      <c r="I146" s="2">
        <v>2404</v>
      </c>
      <c r="J146" s="2">
        <v>14.56</v>
      </c>
      <c r="K146" s="2">
        <v>90.64</v>
      </c>
      <c r="L146" s="2">
        <v>212.81</v>
      </c>
      <c r="M146" s="2">
        <v>1332.31</v>
      </c>
    </row>
    <row r="147" spans="1:13" ht="15.75" x14ac:dyDescent="0.25">
      <c r="A147" s="2">
        <v>3546</v>
      </c>
      <c r="B147" s="2">
        <v>4096</v>
      </c>
      <c r="C147" s="2" t="s">
        <v>25</v>
      </c>
      <c r="D147" s="2" t="s">
        <v>23</v>
      </c>
      <c r="E147" s="2" t="s">
        <v>21</v>
      </c>
      <c r="F147" s="2" t="s">
        <v>24</v>
      </c>
      <c r="G147" s="2">
        <v>14</v>
      </c>
      <c r="H147" s="4" t="s">
        <v>16</v>
      </c>
      <c r="I147" s="2">
        <v>2404</v>
      </c>
      <c r="J147" s="2">
        <v>18.32</v>
      </c>
      <c r="K147" s="2">
        <v>78.2</v>
      </c>
      <c r="L147" s="2">
        <v>162.49</v>
      </c>
      <c r="M147" s="2">
        <v>1374.06</v>
      </c>
    </row>
    <row r="148" spans="1:13" ht="15.75" x14ac:dyDescent="0.25">
      <c r="A148" s="2">
        <v>3546</v>
      </c>
      <c r="B148" s="2">
        <v>4096</v>
      </c>
      <c r="C148" s="2" t="s">
        <v>25</v>
      </c>
      <c r="D148" s="2" t="s">
        <v>23</v>
      </c>
      <c r="E148" s="2" t="s">
        <v>21</v>
      </c>
      <c r="F148" s="2" t="s">
        <v>24</v>
      </c>
      <c r="G148" s="2">
        <v>60</v>
      </c>
      <c r="H148" s="4" t="s">
        <v>16</v>
      </c>
      <c r="I148" s="2">
        <v>2404</v>
      </c>
      <c r="J148" s="2">
        <v>7.93</v>
      </c>
      <c r="K148" s="2">
        <v>74.89</v>
      </c>
      <c r="L148" s="2">
        <v>132.31</v>
      </c>
      <c r="M148" s="2">
        <v>1175.5</v>
      </c>
    </row>
    <row r="149" spans="1:13" ht="15.75" x14ac:dyDescent="0.25">
      <c r="A149" s="2">
        <v>3546</v>
      </c>
      <c r="B149" s="2">
        <v>4096</v>
      </c>
      <c r="C149" s="2" t="s">
        <v>25</v>
      </c>
      <c r="D149" s="2" t="s">
        <v>23</v>
      </c>
      <c r="E149" s="2" t="s">
        <v>21</v>
      </c>
      <c r="F149" s="2" t="s">
        <v>24</v>
      </c>
      <c r="G149" s="2">
        <v>88</v>
      </c>
      <c r="H149" s="4" t="s">
        <v>16</v>
      </c>
      <c r="I149" s="2">
        <v>2404</v>
      </c>
      <c r="J149" s="2">
        <v>11.09</v>
      </c>
      <c r="K149" s="2">
        <v>172.8</v>
      </c>
      <c r="L149" s="2">
        <v>161.56</v>
      </c>
      <c r="M149" s="2">
        <v>593.17999999999995</v>
      </c>
    </row>
    <row r="150" spans="1:13" ht="15.75" x14ac:dyDescent="0.25">
      <c r="A150" s="2">
        <v>3553</v>
      </c>
      <c r="B150" s="2">
        <v>580</v>
      </c>
      <c r="C150" s="2" t="s">
        <v>25</v>
      </c>
      <c r="D150" s="2" t="s">
        <v>23</v>
      </c>
      <c r="E150" s="2" t="s">
        <v>21</v>
      </c>
      <c r="F150" s="2" t="s">
        <v>24</v>
      </c>
      <c r="G150" s="2">
        <v>0</v>
      </c>
      <c r="H150" s="4" t="s">
        <v>16</v>
      </c>
      <c r="I150" s="2">
        <v>2404</v>
      </c>
      <c r="J150" s="2">
        <v>47.91</v>
      </c>
      <c r="K150" s="2">
        <v>601.92999999999995</v>
      </c>
      <c r="L150" s="2">
        <v>377.59</v>
      </c>
      <c r="M150" s="2">
        <v>7952.81</v>
      </c>
    </row>
    <row r="151" spans="1:13" ht="15.75" x14ac:dyDescent="0.25">
      <c r="A151" s="2">
        <v>3553</v>
      </c>
      <c r="B151" s="2">
        <v>580</v>
      </c>
      <c r="C151" s="2" t="s">
        <v>25</v>
      </c>
      <c r="D151" s="2" t="s">
        <v>23</v>
      </c>
      <c r="E151" s="2" t="s">
        <v>21</v>
      </c>
      <c r="F151" s="2" t="s">
        <v>24</v>
      </c>
      <c r="G151" s="2">
        <v>14</v>
      </c>
      <c r="H151" s="4" t="s">
        <v>16</v>
      </c>
      <c r="I151" s="2">
        <v>2404</v>
      </c>
      <c r="J151" s="2">
        <v>39.04</v>
      </c>
      <c r="K151" s="2">
        <v>534.67999999999995</v>
      </c>
      <c r="L151" s="2">
        <v>431.7</v>
      </c>
      <c r="M151" s="2">
        <v>7378.14</v>
      </c>
    </row>
    <row r="152" spans="1:13" ht="15.75" x14ac:dyDescent="0.25">
      <c r="A152" s="2">
        <v>3553</v>
      </c>
      <c r="B152" s="2">
        <v>580</v>
      </c>
      <c r="C152" s="2" t="s">
        <v>25</v>
      </c>
      <c r="D152" s="2" t="s">
        <v>23</v>
      </c>
      <c r="E152" s="2" t="s">
        <v>21</v>
      </c>
      <c r="F152" s="2" t="s">
        <v>24</v>
      </c>
      <c r="G152" s="2">
        <v>60</v>
      </c>
      <c r="H152" s="4" t="s">
        <v>16</v>
      </c>
      <c r="I152" s="2">
        <v>2404</v>
      </c>
      <c r="J152" s="2">
        <v>11.68</v>
      </c>
      <c r="K152" s="2">
        <v>104.79</v>
      </c>
      <c r="L152" s="2">
        <v>266.76</v>
      </c>
      <c r="M152" s="2">
        <v>3661.74</v>
      </c>
    </row>
    <row r="153" spans="1:13" ht="15.75" x14ac:dyDescent="0.25">
      <c r="A153" s="2">
        <v>3553</v>
      </c>
      <c r="B153" s="2">
        <v>580</v>
      </c>
      <c r="C153" s="2" t="s">
        <v>25</v>
      </c>
      <c r="D153" s="2" t="s">
        <v>23</v>
      </c>
      <c r="E153" s="2" t="s">
        <v>21</v>
      </c>
      <c r="F153" s="2" t="s">
        <v>24</v>
      </c>
      <c r="G153" s="2">
        <v>88</v>
      </c>
      <c r="H153" s="4" t="s">
        <v>16</v>
      </c>
      <c r="I153" s="2">
        <v>2404</v>
      </c>
      <c r="J153" s="2">
        <v>4.97</v>
      </c>
      <c r="K153" s="2">
        <v>71.48</v>
      </c>
      <c r="L153" s="2">
        <v>588.29</v>
      </c>
      <c r="M153" s="2">
        <v>7424.74</v>
      </c>
    </row>
    <row r="154" spans="1:13" ht="15.75" x14ac:dyDescent="0.25">
      <c r="A154" s="2">
        <v>3554</v>
      </c>
      <c r="B154" s="2">
        <v>670</v>
      </c>
      <c r="C154" s="2" t="s">
        <v>30</v>
      </c>
      <c r="D154" s="2" t="s">
        <v>20</v>
      </c>
      <c r="E154" s="2" t="s">
        <v>21</v>
      </c>
      <c r="F154" s="2" t="s">
        <v>15</v>
      </c>
      <c r="G154" s="2">
        <v>0</v>
      </c>
      <c r="H154" s="4" t="s">
        <v>16</v>
      </c>
      <c r="I154" s="2">
        <v>2404</v>
      </c>
      <c r="J154" s="2">
        <v>10.49</v>
      </c>
      <c r="K154" s="2">
        <v>43.59</v>
      </c>
      <c r="L154" s="2">
        <v>138.34</v>
      </c>
      <c r="M154" s="2">
        <v>636.21</v>
      </c>
    </row>
    <row r="155" spans="1:13" ht="15.75" x14ac:dyDescent="0.25">
      <c r="A155" s="2">
        <v>3554</v>
      </c>
      <c r="B155" s="2">
        <v>670</v>
      </c>
      <c r="C155" s="2" t="s">
        <v>30</v>
      </c>
      <c r="D155" s="2" t="s">
        <v>20</v>
      </c>
      <c r="E155" s="2" t="s">
        <v>21</v>
      </c>
      <c r="F155" s="2" t="s">
        <v>15</v>
      </c>
      <c r="G155" s="2">
        <v>14</v>
      </c>
      <c r="H155" s="4" t="s">
        <v>16</v>
      </c>
      <c r="I155" s="2">
        <v>2404</v>
      </c>
      <c r="J155" s="2">
        <v>6.71</v>
      </c>
      <c r="K155" s="2">
        <v>125.2</v>
      </c>
      <c r="L155" s="2">
        <v>91.96</v>
      </c>
      <c r="M155" s="2">
        <v>679.08</v>
      </c>
    </row>
    <row r="156" spans="1:13" ht="15.75" x14ac:dyDescent="0.25">
      <c r="A156" s="2">
        <v>3554</v>
      </c>
      <c r="B156" s="2">
        <v>670</v>
      </c>
      <c r="C156" s="2" t="s">
        <v>30</v>
      </c>
      <c r="D156" s="2" t="s">
        <v>20</v>
      </c>
      <c r="E156" s="2" t="s">
        <v>21</v>
      </c>
      <c r="F156" s="2" t="s">
        <v>15</v>
      </c>
      <c r="G156" s="2">
        <v>60</v>
      </c>
      <c r="H156" s="4" t="s">
        <v>16</v>
      </c>
      <c r="I156" s="2">
        <v>2404</v>
      </c>
      <c r="J156" s="2">
        <v>1.01</v>
      </c>
      <c r="K156" s="2">
        <v>81.42</v>
      </c>
      <c r="L156" s="2">
        <v>98.46</v>
      </c>
      <c r="M156" s="2">
        <v>341.42</v>
      </c>
    </row>
    <row r="157" spans="1:13" ht="15.75" x14ac:dyDescent="0.25">
      <c r="A157" s="2">
        <v>3554</v>
      </c>
      <c r="B157" s="2">
        <v>670</v>
      </c>
      <c r="C157" s="2" t="s">
        <v>30</v>
      </c>
      <c r="D157" s="2" t="s">
        <v>20</v>
      </c>
      <c r="E157" s="2" t="s">
        <v>21</v>
      </c>
      <c r="F157" s="2" t="s">
        <v>15</v>
      </c>
      <c r="G157" s="2">
        <v>88</v>
      </c>
      <c r="H157" s="4" t="s">
        <v>16</v>
      </c>
      <c r="I157" s="2">
        <v>2404</v>
      </c>
      <c r="J157" s="2">
        <v>3.55</v>
      </c>
      <c r="K157" s="2">
        <v>71.48</v>
      </c>
      <c r="L157" s="2">
        <v>75.709999999999994</v>
      </c>
      <c r="M157" s="2">
        <v>352.57</v>
      </c>
    </row>
    <row r="158" spans="1:13" ht="15.75" x14ac:dyDescent="0.25">
      <c r="A158" s="2">
        <v>3557</v>
      </c>
      <c r="B158" s="2">
        <v>593</v>
      </c>
      <c r="C158" s="2" t="s">
        <v>32</v>
      </c>
      <c r="D158" s="2" t="s">
        <v>23</v>
      </c>
      <c r="E158" s="2" t="s">
        <v>21</v>
      </c>
      <c r="F158" s="2" t="s">
        <v>24</v>
      </c>
      <c r="G158" s="2">
        <v>0</v>
      </c>
      <c r="H158" s="4" t="s">
        <v>16</v>
      </c>
      <c r="I158" s="2">
        <v>2404</v>
      </c>
      <c r="J158" s="2">
        <v>14.22</v>
      </c>
      <c r="K158" s="2">
        <v>107.48</v>
      </c>
      <c r="L158" s="2">
        <v>168.07</v>
      </c>
      <c r="M158" s="2">
        <v>806.93</v>
      </c>
    </row>
    <row r="159" spans="1:13" ht="15.75" x14ac:dyDescent="0.25">
      <c r="A159" s="2">
        <v>3557</v>
      </c>
      <c r="B159" s="2">
        <v>593</v>
      </c>
      <c r="C159" s="2" t="s">
        <v>32</v>
      </c>
      <c r="D159" s="2" t="s">
        <v>23</v>
      </c>
      <c r="E159" s="2" t="s">
        <v>21</v>
      </c>
      <c r="F159" s="2" t="s">
        <v>24</v>
      </c>
      <c r="G159" s="2">
        <v>14</v>
      </c>
      <c r="H159" s="4" t="s">
        <v>16</v>
      </c>
      <c r="I159" s="2">
        <v>2404</v>
      </c>
      <c r="J159" s="2">
        <v>15.14</v>
      </c>
      <c r="K159" s="2">
        <v>110.12</v>
      </c>
      <c r="L159" s="2">
        <v>175.51</v>
      </c>
      <c r="M159" s="2">
        <v>1133.5999999999999</v>
      </c>
    </row>
    <row r="160" spans="1:13" ht="15.75" x14ac:dyDescent="0.25">
      <c r="A160" s="2">
        <v>3557</v>
      </c>
      <c r="B160" s="2">
        <v>593</v>
      </c>
      <c r="C160" s="2" t="s">
        <v>32</v>
      </c>
      <c r="D160" s="2" t="s">
        <v>23</v>
      </c>
      <c r="E160" s="2" t="s">
        <v>21</v>
      </c>
      <c r="F160" s="2" t="s">
        <v>24</v>
      </c>
      <c r="G160" s="2">
        <v>60</v>
      </c>
      <c r="H160" s="4" t="s">
        <v>16</v>
      </c>
      <c r="I160" s="2">
        <v>2404</v>
      </c>
      <c r="J160" s="2">
        <v>10.15</v>
      </c>
      <c r="K160" s="2">
        <v>93.58</v>
      </c>
      <c r="L160" s="2">
        <v>190.88</v>
      </c>
      <c r="M160" s="2">
        <v>1499.19</v>
      </c>
    </row>
    <row r="161" spans="1:13" ht="15.75" x14ac:dyDescent="0.25">
      <c r="A161" s="2">
        <v>3557</v>
      </c>
      <c r="B161" s="2">
        <v>593</v>
      </c>
      <c r="C161" s="2" t="s">
        <v>32</v>
      </c>
      <c r="D161" s="2" t="s">
        <v>23</v>
      </c>
      <c r="E161" s="2" t="s">
        <v>21</v>
      </c>
      <c r="F161" s="2" t="s">
        <v>24</v>
      </c>
      <c r="G161" s="2">
        <v>88</v>
      </c>
      <c r="H161" s="4" t="s">
        <v>16</v>
      </c>
      <c r="I161" s="2">
        <v>2404</v>
      </c>
      <c r="J161" s="2">
        <v>5.32</v>
      </c>
      <c r="K161" s="2">
        <v>90.64</v>
      </c>
      <c r="L161" s="2">
        <v>189.48</v>
      </c>
      <c r="M161" s="2">
        <v>806.93</v>
      </c>
    </row>
    <row r="162" spans="1:13" ht="15.75" x14ac:dyDescent="0.25">
      <c r="A162" s="2">
        <v>3558</v>
      </c>
      <c r="B162" s="2">
        <v>633</v>
      </c>
      <c r="C162" s="2" t="s">
        <v>17</v>
      </c>
      <c r="D162" s="2" t="s">
        <v>14</v>
      </c>
      <c r="E162" s="2" t="s">
        <v>15</v>
      </c>
      <c r="F162" s="2" t="s">
        <v>15</v>
      </c>
      <c r="G162" s="2">
        <v>0</v>
      </c>
      <c r="H162" s="4" t="s">
        <v>16</v>
      </c>
      <c r="I162" s="2">
        <v>2404</v>
      </c>
      <c r="J162" s="2">
        <v>11.96</v>
      </c>
      <c r="K162" s="2">
        <v>182.75</v>
      </c>
      <c r="L162" s="2">
        <v>390.43</v>
      </c>
      <c r="M162" s="2">
        <v>6851.26</v>
      </c>
    </row>
    <row r="163" spans="1:13" ht="15.75" x14ac:dyDescent="0.25">
      <c r="A163" s="2">
        <v>3558</v>
      </c>
      <c r="B163" s="2">
        <v>633</v>
      </c>
      <c r="C163" s="2" t="s">
        <v>17</v>
      </c>
      <c r="D163" s="2" t="s">
        <v>14</v>
      </c>
      <c r="E163" s="2" t="s">
        <v>15</v>
      </c>
      <c r="F163" s="2" t="s">
        <v>15</v>
      </c>
      <c r="G163" s="2">
        <v>14</v>
      </c>
      <c r="H163" s="4" t="s">
        <v>16</v>
      </c>
      <c r="I163" s="2">
        <v>2404</v>
      </c>
      <c r="J163" s="2">
        <v>12.86</v>
      </c>
      <c r="K163" s="2">
        <v>171.22</v>
      </c>
      <c r="L163" s="2">
        <v>333.33</v>
      </c>
      <c r="M163" s="2">
        <v>5617.35</v>
      </c>
    </row>
    <row r="164" spans="1:13" ht="15.75" x14ac:dyDescent="0.25">
      <c r="A164" s="2">
        <v>3558</v>
      </c>
      <c r="B164" s="2">
        <v>633</v>
      </c>
      <c r="C164" s="2" t="s">
        <v>17</v>
      </c>
      <c r="D164" s="2" t="s">
        <v>14</v>
      </c>
      <c r="E164" s="2" t="s">
        <v>15</v>
      </c>
      <c r="F164" s="2" t="s">
        <v>15</v>
      </c>
      <c r="G164" s="2">
        <v>60</v>
      </c>
      <c r="H164" s="4" t="s">
        <v>16</v>
      </c>
      <c r="I164" s="2">
        <v>2404</v>
      </c>
      <c r="J164" s="2">
        <v>10.85</v>
      </c>
      <c r="K164" s="2">
        <v>136.13999999999999</v>
      </c>
      <c r="L164" s="2">
        <v>170.39</v>
      </c>
      <c r="M164" s="2">
        <v>1652.74</v>
      </c>
    </row>
    <row r="165" spans="1:13" ht="15.75" x14ac:dyDescent="0.25">
      <c r="A165" s="2">
        <v>3558</v>
      </c>
      <c r="B165" s="2">
        <v>633</v>
      </c>
      <c r="C165" s="2" t="s">
        <v>17</v>
      </c>
      <c r="D165" s="2" t="s">
        <v>14</v>
      </c>
      <c r="E165" s="2" t="s">
        <v>15</v>
      </c>
      <c r="F165" s="2" t="s">
        <v>15</v>
      </c>
      <c r="G165" s="2">
        <v>88</v>
      </c>
      <c r="H165" s="4" t="s">
        <v>16</v>
      </c>
      <c r="I165" s="2">
        <v>2404</v>
      </c>
      <c r="J165" s="2">
        <v>23.18</v>
      </c>
      <c r="K165" s="2">
        <v>51.31</v>
      </c>
      <c r="L165" s="2">
        <v>251.68</v>
      </c>
      <c r="M165" s="2">
        <v>1596.93</v>
      </c>
    </row>
    <row r="166" spans="1:13" ht="15.75" x14ac:dyDescent="0.25">
      <c r="A166" s="2">
        <v>3568</v>
      </c>
      <c r="B166" s="2">
        <v>6776</v>
      </c>
      <c r="C166" s="2" t="s">
        <v>29</v>
      </c>
      <c r="D166" s="2" t="s">
        <v>27</v>
      </c>
      <c r="E166" s="2" t="s">
        <v>15</v>
      </c>
      <c r="F166" s="2" t="s">
        <v>24</v>
      </c>
      <c r="G166" s="2">
        <v>0</v>
      </c>
      <c r="H166" s="4" t="s">
        <v>16</v>
      </c>
      <c r="I166" s="2">
        <v>2404</v>
      </c>
      <c r="J166" s="2">
        <v>24.98</v>
      </c>
      <c r="K166" s="2">
        <v>80.73</v>
      </c>
      <c r="L166" s="2">
        <v>205.92</v>
      </c>
      <c r="M166" s="2">
        <v>1453.4</v>
      </c>
    </row>
    <row r="167" spans="1:13" ht="15.75" x14ac:dyDescent="0.25">
      <c r="A167" s="2">
        <v>3568</v>
      </c>
      <c r="B167" s="2">
        <v>6776</v>
      </c>
      <c r="C167" s="2" t="s">
        <v>29</v>
      </c>
      <c r="D167" s="2" t="s">
        <v>27</v>
      </c>
      <c r="E167" s="2" t="s">
        <v>15</v>
      </c>
      <c r="F167" s="2" t="s">
        <v>24</v>
      </c>
      <c r="G167" s="2">
        <v>14</v>
      </c>
      <c r="H167" s="4" t="s">
        <v>16</v>
      </c>
      <c r="I167" s="2">
        <v>2404</v>
      </c>
      <c r="J167" s="2">
        <v>24.43</v>
      </c>
      <c r="K167" s="2">
        <v>155.97999999999999</v>
      </c>
      <c r="L167" s="2">
        <v>193.22</v>
      </c>
      <c r="M167" s="2">
        <v>2084.17</v>
      </c>
    </row>
    <row r="168" spans="1:13" ht="15.75" x14ac:dyDescent="0.25">
      <c r="A168" s="2">
        <v>3568</v>
      </c>
      <c r="B168" s="2">
        <v>6776</v>
      </c>
      <c r="C168" s="2" t="s">
        <v>29</v>
      </c>
      <c r="D168" s="2" t="s">
        <v>27</v>
      </c>
      <c r="E168" s="2" t="s">
        <v>15</v>
      </c>
      <c r="F168" s="2" t="s">
        <v>24</v>
      </c>
      <c r="G168" s="2">
        <v>60</v>
      </c>
      <c r="H168" s="4" t="s">
        <v>16</v>
      </c>
      <c r="I168" s="2">
        <v>2404</v>
      </c>
      <c r="J168" s="2">
        <v>44.73</v>
      </c>
      <c r="K168" s="2">
        <v>316.86</v>
      </c>
      <c r="L168" s="2">
        <v>284.14</v>
      </c>
      <c r="M168" s="2">
        <v>3148.08</v>
      </c>
    </row>
    <row r="169" spans="1:13" ht="15.75" x14ac:dyDescent="0.25">
      <c r="A169" s="2">
        <v>3568</v>
      </c>
      <c r="B169" s="2">
        <v>6776</v>
      </c>
      <c r="C169" s="2" t="s">
        <v>29</v>
      </c>
      <c r="D169" s="2" t="s">
        <v>27</v>
      </c>
      <c r="E169" s="2" t="s">
        <v>15</v>
      </c>
      <c r="F169" s="2" t="s">
        <v>24</v>
      </c>
      <c r="G169" s="2">
        <v>88</v>
      </c>
      <c r="H169" s="4" t="s">
        <v>16</v>
      </c>
      <c r="I169" s="2">
        <v>2404</v>
      </c>
      <c r="J169" s="2">
        <v>16.190000000000001</v>
      </c>
      <c r="K169" s="2">
        <v>18.13</v>
      </c>
      <c r="L169" s="2">
        <v>187.5</v>
      </c>
      <c r="M169" s="2">
        <v>2397.7399999999998</v>
      </c>
    </row>
    <row r="170" spans="1:13" ht="15.75" x14ac:dyDescent="0.25">
      <c r="A170" s="2">
        <v>3570</v>
      </c>
      <c r="B170" s="2">
        <v>7509</v>
      </c>
      <c r="C170" s="2" t="s">
        <v>32</v>
      </c>
      <c r="D170" s="2" t="s">
        <v>23</v>
      </c>
      <c r="E170" s="2" t="s">
        <v>21</v>
      </c>
      <c r="F170" s="2" t="s">
        <v>24</v>
      </c>
      <c r="G170" s="2">
        <v>0</v>
      </c>
      <c r="H170" s="4" t="s">
        <v>16</v>
      </c>
      <c r="I170" s="2">
        <v>2404</v>
      </c>
      <c r="J170" s="2">
        <v>8.18</v>
      </c>
      <c r="K170" s="2">
        <v>67.97</v>
      </c>
      <c r="L170" s="2">
        <v>276.66000000000003</v>
      </c>
      <c r="M170" s="2">
        <v>1144.08</v>
      </c>
    </row>
    <row r="171" spans="1:13" ht="15.75" x14ac:dyDescent="0.25">
      <c r="A171" s="2">
        <v>3570</v>
      </c>
      <c r="B171" s="2">
        <v>7509</v>
      </c>
      <c r="C171" s="2" t="s">
        <v>32</v>
      </c>
      <c r="D171" s="2" t="s">
        <v>23</v>
      </c>
      <c r="E171" s="2" t="s">
        <v>21</v>
      </c>
      <c r="F171" s="2" t="s">
        <v>24</v>
      </c>
      <c r="G171" s="2">
        <v>14</v>
      </c>
      <c r="H171" s="4" t="s">
        <v>16</v>
      </c>
      <c r="I171" s="2">
        <v>2404</v>
      </c>
      <c r="J171" s="2">
        <v>9.64</v>
      </c>
      <c r="K171" s="2">
        <v>107.48</v>
      </c>
      <c r="L171" s="2">
        <v>142.06</v>
      </c>
      <c r="M171" s="2">
        <v>849.34</v>
      </c>
    </row>
    <row r="172" spans="1:13" ht="15.75" x14ac:dyDescent="0.25">
      <c r="A172" s="2">
        <v>3570</v>
      </c>
      <c r="B172" s="2">
        <v>7509</v>
      </c>
      <c r="C172" s="2" t="s">
        <v>32</v>
      </c>
      <c r="D172" s="2" t="s">
        <v>23</v>
      </c>
      <c r="E172" s="2" t="s">
        <v>21</v>
      </c>
      <c r="F172" s="2" t="s">
        <v>24</v>
      </c>
      <c r="G172" s="2">
        <v>60</v>
      </c>
      <c r="H172" s="4" t="s">
        <v>16</v>
      </c>
      <c r="I172" s="2">
        <v>2404</v>
      </c>
      <c r="J172" s="2">
        <v>4</v>
      </c>
      <c r="K172" s="2">
        <v>71.48</v>
      </c>
      <c r="L172" s="2">
        <v>158.77000000000001</v>
      </c>
      <c r="M172" s="2">
        <v>1081.1600000000001</v>
      </c>
    </row>
    <row r="173" spans="1:13" ht="15.75" x14ac:dyDescent="0.25">
      <c r="A173" s="2">
        <v>3570</v>
      </c>
      <c r="B173" s="2">
        <v>7509</v>
      </c>
      <c r="C173" s="2" t="s">
        <v>32</v>
      </c>
      <c r="D173" s="2" t="s">
        <v>23</v>
      </c>
      <c r="E173" s="2" t="s">
        <v>21</v>
      </c>
      <c r="F173" s="2" t="s">
        <v>24</v>
      </c>
      <c r="G173" s="2">
        <v>88</v>
      </c>
      <c r="H173" s="4" t="s">
        <v>16</v>
      </c>
      <c r="I173" s="2">
        <v>2404</v>
      </c>
      <c r="J173" s="2">
        <v>6.71</v>
      </c>
      <c r="K173" s="2">
        <v>56.63</v>
      </c>
      <c r="L173" s="2">
        <v>252.65</v>
      </c>
      <c r="M173" s="2">
        <v>2051.21</v>
      </c>
    </row>
    <row r="174" spans="1:13" ht="15.75" x14ac:dyDescent="0.25">
      <c r="A174" s="2">
        <v>3571</v>
      </c>
      <c r="B174" s="2">
        <v>542</v>
      </c>
      <c r="C174" s="2" t="s">
        <v>31</v>
      </c>
      <c r="D174" s="2" t="s">
        <v>20</v>
      </c>
      <c r="E174" s="2" t="s">
        <v>21</v>
      </c>
      <c r="F174" s="2" t="s">
        <v>15</v>
      </c>
      <c r="G174" s="2">
        <v>0</v>
      </c>
      <c r="H174" s="4" t="s">
        <v>16</v>
      </c>
      <c r="I174" s="2">
        <v>2404</v>
      </c>
      <c r="J174" s="2">
        <v>10.24</v>
      </c>
      <c r="K174" s="2">
        <v>152.35</v>
      </c>
      <c r="L174" s="2">
        <v>52.88</v>
      </c>
      <c r="M174" s="2">
        <v>1290.54</v>
      </c>
    </row>
    <row r="175" spans="1:13" ht="15.75" x14ac:dyDescent="0.25">
      <c r="A175" s="2">
        <v>3571</v>
      </c>
      <c r="B175" s="2">
        <v>542</v>
      </c>
      <c r="C175" s="2" t="s">
        <v>31</v>
      </c>
      <c r="D175" s="2" t="s">
        <v>20</v>
      </c>
      <c r="E175" s="2" t="s">
        <v>21</v>
      </c>
      <c r="F175" s="2" t="s">
        <v>15</v>
      </c>
      <c r="G175" s="2">
        <v>14</v>
      </c>
      <c r="H175" s="4" t="s">
        <v>16</v>
      </c>
      <c r="I175" s="2">
        <v>2404</v>
      </c>
      <c r="J175" s="2">
        <v>14.81</v>
      </c>
      <c r="K175" s="2">
        <v>90.64</v>
      </c>
      <c r="L175" s="2">
        <v>58.01</v>
      </c>
      <c r="M175" s="2">
        <v>1363.62</v>
      </c>
    </row>
    <row r="176" spans="1:13" ht="15.75" x14ac:dyDescent="0.25">
      <c r="A176" s="2">
        <v>3571</v>
      </c>
      <c r="B176" s="2">
        <v>542</v>
      </c>
      <c r="C176" s="2" t="s">
        <v>31</v>
      </c>
      <c r="D176" s="2" t="s">
        <v>20</v>
      </c>
      <c r="E176" s="2" t="s">
        <v>21</v>
      </c>
      <c r="F176" s="2" t="s">
        <v>15</v>
      </c>
      <c r="G176" s="2">
        <v>60</v>
      </c>
      <c r="H176" s="4" t="s">
        <v>16</v>
      </c>
      <c r="I176" s="2">
        <v>2404</v>
      </c>
      <c r="J176" s="2">
        <v>5.41</v>
      </c>
      <c r="K176" s="2">
        <v>136.93</v>
      </c>
      <c r="L176" s="2">
        <v>13.17</v>
      </c>
      <c r="M176" s="2">
        <v>721.82</v>
      </c>
    </row>
    <row r="177" spans="1:13" ht="15.75" x14ac:dyDescent="0.25">
      <c r="A177" s="2">
        <v>3571</v>
      </c>
      <c r="B177" s="2">
        <v>542</v>
      </c>
      <c r="C177" s="2" t="s">
        <v>31</v>
      </c>
      <c r="D177" s="2" t="s">
        <v>20</v>
      </c>
      <c r="E177" s="2" t="s">
        <v>21</v>
      </c>
      <c r="F177" s="2" t="s">
        <v>15</v>
      </c>
      <c r="G177" s="2">
        <v>88</v>
      </c>
      <c r="H177" s="4" t="s">
        <v>16</v>
      </c>
      <c r="I177" s="2">
        <v>2404</v>
      </c>
      <c r="J177" s="2">
        <v>1.19</v>
      </c>
      <c r="K177" s="2">
        <v>160.72999999999999</v>
      </c>
      <c r="L177" s="2">
        <v>125.35</v>
      </c>
      <c r="M177" s="2">
        <v>7343.22</v>
      </c>
    </row>
    <row r="178" spans="1:13" ht="15.75" x14ac:dyDescent="0.25">
      <c r="A178" s="2">
        <v>3575</v>
      </c>
      <c r="B178" s="2">
        <v>7546</v>
      </c>
      <c r="C178" s="2" t="s">
        <v>29</v>
      </c>
      <c r="D178" s="2" t="s">
        <v>27</v>
      </c>
      <c r="E178" s="2" t="s">
        <v>15</v>
      </c>
      <c r="F178" s="2" t="s">
        <v>24</v>
      </c>
      <c r="G178" s="2">
        <v>0</v>
      </c>
      <c r="H178" s="4" t="s">
        <v>16</v>
      </c>
      <c r="I178" s="2">
        <v>2404</v>
      </c>
      <c r="J178" s="2">
        <v>7.45</v>
      </c>
      <c r="K178" s="2">
        <v>30.4</v>
      </c>
      <c r="L178" s="2">
        <v>383.14</v>
      </c>
      <c r="M178" s="2">
        <v>1684.64</v>
      </c>
    </row>
    <row r="179" spans="1:13" ht="15.75" x14ac:dyDescent="0.25">
      <c r="A179" s="2">
        <v>3575</v>
      </c>
      <c r="B179" s="2">
        <v>7546</v>
      </c>
      <c r="C179" s="2" t="s">
        <v>29</v>
      </c>
      <c r="D179" s="2" t="s">
        <v>27</v>
      </c>
      <c r="E179" s="2" t="s">
        <v>15</v>
      </c>
      <c r="F179" s="2" t="s">
        <v>24</v>
      </c>
      <c r="G179" s="2">
        <v>14</v>
      </c>
      <c r="H179" s="4" t="s">
        <v>16</v>
      </c>
      <c r="I179" s="2">
        <v>2404</v>
      </c>
      <c r="J179" s="2">
        <v>5.98</v>
      </c>
      <c r="K179" s="2">
        <v>70.069999999999993</v>
      </c>
      <c r="L179" s="2">
        <v>235.13</v>
      </c>
      <c r="M179" s="2">
        <v>1668.69</v>
      </c>
    </row>
    <row r="180" spans="1:13" ht="15.75" x14ac:dyDescent="0.25">
      <c r="A180" s="2">
        <v>3575</v>
      </c>
      <c r="B180" s="2">
        <v>7546</v>
      </c>
      <c r="C180" s="2" t="s">
        <v>29</v>
      </c>
      <c r="D180" s="2" t="s">
        <v>27</v>
      </c>
      <c r="E180" s="2" t="s">
        <v>15</v>
      </c>
      <c r="F180" s="2" t="s">
        <v>24</v>
      </c>
      <c r="G180" s="2">
        <v>60</v>
      </c>
      <c r="H180" s="4" t="s">
        <v>16</v>
      </c>
      <c r="I180" s="2">
        <v>2404</v>
      </c>
      <c r="J180" s="2">
        <v>9.9499999999999993</v>
      </c>
      <c r="K180" s="2">
        <v>188.33</v>
      </c>
      <c r="L180" s="2">
        <v>176.9</v>
      </c>
      <c r="M180" s="2">
        <v>956.22</v>
      </c>
    </row>
    <row r="181" spans="1:13" ht="15.75" x14ac:dyDescent="0.25">
      <c r="A181" s="2">
        <v>3575</v>
      </c>
      <c r="B181" s="2">
        <v>7546</v>
      </c>
      <c r="C181" s="2" t="s">
        <v>29</v>
      </c>
      <c r="D181" s="2" t="s">
        <v>27</v>
      </c>
      <c r="E181" s="2" t="s">
        <v>15</v>
      </c>
      <c r="F181" s="2" t="s">
        <v>24</v>
      </c>
      <c r="G181" s="2">
        <v>88</v>
      </c>
      <c r="H181" s="4" t="s">
        <v>16</v>
      </c>
      <c r="I181" s="2">
        <v>2404</v>
      </c>
      <c r="J181" s="2">
        <v>6.4</v>
      </c>
      <c r="K181" s="2">
        <v>1E-3</v>
      </c>
      <c r="L181" s="2">
        <v>289.16000000000003</v>
      </c>
      <c r="M181" s="2">
        <v>1477.33</v>
      </c>
    </row>
    <row r="182" spans="1:13" ht="15.75" x14ac:dyDescent="0.25">
      <c r="A182" s="2">
        <v>3581</v>
      </c>
      <c r="B182" s="2">
        <v>526</v>
      </c>
      <c r="C182" s="2" t="s">
        <v>31</v>
      </c>
      <c r="D182" s="2" t="s">
        <v>20</v>
      </c>
      <c r="E182" s="2" t="s">
        <v>21</v>
      </c>
      <c r="F182" s="2" t="s">
        <v>15</v>
      </c>
      <c r="G182" s="2">
        <v>0</v>
      </c>
      <c r="H182" s="4" t="s">
        <v>16</v>
      </c>
      <c r="I182" s="2">
        <v>2404</v>
      </c>
      <c r="J182" s="2">
        <v>11.76</v>
      </c>
      <c r="K182" s="5">
        <v>1E-3</v>
      </c>
      <c r="L182" s="2">
        <v>115.06</v>
      </c>
      <c r="M182" s="2">
        <v>468.54</v>
      </c>
    </row>
    <row r="183" spans="1:13" ht="15.75" x14ac:dyDescent="0.25">
      <c r="A183" s="2">
        <v>3581</v>
      </c>
      <c r="B183" s="2">
        <v>526</v>
      </c>
      <c r="C183" s="2" t="s">
        <v>31</v>
      </c>
      <c r="D183" s="2" t="s">
        <v>20</v>
      </c>
      <c r="E183" s="2" t="s">
        <v>21</v>
      </c>
      <c r="F183" s="2" t="s">
        <v>15</v>
      </c>
      <c r="G183" s="2">
        <v>14</v>
      </c>
      <c r="H183" s="4" t="s">
        <v>16</v>
      </c>
      <c r="I183" s="2">
        <v>2404</v>
      </c>
      <c r="J183" s="2">
        <v>6.58</v>
      </c>
      <c r="K183" s="2">
        <v>24.07</v>
      </c>
      <c r="L183" s="2">
        <v>97.25</v>
      </c>
      <c r="M183" s="2">
        <v>397.63</v>
      </c>
    </row>
    <row r="184" spans="1:13" ht="15.75" x14ac:dyDescent="0.25">
      <c r="A184" s="2">
        <v>3581</v>
      </c>
      <c r="B184" s="2">
        <v>526</v>
      </c>
      <c r="C184" s="2" t="s">
        <v>31</v>
      </c>
      <c r="D184" s="2" t="s">
        <v>20</v>
      </c>
      <c r="E184" s="2" t="s">
        <v>21</v>
      </c>
      <c r="F184" s="2" t="s">
        <v>15</v>
      </c>
      <c r="G184" s="2">
        <v>60</v>
      </c>
      <c r="H184" s="4" t="s">
        <v>16</v>
      </c>
      <c r="I184" s="2">
        <v>2404</v>
      </c>
      <c r="J184" s="2">
        <v>8.7200000000000006</v>
      </c>
      <c r="K184" s="2">
        <v>37.15</v>
      </c>
      <c r="L184" s="2">
        <v>285.98</v>
      </c>
      <c r="M184" s="2">
        <v>1990.03</v>
      </c>
    </row>
    <row r="185" spans="1:13" ht="15.75" x14ac:dyDescent="0.25">
      <c r="A185" s="2">
        <v>3581</v>
      </c>
      <c r="B185" s="2">
        <v>526</v>
      </c>
      <c r="C185" s="2" t="s">
        <v>31</v>
      </c>
      <c r="D185" s="2" t="s">
        <v>20</v>
      </c>
      <c r="E185" s="2" t="s">
        <v>21</v>
      </c>
      <c r="F185" s="2" t="s">
        <v>15</v>
      </c>
      <c r="G185" s="2">
        <v>88</v>
      </c>
      <c r="H185" s="4" t="s">
        <v>16</v>
      </c>
      <c r="I185" s="2">
        <v>2404</v>
      </c>
      <c r="J185" s="2">
        <v>14.52</v>
      </c>
      <c r="K185" s="2">
        <v>24.07</v>
      </c>
      <c r="L185" s="2">
        <v>152.24</v>
      </c>
      <c r="M185" s="2">
        <v>546.87</v>
      </c>
    </row>
    <row r="186" spans="1:13" ht="15.75" x14ac:dyDescent="0.25">
      <c r="A186" s="2">
        <v>3584</v>
      </c>
      <c r="B186" s="2">
        <v>7501</v>
      </c>
      <c r="C186" s="2" t="s">
        <v>31</v>
      </c>
      <c r="D186" s="2" t="s">
        <v>20</v>
      </c>
      <c r="E186" s="2" t="s">
        <v>21</v>
      </c>
      <c r="F186" s="2" t="s">
        <v>15</v>
      </c>
      <c r="G186" s="2">
        <v>0</v>
      </c>
      <c r="H186" s="4" t="s">
        <v>16</v>
      </c>
      <c r="I186" s="2">
        <v>2404</v>
      </c>
      <c r="J186" s="2">
        <v>8.1</v>
      </c>
      <c r="K186" s="2">
        <v>60.56</v>
      </c>
      <c r="L186" s="2">
        <v>153.66</v>
      </c>
      <c r="M186" s="2">
        <v>954.97</v>
      </c>
    </row>
    <row r="187" spans="1:13" ht="15.75" x14ac:dyDescent="0.25">
      <c r="A187" s="2">
        <v>3584</v>
      </c>
      <c r="B187" s="2">
        <v>7501</v>
      </c>
      <c r="C187" s="2" t="s">
        <v>31</v>
      </c>
      <c r="D187" s="2" t="s">
        <v>20</v>
      </c>
      <c r="E187" s="2" t="s">
        <v>21</v>
      </c>
      <c r="F187" s="2" t="s">
        <v>15</v>
      </c>
      <c r="G187" s="2">
        <v>14</v>
      </c>
      <c r="H187" s="4" t="s">
        <v>16</v>
      </c>
      <c r="I187" s="2">
        <v>2404</v>
      </c>
      <c r="J187" s="2">
        <v>5.32</v>
      </c>
      <c r="K187" s="2">
        <v>145.87</v>
      </c>
      <c r="L187" s="2">
        <v>167.14</v>
      </c>
      <c r="M187" s="2">
        <v>2197.19</v>
      </c>
    </row>
    <row r="188" spans="1:13" ht="15.75" x14ac:dyDescent="0.25">
      <c r="A188" s="2">
        <v>3584</v>
      </c>
      <c r="B188" s="2">
        <v>7501</v>
      </c>
      <c r="C188" s="2" t="s">
        <v>31</v>
      </c>
      <c r="D188" s="2" t="s">
        <v>20</v>
      </c>
      <c r="E188" s="2" t="s">
        <v>21</v>
      </c>
      <c r="F188" s="2" t="s">
        <v>15</v>
      </c>
      <c r="G188" s="2">
        <v>60</v>
      </c>
      <c r="H188" s="4" t="s">
        <v>16</v>
      </c>
      <c r="I188" s="2">
        <v>2404</v>
      </c>
      <c r="J188" s="2">
        <v>4.53</v>
      </c>
      <c r="K188" s="2">
        <v>112.72</v>
      </c>
      <c r="L188" s="2">
        <v>129.99</v>
      </c>
      <c r="M188" s="2">
        <v>954.97</v>
      </c>
    </row>
    <row r="189" spans="1:13" ht="15.75" x14ac:dyDescent="0.25">
      <c r="A189" s="2">
        <v>3584</v>
      </c>
      <c r="B189" s="2">
        <v>7501</v>
      </c>
      <c r="C189" s="2" t="s">
        <v>31</v>
      </c>
      <c r="D189" s="2" t="s">
        <v>20</v>
      </c>
      <c r="E189" s="2" t="s">
        <v>21</v>
      </c>
      <c r="F189" s="2" t="s">
        <v>15</v>
      </c>
      <c r="G189" s="2">
        <v>88</v>
      </c>
      <c r="H189" s="4" t="s">
        <v>16</v>
      </c>
      <c r="I189" s="2">
        <v>2404</v>
      </c>
      <c r="J189" s="2">
        <v>3.73</v>
      </c>
      <c r="K189" s="2">
        <v>96.46</v>
      </c>
      <c r="L189" s="2">
        <v>164.81</v>
      </c>
      <c r="M189" s="2">
        <v>1624.2</v>
      </c>
    </row>
    <row r="190" spans="1:13" ht="15.75" x14ac:dyDescent="0.25">
      <c r="A190" s="2">
        <v>3586</v>
      </c>
      <c r="B190" s="2">
        <v>7528</v>
      </c>
      <c r="C190" s="2" t="s">
        <v>29</v>
      </c>
      <c r="D190" s="2" t="s">
        <v>27</v>
      </c>
      <c r="E190" s="2" t="s">
        <v>15</v>
      </c>
      <c r="F190" s="2" t="s">
        <v>24</v>
      </c>
      <c r="G190" s="2">
        <v>0</v>
      </c>
      <c r="H190" s="4" t="s">
        <v>16</v>
      </c>
      <c r="I190" s="2">
        <v>2404</v>
      </c>
      <c r="J190" s="2">
        <v>8.35</v>
      </c>
      <c r="K190" s="2">
        <v>64.27</v>
      </c>
      <c r="L190" s="2">
        <v>249.61</v>
      </c>
      <c r="M190" s="2">
        <v>474.84</v>
      </c>
    </row>
    <row r="191" spans="1:13" ht="15.75" x14ac:dyDescent="0.25">
      <c r="A191" s="2">
        <v>3586</v>
      </c>
      <c r="B191" s="2">
        <v>7528</v>
      </c>
      <c r="C191" s="2" t="s">
        <v>29</v>
      </c>
      <c r="D191" s="2" t="s">
        <v>27</v>
      </c>
      <c r="E191" s="2" t="s">
        <v>15</v>
      </c>
      <c r="F191" s="2" t="s">
        <v>24</v>
      </c>
      <c r="G191" s="2">
        <v>14</v>
      </c>
      <c r="H191" s="4" t="s">
        <v>16</v>
      </c>
      <c r="I191" s="2">
        <v>2404</v>
      </c>
      <c r="J191" s="2">
        <v>5.36</v>
      </c>
      <c r="K191" s="2">
        <v>85.69</v>
      </c>
      <c r="L191" s="2">
        <v>140.4</v>
      </c>
      <c r="M191" s="2">
        <v>809.69</v>
      </c>
    </row>
    <row r="192" spans="1:13" ht="15.75" x14ac:dyDescent="0.25">
      <c r="A192" s="2">
        <v>3586</v>
      </c>
      <c r="B192" s="2">
        <v>7528</v>
      </c>
      <c r="C192" s="2" t="s">
        <v>29</v>
      </c>
      <c r="D192" s="2" t="s">
        <v>27</v>
      </c>
      <c r="E192" s="2" t="s">
        <v>15</v>
      </c>
      <c r="F192" s="2" t="s">
        <v>24</v>
      </c>
      <c r="G192" s="2">
        <v>60</v>
      </c>
      <c r="H192" s="4" t="s">
        <v>16</v>
      </c>
      <c r="I192" s="2">
        <v>2404</v>
      </c>
      <c r="J192" s="2">
        <v>7.38</v>
      </c>
      <c r="K192" s="2">
        <v>61.22</v>
      </c>
      <c r="L192" s="2">
        <v>130.31</v>
      </c>
      <c r="M192" s="2">
        <v>509.23</v>
      </c>
    </row>
    <row r="193" spans="1:13" ht="15.75" x14ac:dyDescent="0.25">
      <c r="A193" s="2">
        <v>3586</v>
      </c>
      <c r="B193" s="2">
        <v>7528</v>
      </c>
      <c r="C193" s="2" t="s">
        <v>29</v>
      </c>
      <c r="D193" s="2" t="s">
        <v>27</v>
      </c>
      <c r="E193" s="2" t="s">
        <v>15</v>
      </c>
      <c r="F193" s="2" t="s">
        <v>24</v>
      </c>
      <c r="G193" s="2">
        <v>88</v>
      </c>
      <c r="H193" s="4" t="s">
        <v>16</v>
      </c>
      <c r="I193" s="2">
        <v>2404</v>
      </c>
      <c r="J193" s="2">
        <v>6.96</v>
      </c>
      <c r="K193" s="2">
        <v>39.74</v>
      </c>
      <c r="L193" s="2">
        <v>210.43</v>
      </c>
      <c r="M193" s="2">
        <v>1852.21</v>
      </c>
    </row>
    <row r="194" spans="1:13" ht="15.75" x14ac:dyDescent="0.25">
      <c r="A194" s="2">
        <v>3588</v>
      </c>
      <c r="B194" s="2">
        <v>4142</v>
      </c>
      <c r="C194" s="2" t="s">
        <v>29</v>
      </c>
      <c r="D194" s="2" t="s">
        <v>27</v>
      </c>
      <c r="E194" s="2" t="s">
        <v>15</v>
      </c>
      <c r="F194" s="2" t="s">
        <v>24</v>
      </c>
      <c r="G194" s="2">
        <v>0</v>
      </c>
      <c r="H194" s="4" t="s">
        <v>16</v>
      </c>
      <c r="I194" s="2">
        <v>2404</v>
      </c>
      <c r="J194" s="2">
        <v>9.4600000000000009</v>
      </c>
      <c r="K194" s="2">
        <v>35.299999999999997</v>
      </c>
      <c r="L194" s="2">
        <v>170.8</v>
      </c>
      <c r="M194" s="2">
        <v>1804.31</v>
      </c>
    </row>
    <row r="195" spans="1:13" ht="15.75" x14ac:dyDescent="0.25">
      <c r="A195" s="2">
        <v>3588</v>
      </c>
      <c r="B195" s="2">
        <v>4142</v>
      </c>
      <c r="C195" s="2" t="s">
        <v>29</v>
      </c>
      <c r="D195" s="2" t="s">
        <v>27</v>
      </c>
      <c r="E195" s="2" t="s">
        <v>15</v>
      </c>
      <c r="F195" s="2" t="s">
        <v>24</v>
      </c>
      <c r="G195" s="2">
        <v>14</v>
      </c>
      <c r="H195" s="4" t="s">
        <v>16</v>
      </c>
      <c r="I195" s="2">
        <v>2404</v>
      </c>
      <c r="J195" s="2">
        <v>6.05</v>
      </c>
      <c r="K195" s="2">
        <v>1E-3</v>
      </c>
      <c r="L195" s="2">
        <v>154.15</v>
      </c>
      <c r="M195" s="2">
        <v>1477.33</v>
      </c>
    </row>
    <row r="196" spans="1:13" ht="15.75" x14ac:dyDescent="0.25">
      <c r="A196" s="2">
        <v>3588</v>
      </c>
      <c r="B196" s="2">
        <v>4142</v>
      </c>
      <c r="C196" s="2" t="s">
        <v>29</v>
      </c>
      <c r="D196" s="2" t="s">
        <v>27</v>
      </c>
      <c r="E196" s="2" t="s">
        <v>15</v>
      </c>
      <c r="F196" s="2" t="s">
        <v>24</v>
      </c>
      <c r="G196" s="2">
        <v>60</v>
      </c>
      <c r="H196" s="4" t="s">
        <v>16</v>
      </c>
      <c r="I196" s="2">
        <v>2404</v>
      </c>
      <c r="J196" s="2">
        <v>14.73</v>
      </c>
      <c r="K196" s="2">
        <v>1E-3</v>
      </c>
      <c r="L196" s="2">
        <v>257.89999999999998</v>
      </c>
      <c r="M196" s="2">
        <v>923.79</v>
      </c>
    </row>
    <row r="197" spans="1:13" ht="15.75" x14ac:dyDescent="0.25">
      <c r="A197" s="2">
        <v>3588</v>
      </c>
      <c r="B197" s="2">
        <v>4142</v>
      </c>
      <c r="C197" s="2" t="s">
        <v>29</v>
      </c>
      <c r="D197" s="2" t="s">
        <v>27</v>
      </c>
      <c r="E197" s="2" t="s">
        <v>15</v>
      </c>
      <c r="F197" s="2" t="s">
        <v>24</v>
      </c>
      <c r="G197" s="2">
        <v>88</v>
      </c>
      <c r="H197" s="4" t="s">
        <v>16</v>
      </c>
      <c r="I197" s="2">
        <v>2404</v>
      </c>
      <c r="J197" s="2">
        <v>8.6300000000000008</v>
      </c>
      <c r="K197" s="2">
        <v>1E-3</v>
      </c>
      <c r="L197" s="2">
        <v>117.83</v>
      </c>
      <c r="M197" s="2">
        <v>727.46</v>
      </c>
    </row>
    <row r="198" spans="1:13" ht="15.75" x14ac:dyDescent="0.25">
      <c r="A198" s="2">
        <v>3591</v>
      </c>
      <c r="B198" s="2">
        <v>7174</v>
      </c>
      <c r="C198" s="2" t="s">
        <v>13</v>
      </c>
      <c r="D198" s="2" t="s">
        <v>14</v>
      </c>
      <c r="E198" s="2" t="s">
        <v>15</v>
      </c>
      <c r="F198" s="2" t="s">
        <v>15</v>
      </c>
      <c r="G198" s="2">
        <v>0</v>
      </c>
      <c r="H198" s="4" t="s">
        <v>16</v>
      </c>
      <c r="I198" s="2">
        <v>2404</v>
      </c>
      <c r="J198" s="2">
        <v>14.04</v>
      </c>
      <c r="K198" s="2">
        <v>327.33999999999997</v>
      </c>
      <c r="L198" s="2">
        <v>429.69</v>
      </c>
      <c r="M198" s="2">
        <v>7967.68</v>
      </c>
    </row>
    <row r="199" spans="1:13" ht="15.75" x14ac:dyDescent="0.25">
      <c r="A199" s="2">
        <v>3591</v>
      </c>
      <c r="B199" s="2">
        <v>7174</v>
      </c>
      <c r="C199" s="2" t="s">
        <v>13</v>
      </c>
      <c r="D199" s="2" t="s">
        <v>14</v>
      </c>
      <c r="E199" s="2" t="s">
        <v>15</v>
      </c>
      <c r="F199" s="2" t="s">
        <v>15</v>
      </c>
      <c r="G199" s="2">
        <v>14</v>
      </c>
      <c r="H199" s="4" t="s">
        <v>16</v>
      </c>
      <c r="I199" s="2">
        <v>2404</v>
      </c>
      <c r="J199" s="2">
        <v>23.39</v>
      </c>
      <c r="K199" s="2">
        <v>383.56</v>
      </c>
      <c r="L199" s="2">
        <v>350.71</v>
      </c>
      <c r="M199" s="2">
        <v>7340.51</v>
      </c>
    </row>
    <row r="200" spans="1:13" ht="15.75" x14ac:dyDescent="0.25">
      <c r="A200" s="2">
        <v>3591</v>
      </c>
      <c r="B200" s="2">
        <v>7174</v>
      </c>
      <c r="C200" s="2" t="s">
        <v>13</v>
      </c>
      <c r="D200" s="2" t="s">
        <v>14</v>
      </c>
      <c r="E200" s="2" t="s">
        <v>15</v>
      </c>
      <c r="F200" s="2" t="s">
        <v>15</v>
      </c>
      <c r="G200" s="2">
        <v>60</v>
      </c>
      <c r="H200" s="4" t="s">
        <v>16</v>
      </c>
      <c r="I200" s="2">
        <v>2404</v>
      </c>
      <c r="J200" s="2">
        <v>13.35</v>
      </c>
      <c r="K200" s="2">
        <v>340.36</v>
      </c>
      <c r="L200" s="2">
        <v>426.22</v>
      </c>
      <c r="M200" s="2">
        <v>11769.01</v>
      </c>
    </row>
    <row r="201" spans="1:13" ht="15.75" x14ac:dyDescent="0.25">
      <c r="A201" s="2">
        <v>3591</v>
      </c>
      <c r="B201" s="2">
        <v>7174</v>
      </c>
      <c r="C201" s="2" t="s">
        <v>13</v>
      </c>
      <c r="D201" s="2" t="s">
        <v>14</v>
      </c>
      <c r="E201" s="2" t="s">
        <v>15</v>
      </c>
      <c r="F201" s="2" t="s">
        <v>15</v>
      </c>
      <c r="G201" s="2">
        <v>88</v>
      </c>
      <c r="H201" s="4" t="s">
        <v>16</v>
      </c>
      <c r="I201" s="2">
        <v>2404</v>
      </c>
      <c r="J201" s="2">
        <v>12.93</v>
      </c>
      <c r="K201" s="2">
        <v>255.98</v>
      </c>
      <c r="L201" s="2">
        <v>472.42</v>
      </c>
      <c r="M201" s="2">
        <v>8387.4599999999991</v>
      </c>
    </row>
    <row r="202" spans="1:13" ht="15.75" x14ac:dyDescent="0.25">
      <c r="A202" s="2">
        <v>3598</v>
      </c>
      <c r="B202" s="2">
        <v>2556</v>
      </c>
      <c r="C202" s="2" t="s">
        <v>26</v>
      </c>
      <c r="D202" s="2" t="s">
        <v>27</v>
      </c>
      <c r="E202" s="2" t="s">
        <v>15</v>
      </c>
      <c r="F202" s="2" t="s">
        <v>24</v>
      </c>
      <c r="G202" s="2">
        <v>0</v>
      </c>
      <c r="H202" s="4" t="s">
        <v>16</v>
      </c>
      <c r="I202" s="2">
        <v>2404</v>
      </c>
      <c r="J202" s="2">
        <v>16.39</v>
      </c>
      <c r="K202" s="2">
        <v>1E-3</v>
      </c>
      <c r="L202" s="2">
        <v>168.76</v>
      </c>
      <c r="M202" s="2">
        <v>1437.45</v>
      </c>
    </row>
    <row r="203" spans="1:13" ht="15.75" x14ac:dyDescent="0.25">
      <c r="A203" s="2">
        <v>3598</v>
      </c>
      <c r="B203" s="2">
        <v>2556</v>
      </c>
      <c r="C203" s="2" t="s">
        <v>26</v>
      </c>
      <c r="D203" s="2" t="s">
        <v>27</v>
      </c>
      <c r="E203" s="2" t="s">
        <v>15</v>
      </c>
      <c r="F203" s="2" t="s">
        <v>24</v>
      </c>
      <c r="G203" s="2">
        <v>14</v>
      </c>
      <c r="H203" s="4" t="s">
        <v>16</v>
      </c>
      <c r="I203" s="2">
        <v>2404</v>
      </c>
      <c r="J203" s="2">
        <v>13.62</v>
      </c>
      <c r="K203" s="2">
        <v>70.069999999999993</v>
      </c>
      <c r="L203" s="2">
        <v>624.95000000000005</v>
      </c>
      <c r="M203" s="2">
        <v>9974.0400000000009</v>
      </c>
    </row>
    <row r="204" spans="1:13" ht="15.75" x14ac:dyDescent="0.25">
      <c r="A204" s="2">
        <v>3598</v>
      </c>
      <c r="B204" s="2">
        <v>2556</v>
      </c>
      <c r="C204" s="2" t="s">
        <v>26</v>
      </c>
      <c r="D204" s="2" t="s">
        <v>27</v>
      </c>
      <c r="E204" s="2" t="s">
        <v>15</v>
      </c>
      <c r="F204" s="2" t="s">
        <v>24</v>
      </c>
      <c r="G204" s="2">
        <v>60</v>
      </c>
      <c r="H204" s="4" t="s">
        <v>16</v>
      </c>
      <c r="I204" s="2">
        <v>2404</v>
      </c>
      <c r="J204" s="2">
        <v>6.05</v>
      </c>
      <c r="K204" s="2">
        <v>139.59</v>
      </c>
      <c r="L204" s="2">
        <v>284.56</v>
      </c>
      <c r="M204" s="2">
        <v>2389.67</v>
      </c>
    </row>
    <row r="205" spans="1:13" ht="15.75" x14ac:dyDescent="0.25">
      <c r="A205" s="2">
        <v>3598</v>
      </c>
      <c r="B205" s="2">
        <v>2556</v>
      </c>
      <c r="C205" s="2" t="s">
        <v>26</v>
      </c>
      <c r="D205" s="2" t="s">
        <v>27</v>
      </c>
      <c r="E205" s="2" t="s">
        <v>15</v>
      </c>
      <c r="F205" s="2" t="s">
        <v>24</v>
      </c>
      <c r="G205" s="2">
        <v>88</v>
      </c>
      <c r="H205" s="4" t="s">
        <v>16</v>
      </c>
      <c r="I205" s="2">
        <v>2404</v>
      </c>
      <c r="J205" s="2">
        <v>1.1299999999999999</v>
      </c>
      <c r="K205" s="2">
        <v>1E-3</v>
      </c>
      <c r="L205" s="2">
        <v>189.95</v>
      </c>
      <c r="M205" s="2">
        <v>727.46</v>
      </c>
    </row>
    <row r="206" spans="1:13" ht="15.75" x14ac:dyDescent="0.25">
      <c r="A206" s="2">
        <v>3599</v>
      </c>
      <c r="B206" s="2">
        <v>6012</v>
      </c>
      <c r="C206" s="2" t="s">
        <v>31</v>
      </c>
      <c r="D206" s="2" t="s">
        <v>20</v>
      </c>
      <c r="E206" s="2" t="s">
        <v>21</v>
      </c>
      <c r="F206" s="2" t="s">
        <v>15</v>
      </c>
      <c r="G206" s="2">
        <v>0</v>
      </c>
      <c r="H206" s="4" t="s">
        <v>16</v>
      </c>
      <c r="I206" s="2">
        <v>2404</v>
      </c>
      <c r="J206" s="2">
        <v>10.49</v>
      </c>
      <c r="K206" s="2">
        <v>64.33</v>
      </c>
      <c r="L206" s="2">
        <v>285.16000000000003</v>
      </c>
      <c r="M206" s="2">
        <v>3704.44</v>
      </c>
    </row>
    <row r="207" spans="1:13" ht="15.75" x14ac:dyDescent="0.25">
      <c r="A207" s="2">
        <v>3599</v>
      </c>
      <c r="B207" s="2">
        <v>6012</v>
      </c>
      <c r="C207" s="2" t="s">
        <v>31</v>
      </c>
      <c r="D207" s="2" t="s">
        <v>20</v>
      </c>
      <c r="E207" s="2" t="s">
        <v>21</v>
      </c>
      <c r="F207" s="2" t="s">
        <v>15</v>
      </c>
      <c r="G207" s="2">
        <v>14</v>
      </c>
      <c r="H207" s="4" t="s">
        <v>16</v>
      </c>
      <c r="I207" s="2">
        <v>2404</v>
      </c>
      <c r="J207" s="2">
        <v>5.32</v>
      </c>
      <c r="K207" s="2">
        <v>74.89</v>
      </c>
      <c r="L207" s="2">
        <v>220.76</v>
      </c>
      <c r="M207" s="2">
        <v>2667.82</v>
      </c>
    </row>
    <row r="208" spans="1:13" ht="15.75" x14ac:dyDescent="0.25">
      <c r="A208" s="2">
        <v>3599</v>
      </c>
      <c r="B208" s="2">
        <v>6012</v>
      </c>
      <c r="C208" s="2" t="s">
        <v>31</v>
      </c>
      <c r="D208" s="2" t="s">
        <v>20</v>
      </c>
      <c r="E208" s="2" t="s">
        <v>21</v>
      </c>
      <c r="F208" s="2" t="s">
        <v>15</v>
      </c>
      <c r="G208" s="2">
        <v>60</v>
      </c>
      <c r="H208" s="4" t="s">
        <v>16</v>
      </c>
      <c r="I208" s="2">
        <v>2404</v>
      </c>
      <c r="J208" s="2">
        <v>3.2</v>
      </c>
      <c r="K208" s="2">
        <v>52.52</v>
      </c>
      <c r="L208" s="2">
        <v>190.41</v>
      </c>
      <c r="M208" s="2">
        <v>700.47</v>
      </c>
    </row>
    <row r="209" spans="1:13" ht="15.75" x14ac:dyDescent="0.25">
      <c r="A209" s="2">
        <v>3599</v>
      </c>
      <c r="B209" s="2">
        <v>6012</v>
      </c>
      <c r="C209" s="2" t="s">
        <v>31</v>
      </c>
      <c r="D209" s="2" t="s">
        <v>20</v>
      </c>
      <c r="E209" s="2" t="s">
        <v>21</v>
      </c>
      <c r="F209" s="2" t="s">
        <v>15</v>
      </c>
      <c r="G209" s="2">
        <v>88</v>
      </c>
      <c r="H209" s="4" t="s">
        <v>16</v>
      </c>
      <c r="I209" s="2">
        <v>2404</v>
      </c>
      <c r="J209" s="2">
        <v>6.28</v>
      </c>
      <c r="K209" s="2">
        <v>96.46</v>
      </c>
      <c r="L209" s="2">
        <v>175.51</v>
      </c>
      <c r="M209" s="2">
        <v>657.66</v>
      </c>
    </row>
    <row r="210" spans="1:13" ht="15.75" x14ac:dyDescent="0.25">
      <c r="A210" s="2">
        <v>3602</v>
      </c>
      <c r="B210" s="2">
        <v>7577</v>
      </c>
      <c r="C210" s="2" t="s">
        <v>26</v>
      </c>
      <c r="D210" s="2" t="s">
        <v>27</v>
      </c>
      <c r="E210" s="2" t="s">
        <v>15</v>
      </c>
      <c r="F210" s="2" t="s">
        <v>24</v>
      </c>
      <c r="G210" s="2">
        <v>0</v>
      </c>
      <c r="H210" s="4" t="s">
        <v>16</v>
      </c>
      <c r="I210" s="2">
        <v>2404</v>
      </c>
      <c r="J210" s="2">
        <v>11.13</v>
      </c>
      <c r="K210" s="2">
        <v>193.79</v>
      </c>
      <c r="L210" s="2">
        <v>249.19</v>
      </c>
      <c r="M210" s="2">
        <v>1045.07</v>
      </c>
    </row>
    <row r="211" spans="1:13" ht="15.75" x14ac:dyDescent="0.25">
      <c r="A211" s="2">
        <v>3602</v>
      </c>
      <c r="B211" s="2">
        <v>7577</v>
      </c>
      <c r="C211" s="2" t="s">
        <v>26</v>
      </c>
      <c r="D211" s="2" t="s">
        <v>27</v>
      </c>
      <c r="E211" s="2" t="s">
        <v>15</v>
      </c>
      <c r="F211" s="2" t="s">
        <v>24</v>
      </c>
      <c r="G211" s="2">
        <v>14</v>
      </c>
      <c r="H211" s="4" t="s">
        <v>16</v>
      </c>
      <c r="I211" s="2">
        <v>2404</v>
      </c>
      <c r="J211" s="2">
        <v>5.57</v>
      </c>
      <c r="K211" s="2">
        <v>136.13999999999999</v>
      </c>
      <c r="L211" s="2">
        <v>138.78</v>
      </c>
      <c r="M211" s="2">
        <v>1069.23</v>
      </c>
    </row>
    <row r="212" spans="1:13" ht="15.75" x14ac:dyDescent="0.25">
      <c r="A212" s="2">
        <v>3602</v>
      </c>
      <c r="B212" s="2">
        <v>7577</v>
      </c>
      <c r="C212" s="2" t="s">
        <v>26</v>
      </c>
      <c r="D212" s="2" t="s">
        <v>27</v>
      </c>
      <c r="E212" s="2" t="s">
        <v>15</v>
      </c>
      <c r="F212" s="2" t="s">
        <v>24</v>
      </c>
      <c r="G212" s="2">
        <v>60</v>
      </c>
      <c r="H212" s="4" t="s">
        <v>16</v>
      </c>
      <c r="I212" s="2">
        <v>2404</v>
      </c>
      <c r="J212" s="2">
        <v>5.08</v>
      </c>
      <c r="K212" s="2">
        <v>64.27</v>
      </c>
      <c r="L212" s="2">
        <v>196.09</v>
      </c>
      <c r="M212" s="2">
        <v>610.91999999999996</v>
      </c>
    </row>
    <row r="213" spans="1:13" ht="15.75" x14ac:dyDescent="0.25">
      <c r="A213" s="2">
        <v>3602</v>
      </c>
      <c r="B213" s="2">
        <v>7577</v>
      </c>
      <c r="C213" s="2" t="s">
        <v>26</v>
      </c>
      <c r="D213" s="2" t="s">
        <v>27</v>
      </c>
      <c r="E213" s="2" t="s">
        <v>15</v>
      </c>
      <c r="F213" s="2" t="s">
        <v>24</v>
      </c>
      <c r="G213" s="2">
        <v>88</v>
      </c>
      <c r="H213" s="4" t="s">
        <v>16</v>
      </c>
      <c r="I213" s="2">
        <v>2404</v>
      </c>
      <c r="J213" s="2">
        <v>0.34</v>
      </c>
      <c r="K213" s="2">
        <v>18.13</v>
      </c>
      <c r="L213" s="2">
        <v>182.61</v>
      </c>
      <c r="M213" s="2">
        <v>387.45</v>
      </c>
    </row>
    <row r="214" spans="1:13" ht="15.75" x14ac:dyDescent="0.25">
      <c r="A214" s="2">
        <v>3603</v>
      </c>
      <c r="B214" s="2">
        <v>7519</v>
      </c>
      <c r="C214" s="2" t="s">
        <v>30</v>
      </c>
      <c r="D214" s="2" t="s">
        <v>20</v>
      </c>
      <c r="E214" s="2" t="s">
        <v>21</v>
      </c>
      <c r="F214" s="2" t="s">
        <v>15</v>
      </c>
      <c r="G214" s="2">
        <v>0</v>
      </c>
      <c r="H214" s="4" t="s">
        <v>16</v>
      </c>
      <c r="I214" s="2">
        <v>2404</v>
      </c>
      <c r="J214" s="2">
        <v>11.26</v>
      </c>
      <c r="K214" s="2">
        <v>125.2</v>
      </c>
      <c r="L214" s="2">
        <v>94.74</v>
      </c>
      <c r="M214" s="2">
        <v>1112.6300000000001</v>
      </c>
    </row>
    <row r="215" spans="1:13" ht="15.75" x14ac:dyDescent="0.25">
      <c r="A215" s="2">
        <v>3603</v>
      </c>
      <c r="B215" s="2">
        <v>7519</v>
      </c>
      <c r="C215" s="2" t="s">
        <v>30</v>
      </c>
      <c r="D215" s="2" t="s">
        <v>20</v>
      </c>
      <c r="E215" s="2" t="s">
        <v>21</v>
      </c>
      <c r="F215" s="2" t="s">
        <v>15</v>
      </c>
      <c r="G215" s="2">
        <v>14</v>
      </c>
      <c r="H215" s="4" t="s">
        <v>16</v>
      </c>
      <c r="I215" s="2">
        <v>2404</v>
      </c>
      <c r="J215" s="2">
        <v>4.3499999999999996</v>
      </c>
      <c r="K215" s="2">
        <v>117.82</v>
      </c>
      <c r="L215" s="2">
        <v>103.56</v>
      </c>
      <c r="M215" s="2">
        <v>2082.48</v>
      </c>
    </row>
    <row r="216" spans="1:13" ht="15.75" x14ac:dyDescent="0.25">
      <c r="A216" s="2">
        <v>3603</v>
      </c>
      <c r="B216" s="2">
        <v>7519</v>
      </c>
      <c r="C216" s="2" t="s">
        <v>30</v>
      </c>
      <c r="D216" s="2" t="s">
        <v>20</v>
      </c>
      <c r="E216" s="2" t="s">
        <v>21</v>
      </c>
      <c r="F216" s="2" t="s">
        <v>15</v>
      </c>
      <c r="G216" s="2">
        <v>60</v>
      </c>
      <c r="H216" s="4" t="s">
        <v>16</v>
      </c>
      <c r="I216" s="2">
        <v>2404</v>
      </c>
      <c r="J216" s="2">
        <v>12.53</v>
      </c>
      <c r="K216" s="2">
        <v>145.87</v>
      </c>
      <c r="L216" s="2">
        <v>76.17</v>
      </c>
      <c r="M216" s="2">
        <v>976.04</v>
      </c>
    </row>
    <row r="217" spans="1:13" ht="15.75" x14ac:dyDescent="0.25">
      <c r="A217" s="2">
        <v>3603</v>
      </c>
      <c r="B217" s="2">
        <v>7519</v>
      </c>
      <c r="C217" s="2" t="s">
        <v>30</v>
      </c>
      <c r="D217" s="2" t="s">
        <v>20</v>
      </c>
      <c r="E217" s="2" t="s">
        <v>21</v>
      </c>
      <c r="F217" s="2" t="s">
        <v>15</v>
      </c>
      <c r="G217" s="2">
        <v>88</v>
      </c>
      <c r="H217" s="4" t="s">
        <v>16</v>
      </c>
      <c r="I217" s="2">
        <v>2404</v>
      </c>
      <c r="J217" s="2">
        <v>20.56</v>
      </c>
      <c r="K217" s="2">
        <v>71.48</v>
      </c>
      <c r="L217" s="2">
        <v>138.34</v>
      </c>
      <c r="M217" s="2">
        <v>806.93</v>
      </c>
    </row>
    <row r="218" spans="1:13" ht="15.75" x14ac:dyDescent="0.25">
      <c r="A218" s="2">
        <v>3607</v>
      </c>
      <c r="B218" s="2">
        <v>5702</v>
      </c>
      <c r="C218" s="2" t="s">
        <v>30</v>
      </c>
      <c r="D218" s="2" t="s">
        <v>20</v>
      </c>
      <c r="E218" s="2" t="s">
        <v>21</v>
      </c>
      <c r="F218" s="2" t="s">
        <v>15</v>
      </c>
      <c r="G218" s="2">
        <v>0</v>
      </c>
      <c r="H218" s="4" t="s">
        <v>16</v>
      </c>
      <c r="I218" s="2">
        <v>2404</v>
      </c>
      <c r="J218" s="2">
        <v>2.66</v>
      </c>
      <c r="K218" s="2">
        <v>143.66999999999999</v>
      </c>
      <c r="L218" s="2">
        <v>191.35</v>
      </c>
      <c r="M218" s="2">
        <v>1707.51</v>
      </c>
    </row>
    <row r="219" spans="1:13" ht="15.75" x14ac:dyDescent="0.25">
      <c r="A219" s="2">
        <v>3607</v>
      </c>
      <c r="B219" s="2">
        <v>5702</v>
      </c>
      <c r="C219" s="2" t="s">
        <v>30</v>
      </c>
      <c r="D219" s="2" t="s">
        <v>20</v>
      </c>
      <c r="E219" s="2" t="s">
        <v>21</v>
      </c>
      <c r="F219" s="2" t="s">
        <v>15</v>
      </c>
      <c r="G219" s="2">
        <v>14</v>
      </c>
      <c r="H219" s="4" t="s">
        <v>16</v>
      </c>
      <c r="I219" s="2">
        <v>2404</v>
      </c>
      <c r="J219" s="2">
        <v>2.11</v>
      </c>
      <c r="K219" s="2">
        <v>107.48</v>
      </c>
      <c r="L219" s="2">
        <v>148.55000000000001</v>
      </c>
      <c r="M219" s="2">
        <v>1811.63</v>
      </c>
    </row>
    <row r="220" spans="1:13" ht="15.75" x14ac:dyDescent="0.25">
      <c r="A220" s="2">
        <v>3607</v>
      </c>
      <c r="B220" s="2">
        <v>5702</v>
      </c>
      <c r="C220" s="2" t="s">
        <v>30</v>
      </c>
      <c r="D220" s="2" t="s">
        <v>20</v>
      </c>
      <c r="E220" s="2" t="s">
        <v>21</v>
      </c>
      <c r="F220" s="2" t="s">
        <v>15</v>
      </c>
      <c r="G220" s="2">
        <v>60</v>
      </c>
      <c r="H220" s="4" t="s">
        <v>16</v>
      </c>
      <c r="I220" s="2">
        <v>2404</v>
      </c>
      <c r="J220" s="2">
        <v>7.06</v>
      </c>
      <c r="K220" s="2">
        <v>231.57</v>
      </c>
      <c r="L220" s="2">
        <v>183.89</v>
      </c>
      <c r="M220" s="2">
        <v>1582.54</v>
      </c>
    </row>
    <row r="221" spans="1:13" ht="15.75" x14ac:dyDescent="0.25">
      <c r="A221" s="2">
        <v>3607</v>
      </c>
      <c r="B221" s="2">
        <v>5702</v>
      </c>
      <c r="C221" s="2" t="s">
        <v>30</v>
      </c>
      <c r="D221" s="2" t="s">
        <v>20</v>
      </c>
      <c r="E221" s="2" t="s">
        <v>21</v>
      </c>
      <c r="F221" s="2" t="s">
        <v>15</v>
      </c>
      <c r="G221" s="2">
        <v>88</v>
      </c>
      <c r="H221" s="4" t="s">
        <v>16</v>
      </c>
      <c r="I221" s="2">
        <v>2404</v>
      </c>
      <c r="J221" s="2">
        <v>12.87</v>
      </c>
      <c r="K221" s="2">
        <v>236.43</v>
      </c>
      <c r="L221" s="2">
        <v>357.44</v>
      </c>
      <c r="M221" s="2">
        <v>5091.8599999999997</v>
      </c>
    </row>
    <row r="222" spans="1:13" ht="15.75" x14ac:dyDescent="0.25">
      <c r="A222" s="2">
        <v>3610</v>
      </c>
      <c r="B222" s="2">
        <v>7558</v>
      </c>
      <c r="C222" s="2" t="s">
        <v>22</v>
      </c>
      <c r="D222" s="2" t="s">
        <v>23</v>
      </c>
      <c r="E222" s="2" t="s">
        <v>21</v>
      </c>
      <c r="F222" s="2" t="s">
        <v>24</v>
      </c>
      <c r="G222" s="2">
        <v>0</v>
      </c>
      <c r="H222" s="4" t="s">
        <v>16</v>
      </c>
      <c r="I222" s="2">
        <v>2404</v>
      </c>
      <c r="J222" s="2">
        <v>6.89</v>
      </c>
      <c r="K222" s="2">
        <v>64.33</v>
      </c>
      <c r="L222" s="2">
        <v>165.74</v>
      </c>
      <c r="M222" s="2">
        <v>1697.1</v>
      </c>
    </row>
    <row r="223" spans="1:13" ht="15.75" x14ac:dyDescent="0.25">
      <c r="A223" s="2">
        <v>3610</v>
      </c>
      <c r="B223" s="2">
        <v>7558</v>
      </c>
      <c r="C223" s="2" t="s">
        <v>22</v>
      </c>
      <c r="D223" s="2" t="s">
        <v>23</v>
      </c>
      <c r="E223" s="2" t="s">
        <v>21</v>
      </c>
      <c r="F223" s="2" t="s">
        <v>24</v>
      </c>
      <c r="G223" s="2">
        <v>14</v>
      </c>
      <c r="H223" s="4" t="s">
        <v>16</v>
      </c>
      <c r="I223" s="2">
        <v>2404</v>
      </c>
      <c r="J223" s="2">
        <v>4.97</v>
      </c>
      <c r="K223" s="2">
        <v>143.66999999999999</v>
      </c>
      <c r="L223" s="2">
        <v>148.09</v>
      </c>
      <c r="M223" s="2">
        <v>1018.13</v>
      </c>
    </row>
    <row r="224" spans="1:13" ht="15.75" x14ac:dyDescent="0.25">
      <c r="A224" s="2">
        <v>3610</v>
      </c>
      <c r="B224" s="2">
        <v>7558</v>
      </c>
      <c r="C224" s="2" t="s">
        <v>22</v>
      </c>
      <c r="D224" s="2" t="s">
        <v>23</v>
      </c>
      <c r="E224" s="2" t="s">
        <v>21</v>
      </c>
      <c r="F224" s="2" t="s">
        <v>24</v>
      </c>
      <c r="G224" s="2">
        <v>60</v>
      </c>
      <c r="H224" s="4" t="s">
        <v>16</v>
      </c>
      <c r="I224" s="2">
        <v>2404</v>
      </c>
      <c r="J224" s="2">
        <v>1.75</v>
      </c>
      <c r="K224" s="2">
        <v>96.46</v>
      </c>
      <c r="L224" s="2">
        <v>112.37</v>
      </c>
      <c r="M224" s="2">
        <v>1039.1500000000001</v>
      </c>
    </row>
    <row r="225" spans="1:13" ht="15.75" x14ac:dyDescent="0.25">
      <c r="A225" s="2">
        <v>3610</v>
      </c>
      <c r="B225" s="2">
        <v>7558</v>
      </c>
      <c r="C225" s="2" t="s">
        <v>22</v>
      </c>
      <c r="D225" s="2" t="s">
        <v>23</v>
      </c>
      <c r="E225" s="2" t="s">
        <v>21</v>
      </c>
      <c r="F225" s="2" t="s">
        <v>24</v>
      </c>
      <c r="G225" s="2">
        <v>88</v>
      </c>
      <c r="H225" s="4" t="s">
        <v>16</v>
      </c>
      <c r="I225" s="2">
        <v>2404</v>
      </c>
      <c r="J225" s="2">
        <v>1.19</v>
      </c>
      <c r="K225" s="2">
        <v>56.63</v>
      </c>
      <c r="L225" s="2">
        <v>313.58</v>
      </c>
      <c r="M225" s="2">
        <v>374.81</v>
      </c>
    </row>
    <row r="226" spans="1:13" ht="15.75" x14ac:dyDescent="0.25">
      <c r="A226" s="2">
        <v>3613</v>
      </c>
      <c r="B226" s="2">
        <v>4152</v>
      </c>
      <c r="C226" s="2" t="s">
        <v>32</v>
      </c>
      <c r="D226" s="2" t="s">
        <v>23</v>
      </c>
      <c r="E226" s="2" t="s">
        <v>21</v>
      </c>
      <c r="F226" s="2" t="s">
        <v>24</v>
      </c>
      <c r="G226" s="2">
        <v>0</v>
      </c>
      <c r="H226" s="4" t="s">
        <v>16</v>
      </c>
      <c r="I226" s="2">
        <v>2404</v>
      </c>
      <c r="J226" s="2">
        <v>24.03</v>
      </c>
      <c r="K226" s="2">
        <v>60.56</v>
      </c>
      <c r="L226" s="2">
        <v>309.79000000000002</v>
      </c>
      <c r="M226" s="2">
        <v>1572.13</v>
      </c>
    </row>
    <row r="227" spans="1:13" ht="15.75" x14ac:dyDescent="0.25">
      <c r="A227" s="2">
        <v>3613</v>
      </c>
      <c r="B227" s="2">
        <v>4152</v>
      </c>
      <c r="C227" s="2" t="s">
        <v>32</v>
      </c>
      <c r="D227" s="2" t="s">
        <v>23</v>
      </c>
      <c r="E227" s="2" t="s">
        <v>21</v>
      </c>
      <c r="F227" s="2" t="s">
        <v>24</v>
      </c>
      <c r="G227" s="2">
        <v>14</v>
      </c>
      <c r="H227" s="4" t="s">
        <v>16</v>
      </c>
      <c r="I227" s="2">
        <v>2404</v>
      </c>
      <c r="J227" s="2">
        <v>20.89</v>
      </c>
      <c r="K227" s="2">
        <v>56.63</v>
      </c>
      <c r="L227" s="2">
        <v>214.68</v>
      </c>
      <c r="M227" s="2">
        <v>462.92</v>
      </c>
    </row>
    <row r="228" spans="1:13" ht="15.75" x14ac:dyDescent="0.25">
      <c r="A228" s="2">
        <v>3613</v>
      </c>
      <c r="B228" s="2">
        <v>4152</v>
      </c>
      <c r="C228" s="2" t="s">
        <v>32</v>
      </c>
      <c r="D228" s="2" t="s">
        <v>23</v>
      </c>
      <c r="E228" s="2" t="s">
        <v>21</v>
      </c>
      <c r="F228" s="2" t="s">
        <v>24</v>
      </c>
      <c r="G228" s="2">
        <v>60</v>
      </c>
      <c r="H228" s="4" t="s">
        <v>16</v>
      </c>
      <c r="I228" s="2">
        <v>2404</v>
      </c>
      <c r="J228" s="2">
        <v>13.46</v>
      </c>
      <c r="K228" s="2">
        <v>56.63</v>
      </c>
      <c r="L228" s="2">
        <v>213.75</v>
      </c>
      <c r="M228" s="2">
        <v>430.02</v>
      </c>
    </row>
    <row r="229" spans="1:13" ht="15.75" x14ac:dyDescent="0.25">
      <c r="A229" s="2">
        <v>3613</v>
      </c>
      <c r="B229" s="2">
        <v>4152</v>
      </c>
      <c r="C229" s="2" t="s">
        <v>32</v>
      </c>
      <c r="D229" s="2" t="s">
        <v>23</v>
      </c>
      <c r="E229" s="2" t="s">
        <v>21</v>
      </c>
      <c r="F229" s="2" t="s">
        <v>24</v>
      </c>
      <c r="G229" s="2">
        <v>88</v>
      </c>
      <c r="H229" s="4" t="s">
        <v>16</v>
      </c>
      <c r="I229" s="2">
        <v>2404</v>
      </c>
      <c r="J229" s="2">
        <v>17.07</v>
      </c>
      <c r="K229" s="2">
        <v>52.52</v>
      </c>
      <c r="L229" s="2">
        <v>325.94</v>
      </c>
      <c r="M229" s="2">
        <v>216.64</v>
      </c>
    </row>
    <row r="230" spans="1:13" ht="15.75" x14ac:dyDescent="0.25">
      <c r="A230" s="2">
        <v>3623</v>
      </c>
      <c r="B230" s="2">
        <v>556</v>
      </c>
      <c r="C230" s="2" t="s">
        <v>30</v>
      </c>
      <c r="D230" s="2" t="s">
        <v>20</v>
      </c>
      <c r="E230" s="2" t="s">
        <v>21</v>
      </c>
      <c r="F230" s="2" t="s">
        <v>15</v>
      </c>
      <c r="G230" s="2">
        <v>0</v>
      </c>
      <c r="H230" s="4" t="s">
        <v>16</v>
      </c>
      <c r="I230" s="2">
        <v>2404</v>
      </c>
      <c r="J230" s="2">
        <v>9.31</v>
      </c>
      <c r="K230" s="2">
        <v>55.55</v>
      </c>
      <c r="L230" s="2">
        <v>186.4</v>
      </c>
      <c r="M230" s="2">
        <v>319.99</v>
      </c>
    </row>
    <row r="231" spans="1:13" ht="15.75" x14ac:dyDescent="0.25">
      <c r="A231" s="2">
        <v>3623</v>
      </c>
      <c r="B231" s="2">
        <v>556</v>
      </c>
      <c r="C231" s="2" t="s">
        <v>30</v>
      </c>
      <c r="D231" s="2" t="s">
        <v>20</v>
      </c>
      <c r="E231" s="2" t="s">
        <v>21</v>
      </c>
      <c r="F231" s="2" t="s">
        <v>15</v>
      </c>
      <c r="G231" s="2">
        <v>14</v>
      </c>
      <c r="H231" s="4" t="s">
        <v>16</v>
      </c>
      <c r="I231" s="2">
        <v>2404</v>
      </c>
      <c r="J231" s="2">
        <v>8.7899999999999991</v>
      </c>
      <c r="K231" s="2">
        <v>43.79</v>
      </c>
      <c r="L231" s="2">
        <v>171.07</v>
      </c>
      <c r="M231" s="2">
        <v>885.23</v>
      </c>
    </row>
    <row r="232" spans="1:13" ht="15.75" x14ac:dyDescent="0.25">
      <c r="A232" s="2">
        <v>3623</v>
      </c>
      <c r="B232" s="2">
        <v>556</v>
      </c>
      <c r="C232" s="2" t="s">
        <v>30</v>
      </c>
      <c r="D232" s="2" t="s">
        <v>20</v>
      </c>
      <c r="E232" s="2" t="s">
        <v>21</v>
      </c>
      <c r="F232" s="2" t="s">
        <v>15</v>
      </c>
      <c r="G232" s="2">
        <v>60</v>
      </c>
      <c r="H232" s="4" t="s">
        <v>16</v>
      </c>
      <c r="I232" s="2">
        <v>2404</v>
      </c>
      <c r="J232" s="2">
        <v>3.09</v>
      </c>
      <c r="K232" s="2">
        <v>43.79</v>
      </c>
      <c r="L232" s="2">
        <v>298.91000000000003</v>
      </c>
      <c r="M232" s="2">
        <v>675.76</v>
      </c>
    </row>
    <row r="233" spans="1:13" ht="15.75" x14ac:dyDescent="0.25">
      <c r="A233" s="2">
        <v>3623</v>
      </c>
      <c r="B233" s="2">
        <v>556</v>
      </c>
      <c r="C233" s="2" t="s">
        <v>30</v>
      </c>
      <c r="D233" s="2" t="s">
        <v>20</v>
      </c>
      <c r="E233" s="2" t="s">
        <v>21</v>
      </c>
      <c r="F233" s="2" t="s">
        <v>15</v>
      </c>
      <c r="G233" s="2">
        <v>88</v>
      </c>
      <c r="H233" s="4" t="s">
        <v>16</v>
      </c>
      <c r="I233" s="2">
        <v>2404</v>
      </c>
      <c r="J233" s="2">
        <v>12.65</v>
      </c>
      <c r="K233" s="2">
        <v>62.61</v>
      </c>
      <c r="L233" s="2">
        <v>349.42</v>
      </c>
      <c r="M233" s="2">
        <v>383.49</v>
      </c>
    </row>
    <row r="234" spans="1:13" ht="15.75" x14ac:dyDescent="0.25">
      <c r="A234" s="2">
        <v>3629</v>
      </c>
      <c r="B234" s="2">
        <v>6783</v>
      </c>
      <c r="C234" s="2" t="s">
        <v>33</v>
      </c>
      <c r="D234" s="2" t="s">
        <v>27</v>
      </c>
      <c r="E234" s="2" t="s">
        <v>15</v>
      </c>
      <c r="F234" s="2" t="s">
        <v>24</v>
      </c>
      <c r="G234" s="2">
        <v>0</v>
      </c>
      <c r="H234" s="4" t="s">
        <v>16</v>
      </c>
      <c r="I234" s="2">
        <v>2404</v>
      </c>
      <c r="J234" s="2">
        <v>1.84</v>
      </c>
      <c r="K234" s="2">
        <v>43.85</v>
      </c>
      <c r="L234" s="2">
        <v>382.28</v>
      </c>
      <c r="M234" s="2">
        <v>2462.35</v>
      </c>
    </row>
    <row r="235" spans="1:13" ht="15.75" x14ac:dyDescent="0.25">
      <c r="A235" s="2">
        <v>3629</v>
      </c>
      <c r="B235" s="2">
        <v>6783</v>
      </c>
      <c r="C235" s="2" t="s">
        <v>33</v>
      </c>
      <c r="D235" s="2" t="s">
        <v>27</v>
      </c>
      <c r="E235" s="2" t="s">
        <v>15</v>
      </c>
      <c r="F235" s="2" t="s">
        <v>24</v>
      </c>
      <c r="G235" s="2">
        <v>14</v>
      </c>
      <c r="H235" s="4" t="s">
        <v>16</v>
      </c>
      <c r="I235" s="2">
        <v>2404</v>
      </c>
      <c r="J235" s="2">
        <v>9.32</v>
      </c>
      <c r="K235" s="2">
        <v>30.4</v>
      </c>
      <c r="L235" s="2">
        <v>249.19</v>
      </c>
      <c r="M235" s="2">
        <v>1037.01</v>
      </c>
    </row>
    <row r="236" spans="1:13" ht="15.75" x14ac:dyDescent="0.25">
      <c r="A236" s="2">
        <v>3629</v>
      </c>
      <c r="B236" s="2">
        <v>6783</v>
      </c>
      <c r="C236" s="2" t="s">
        <v>33</v>
      </c>
      <c r="D236" s="2" t="s">
        <v>27</v>
      </c>
      <c r="E236" s="2" t="s">
        <v>15</v>
      </c>
      <c r="F236" s="2" t="s">
        <v>24</v>
      </c>
      <c r="G236" s="2">
        <v>60</v>
      </c>
      <c r="H236" s="4" t="s">
        <v>16</v>
      </c>
      <c r="I236" s="2">
        <v>2404</v>
      </c>
      <c r="J236" s="2">
        <v>4.4400000000000004</v>
      </c>
      <c r="K236" s="2">
        <v>78.2</v>
      </c>
      <c r="L236" s="2">
        <v>419.09</v>
      </c>
      <c r="M236" s="2">
        <v>3811.35</v>
      </c>
    </row>
    <row r="237" spans="1:13" ht="15.75" x14ac:dyDescent="0.25">
      <c r="A237" s="2">
        <v>3629</v>
      </c>
      <c r="B237" s="2">
        <v>6783</v>
      </c>
      <c r="C237" s="2" t="s">
        <v>33</v>
      </c>
      <c r="D237" s="2" t="s">
        <v>27</v>
      </c>
      <c r="E237" s="2" t="s">
        <v>15</v>
      </c>
      <c r="F237" s="2" t="s">
        <v>24</v>
      </c>
      <c r="G237" s="2">
        <v>88</v>
      </c>
      <c r="H237" s="4" t="s">
        <v>16</v>
      </c>
      <c r="I237" s="2">
        <v>2404</v>
      </c>
      <c r="J237" s="2">
        <v>5.0599999999999996</v>
      </c>
      <c r="K237" s="2">
        <v>64.33</v>
      </c>
      <c r="L237" s="2">
        <v>1431.9</v>
      </c>
      <c r="M237" s="2">
        <v>3194.36</v>
      </c>
    </row>
    <row r="238" spans="1:13" ht="15.75" x14ac:dyDescent="0.25">
      <c r="A238" s="2">
        <v>3636</v>
      </c>
      <c r="B238" s="2">
        <v>545</v>
      </c>
      <c r="C238" s="2" t="s">
        <v>26</v>
      </c>
      <c r="D238" s="2" t="s">
        <v>27</v>
      </c>
      <c r="E238" s="2" t="s">
        <v>15</v>
      </c>
      <c r="F238" s="2" t="s">
        <v>24</v>
      </c>
      <c r="G238" s="2">
        <v>0</v>
      </c>
      <c r="H238" s="4" t="s">
        <v>16</v>
      </c>
      <c r="I238" s="2">
        <v>2404</v>
      </c>
      <c r="J238" s="2">
        <v>8.61</v>
      </c>
      <c r="K238" s="2">
        <v>38.659999999999997</v>
      </c>
      <c r="L238" s="2">
        <v>182.49</v>
      </c>
      <c r="M238" s="2">
        <v>743.14</v>
      </c>
    </row>
    <row r="239" spans="1:13" ht="15.75" x14ac:dyDescent="0.25">
      <c r="A239" s="2">
        <v>3636</v>
      </c>
      <c r="B239" s="2">
        <v>545</v>
      </c>
      <c r="C239" s="2" t="s">
        <v>26</v>
      </c>
      <c r="D239" s="2" t="s">
        <v>27</v>
      </c>
      <c r="E239" s="2" t="s">
        <v>15</v>
      </c>
      <c r="F239" s="2" t="s">
        <v>24</v>
      </c>
      <c r="G239" s="2">
        <v>14</v>
      </c>
      <c r="H239" s="4" t="s">
        <v>16</v>
      </c>
      <c r="I239" s="2">
        <v>2404</v>
      </c>
      <c r="J239" s="2">
        <v>10.49</v>
      </c>
      <c r="K239" s="2">
        <v>48.19</v>
      </c>
      <c r="L239" s="2">
        <v>324.99</v>
      </c>
      <c r="M239" s="2">
        <v>528.29</v>
      </c>
    </row>
    <row r="240" spans="1:13" ht="15.75" x14ac:dyDescent="0.25">
      <c r="A240" s="2">
        <v>3636</v>
      </c>
      <c r="B240" s="2">
        <v>545</v>
      </c>
      <c r="C240" s="2" t="s">
        <v>26</v>
      </c>
      <c r="D240" s="2" t="s">
        <v>27</v>
      </c>
      <c r="E240" s="2" t="s">
        <v>15</v>
      </c>
      <c r="F240" s="2" t="s">
        <v>24</v>
      </c>
      <c r="G240" s="2">
        <v>60</v>
      </c>
      <c r="H240" s="4" t="s">
        <v>16</v>
      </c>
      <c r="I240" s="2">
        <v>2404</v>
      </c>
      <c r="J240" s="2">
        <v>3.02</v>
      </c>
      <c r="K240" s="2">
        <v>136.93</v>
      </c>
      <c r="L240" s="2">
        <v>144.84</v>
      </c>
      <c r="M240" s="2">
        <v>1091.6500000000001</v>
      </c>
    </row>
    <row r="241" spans="1:13" ht="15.75" x14ac:dyDescent="0.25">
      <c r="A241" s="2">
        <v>3636</v>
      </c>
      <c r="B241" s="2">
        <v>545</v>
      </c>
      <c r="C241" s="2" t="s">
        <v>26</v>
      </c>
      <c r="D241" s="2" t="s">
        <v>27</v>
      </c>
      <c r="E241" s="2" t="s">
        <v>15</v>
      </c>
      <c r="F241" s="2" t="s">
        <v>24</v>
      </c>
      <c r="G241" s="2">
        <v>88</v>
      </c>
      <c r="H241" s="4" t="s">
        <v>16</v>
      </c>
      <c r="I241" s="2">
        <v>2404</v>
      </c>
      <c r="J241" s="2">
        <v>6.02</v>
      </c>
      <c r="K241" s="2">
        <v>115.29</v>
      </c>
      <c r="L241" s="2">
        <v>163.41999999999999</v>
      </c>
      <c r="M241" s="2">
        <v>881.08</v>
      </c>
    </row>
    <row r="242" spans="1:13" ht="15.75" x14ac:dyDescent="0.25">
      <c r="A242" s="2">
        <v>3639</v>
      </c>
      <c r="B242" s="2">
        <v>638</v>
      </c>
      <c r="C242" s="2" t="s">
        <v>34</v>
      </c>
      <c r="D242" s="2" t="s">
        <v>14</v>
      </c>
      <c r="E242" s="2" t="s">
        <v>15</v>
      </c>
      <c r="F242" s="2" t="s">
        <v>15</v>
      </c>
      <c r="G242" s="2">
        <v>0</v>
      </c>
      <c r="H242" s="4" t="s">
        <v>16</v>
      </c>
      <c r="I242" s="2">
        <v>2404</v>
      </c>
      <c r="J242" s="2">
        <v>9.0500000000000007</v>
      </c>
      <c r="K242" s="2">
        <v>279.73</v>
      </c>
      <c r="L242" s="2">
        <v>352.41</v>
      </c>
      <c r="M242" s="2">
        <v>6083.52</v>
      </c>
    </row>
    <row r="243" spans="1:13" ht="15.75" x14ac:dyDescent="0.25">
      <c r="A243" s="2">
        <v>3639</v>
      </c>
      <c r="B243" s="2">
        <v>638</v>
      </c>
      <c r="C243" s="2" t="s">
        <v>34</v>
      </c>
      <c r="D243" s="2" t="s">
        <v>14</v>
      </c>
      <c r="E243" s="2" t="s">
        <v>15</v>
      </c>
      <c r="F243" s="2" t="s">
        <v>15</v>
      </c>
      <c r="G243" s="2">
        <v>14</v>
      </c>
      <c r="H243" s="4" t="s">
        <v>16</v>
      </c>
      <c r="I243" s="2">
        <v>2404</v>
      </c>
      <c r="J243" s="2">
        <v>13.35</v>
      </c>
      <c r="K243" s="2">
        <v>109.97</v>
      </c>
      <c r="L243" s="2">
        <v>247.95</v>
      </c>
      <c r="M243" s="2">
        <v>2934.28</v>
      </c>
    </row>
    <row r="244" spans="1:13" ht="15.75" x14ac:dyDescent="0.25">
      <c r="A244" s="2">
        <v>3639</v>
      </c>
      <c r="B244" s="2">
        <v>638</v>
      </c>
      <c r="C244" s="2" t="s">
        <v>34</v>
      </c>
      <c r="D244" s="2" t="s">
        <v>14</v>
      </c>
      <c r="E244" s="2" t="s">
        <v>15</v>
      </c>
      <c r="F244" s="2" t="s">
        <v>15</v>
      </c>
      <c r="G244" s="2">
        <v>60</v>
      </c>
      <c r="H244" s="4" t="s">
        <v>16</v>
      </c>
      <c r="I244" s="2">
        <v>2404</v>
      </c>
      <c r="J244" s="2">
        <v>2.97</v>
      </c>
      <c r="K244" s="2">
        <v>95.04</v>
      </c>
      <c r="L244" s="2">
        <v>260.81</v>
      </c>
      <c r="M244" s="2">
        <v>1517.2</v>
      </c>
    </row>
    <row r="245" spans="1:13" ht="15.75" x14ac:dyDescent="0.25">
      <c r="A245" s="2">
        <v>3639</v>
      </c>
      <c r="B245" s="2">
        <v>638</v>
      </c>
      <c r="C245" s="2" t="s">
        <v>34</v>
      </c>
      <c r="D245" s="2" t="s">
        <v>14</v>
      </c>
      <c r="E245" s="2" t="s">
        <v>15</v>
      </c>
      <c r="F245" s="2" t="s">
        <v>15</v>
      </c>
      <c r="G245" s="2">
        <v>88</v>
      </c>
      <c r="H245" s="4" t="s">
        <v>16</v>
      </c>
      <c r="I245" s="2">
        <v>2404</v>
      </c>
      <c r="J245" s="2">
        <v>5.15</v>
      </c>
      <c r="K245" s="2">
        <v>58.05</v>
      </c>
      <c r="L245" s="2">
        <v>325.3</v>
      </c>
      <c r="M245" s="2">
        <v>858.72</v>
      </c>
    </row>
    <row r="246" spans="1:13" ht="15.75" x14ac:dyDescent="0.25">
      <c r="A246" s="2">
        <v>3642</v>
      </c>
      <c r="B246" s="2">
        <v>6758</v>
      </c>
      <c r="C246" s="2" t="s">
        <v>29</v>
      </c>
      <c r="D246" s="2" t="s">
        <v>27</v>
      </c>
      <c r="E246" s="2" t="s">
        <v>15</v>
      </c>
      <c r="F246" s="2" t="s">
        <v>24</v>
      </c>
      <c r="G246" s="2">
        <v>0</v>
      </c>
      <c r="H246" s="4" t="s">
        <v>16</v>
      </c>
      <c r="I246" s="2">
        <v>2404</v>
      </c>
      <c r="J246" s="2">
        <v>10.94</v>
      </c>
      <c r="K246" s="5">
        <v>1E-3</v>
      </c>
      <c r="L246" s="2">
        <v>539.29999999999995</v>
      </c>
      <c r="M246" s="2">
        <v>319.99</v>
      </c>
    </row>
    <row r="247" spans="1:13" ht="15.75" x14ac:dyDescent="0.25">
      <c r="A247" s="2">
        <v>3642</v>
      </c>
      <c r="B247" s="2">
        <v>6758</v>
      </c>
      <c r="C247" s="2" t="s">
        <v>29</v>
      </c>
      <c r="D247" s="2" t="s">
        <v>27</v>
      </c>
      <c r="E247" s="2" t="s">
        <v>15</v>
      </c>
      <c r="F247" s="2" t="s">
        <v>24</v>
      </c>
      <c r="G247" s="2">
        <v>14</v>
      </c>
      <c r="H247" s="4" t="s">
        <v>16</v>
      </c>
      <c r="I247" s="2">
        <v>2404</v>
      </c>
      <c r="J247" s="2">
        <v>6.29</v>
      </c>
      <c r="K247" s="2">
        <v>17.48</v>
      </c>
      <c r="L247" s="2">
        <v>290.29000000000002</v>
      </c>
      <c r="M247" s="2">
        <v>668.58</v>
      </c>
    </row>
    <row r="248" spans="1:13" ht="15.75" x14ac:dyDescent="0.25">
      <c r="A248" s="2">
        <v>3642</v>
      </c>
      <c r="B248" s="2">
        <v>6758</v>
      </c>
      <c r="C248" s="2" t="s">
        <v>29</v>
      </c>
      <c r="D248" s="2" t="s">
        <v>27</v>
      </c>
      <c r="E248" s="2" t="s">
        <v>15</v>
      </c>
      <c r="F248" s="2" t="s">
        <v>24</v>
      </c>
      <c r="G248" s="2">
        <v>60</v>
      </c>
      <c r="H248" s="4" t="s">
        <v>16</v>
      </c>
      <c r="I248" s="2">
        <v>2404</v>
      </c>
      <c r="J248" s="2">
        <v>4.83</v>
      </c>
      <c r="K248" s="2">
        <v>24.07</v>
      </c>
      <c r="L248" s="2">
        <v>362.01</v>
      </c>
      <c r="M248" s="2">
        <v>1556</v>
      </c>
    </row>
    <row r="249" spans="1:13" ht="15.75" x14ac:dyDescent="0.25">
      <c r="A249" s="2">
        <v>3642</v>
      </c>
      <c r="B249" s="2">
        <v>6758</v>
      </c>
      <c r="C249" s="2" t="s">
        <v>29</v>
      </c>
      <c r="D249" s="2" t="s">
        <v>27</v>
      </c>
      <c r="E249" s="2" t="s">
        <v>15</v>
      </c>
      <c r="F249" s="2" t="s">
        <v>24</v>
      </c>
      <c r="G249" s="2">
        <v>88</v>
      </c>
      <c r="H249" s="4" t="s">
        <v>16</v>
      </c>
      <c r="I249" s="2">
        <v>2404</v>
      </c>
      <c r="J249" s="2">
        <v>18.27</v>
      </c>
      <c r="K249" s="2">
        <v>17.48</v>
      </c>
      <c r="L249" s="2">
        <v>526.77</v>
      </c>
      <c r="M249" s="2">
        <v>425.96</v>
      </c>
    </row>
    <row r="250" spans="1:13" ht="15.75" x14ac:dyDescent="0.25">
      <c r="A250" s="2">
        <v>3649</v>
      </c>
      <c r="B250" s="2">
        <v>1533</v>
      </c>
      <c r="C250" s="2" t="s">
        <v>35</v>
      </c>
      <c r="D250" s="2" t="s">
        <v>20</v>
      </c>
      <c r="E250" s="2" t="s">
        <v>21</v>
      </c>
      <c r="F250" s="2" t="s">
        <v>15</v>
      </c>
      <c r="G250" s="2">
        <v>0</v>
      </c>
      <c r="H250" s="4" t="s">
        <v>16</v>
      </c>
      <c r="I250" s="2">
        <v>2404</v>
      </c>
      <c r="J250" s="2">
        <v>2.2000000000000002</v>
      </c>
      <c r="K250" s="2">
        <v>30.4</v>
      </c>
      <c r="L250" s="2">
        <v>189.55</v>
      </c>
      <c r="M250" s="2">
        <v>577.24</v>
      </c>
    </row>
    <row r="251" spans="1:13" ht="15.75" x14ac:dyDescent="0.25">
      <c r="A251" s="2">
        <v>3649</v>
      </c>
      <c r="B251" s="2">
        <v>1533</v>
      </c>
      <c r="C251" s="2" t="s">
        <v>35</v>
      </c>
      <c r="D251" s="2" t="s">
        <v>20</v>
      </c>
      <c r="E251" s="2" t="s">
        <v>21</v>
      </c>
      <c r="F251" s="2" t="s">
        <v>15</v>
      </c>
      <c r="G251" s="2">
        <v>14</v>
      </c>
      <c r="H251" s="4" t="s">
        <v>16</v>
      </c>
      <c r="I251" s="2">
        <v>2404</v>
      </c>
      <c r="J251" s="2">
        <v>2.9</v>
      </c>
      <c r="K251" s="2">
        <v>58.05</v>
      </c>
      <c r="L251" s="2">
        <v>210.43</v>
      </c>
      <c r="M251" s="2">
        <v>923.79</v>
      </c>
    </row>
    <row r="252" spans="1:13" ht="15.75" x14ac:dyDescent="0.25">
      <c r="A252" s="2">
        <v>3649</v>
      </c>
      <c r="B252" s="2">
        <v>1533</v>
      </c>
      <c r="C252" s="2" t="s">
        <v>35</v>
      </c>
      <c r="D252" s="2" t="s">
        <v>20</v>
      </c>
      <c r="E252" s="2" t="s">
        <v>21</v>
      </c>
      <c r="F252" s="2" t="s">
        <v>15</v>
      </c>
      <c r="G252" s="2">
        <v>60</v>
      </c>
      <c r="H252" s="4" t="s">
        <v>16</v>
      </c>
      <c r="I252" s="2">
        <v>2404</v>
      </c>
      <c r="J252" s="2">
        <v>1.35</v>
      </c>
      <c r="K252" s="2">
        <v>8.58</v>
      </c>
      <c r="L252" s="2">
        <v>147.66999999999999</v>
      </c>
      <c r="M252" s="2">
        <v>492.07</v>
      </c>
    </row>
    <row r="253" spans="1:13" ht="15.75" x14ac:dyDescent="0.25">
      <c r="A253" s="2">
        <v>3649</v>
      </c>
      <c r="B253" s="2">
        <v>1533</v>
      </c>
      <c r="C253" s="2" t="s">
        <v>35</v>
      </c>
      <c r="D253" s="2" t="s">
        <v>20</v>
      </c>
      <c r="E253" s="2" t="s">
        <v>21</v>
      </c>
      <c r="F253" s="2" t="s">
        <v>15</v>
      </c>
      <c r="G253" s="2">
        <v>88</v>
      </c>
      <c r="H253" s="4" t="s">
        <v>16</v>
      </c>
      <c r="I253" s="2">
        <v>2404</v>
      </c>
      <c r="J253" s="2">
        <v>2.2000000000000002</v>
      </c>
      <c r="K253" s="2">
        <v>67.209999999999994</v>
      </c>
      <c r="L253" s="2">
        <v>176.09</v>
      </c>
      <c r="M253" s="2">
        <v>644.41999999999996</v>
      </c>
    </row>
    <row r="254" spans="1:13" ht="15.75" x14ac:dyDescent="0.25">
      <c r="A254" s="2">
        <v>3660</v>
      </c>
      <c r="B254" s="2">
        <v>7531</v>
      </c>
      <c r="C254" s="2" t="s">
        <v>22</v>
      </c>
      <c r="D254" s="2" t="s">
        <v>23</v>
      </c>
      <c r="E254" s="2" t="s">
        <v>21</v>
      </c>
      <c r="F254" s="2" t="s">
        <v>24</v>
      </c>
      <c r="G254" s="2">
        <v>0</v>
      </c>
      <c r="H254" s="4" t="s">
        <v>16</v>
      </c>
      <c r="I254" s="2">
        <v>2404</v>
      </c>
      <c r="J254" s="2">
        <v>10.199999999999999</v>
      </c>
      <c r="K254" s="2">
        <v>110.68</v>
      </c>
      <c r="L254" s="2">
        <v>238.98</v>
      </c>
      <c r="M254" s="2">
        <v>1089.47</v>
      </c>
    </row>
    <row r="255" spans="1:13" ht="15.75" x14ac:dyDescent="0.25">
      <c r="A255" s="2">
        <v>3660</v>
      </c>
      <c r="B255" s="2">
        <v>7531</v>
      </c>
      <c r="C255" s="2" t="s">
        <v>22</v>
      </c>
      <c r="D255" s="2" t="s">
        <v>23</v>
      </c>
      <c r="E255" s="2" t="s">
        <v>21</v>
      </c>
      <c r="F255" s="2" t="s">
        <v>24</v>
      </c>
      <c r="G255" s="2">
        <v>14</v>
      </c>
      <c r="H255" s="4" t="s">
        <v>16</v>
      </c>
      <c r="I255" s="2">
        <v>2404</v>
      </c>
      <c r="J255" s="2">
        <v>10.42</v>
      </c>
      <c r="K255" s="2">
        <v>72.41</v>
      </c>
      <c r="L255" s="2">
        <v>192.4</v>
      </c>
      <c r="M255" s="2">
        <v>1751.29</v>
      </c>
    </row>
    <row r="256" spans="1:13" ht="15.75" x14ac:dyDescent="0.25">
      <c r="A256" s="2">
        <v>3660</v>
      </c>
      <c r="B256" s="2">
        <v>7531</v>
      </c>
      <c r="C256" s="2" t="s">
        <v>22</v>
      </c>
      <c r="D256" s="2" t="s">
        <v>23</v>
      </c>
      <c r="E256" s="2" t="s">
        <v>21</v>
      </c>
      <c r="F256" s="2" t="s">
        <v>24</v>
      </c>
      <c r="G256" s="2">
        <v>60</v>
      </c>
      <c r="H256" s="4" t="s">
        <v>16</v>
      </c>
      <c r="I256" s="2">
        <v>2404</v>
      </c>
      <c r="J256" s="2">
        <v>8.49</v>
      </c>
      <c r="K256" s="2">
        <v>34.78</v>
      </c>
      <c r="L256" s="2">
        <v>157.9</v>
      </c>
      <c r="M256" s="2">
        <v>733.33</v>
      </c>
    </row>
    <row r="257" spans="1:13" ht="15.75" x14ac:dyDescent="0.25">
      <c r="A257" s="2">
        <v>3660</v>
      </c>
      <c r="B257" s="2">
        <v>7531</v>
      </c>
      <c r="C257" s="2" t="s">
        <v>22</v>
      </c>
      <c r="D257" s="2" t="s">
        <v>23</v>
      </c>
      <c r="E257" s="2" t="s">
        <v>21</v>
      </c>
      <c r="F257" s="2" t="s">
        <v>24</v>
      </c>
      <c r="G257" s="2">
        <v>88</v>
      </c>
      <c r="H257" s="4" t="s">
        <v>16</v>
      </c>
      <c r="I257" s="2">
        <v>2404</v>
      </c>
      <c r="J257" s="2">
        <v>25.27</v>
      </c>
      <c r="K257" s="2">
        <v>24.07</v>
      </c>
      <c r="L257" s="2">
        <v>380.14</v>
      </c>
      <c r="M257" s="2">
        <v>1630.92</v>
      </c>
    </row>
    <row r="258" spans="1:13" ht="15.75" x14ac:dyDescent="0.25">
      <c r="A258" s="2">
        <v>3662</v>
      </c>
      <c r="B258" s="2">
        <v>1529</v>
      </c>
      <c r="C258" s="2" t="s">
        <v>22</v>
      </c>
      <c r="D258" s="2" t="s">
        <v>23</v>
      </c>
      <c r="E258" s="2" t="s">
        <v>21</v>
      </c>
      <c r="F258" s="2" t="s">
        <v>24</v>
      </c>
      <c r="G258" s="2">
        <v>0</v>
      </c>
      <c r="H258" s="4" t="s">
        <v>16</v>
      </c>
      <c r="I258" s="2">
        <v>2404</v>
      </c>
      <c r="J258" s="2">
        <v>8.7899999999999991</v>
      </c>
      <c r="K258" s="2">
        <v>27.28</v>
      </c>
      <c r="L258" s="2">
        <v>220.3</v>
      </c>
      <c r="M258" s="2">
        <v>506.56</v>
      </c>
    </row>
    <row r="259" spans="1:13" ht="15.75" x14ac:dyDescent="0.25">
      <c r="A259" s="2">
        <v>3662</v>
      </c>
      <c r="B259" s="2">
        <v>1529</v>
      </c>
      <c r="C259" s="2" t="s">
        <v>22</v>
      </c>
      <c r="D259" s="2" t="s">
        <v>23</v>
      </c>
      <c r="E259" s="2" t="s">
        <v>21</v>
      </c>
      <c r="F259" s="2" t="s">
        <v>24</v>
      </c>
      <c r="G259" s="2">
        <v>14</v>
      </c>
      <c r="H259" s="4" t="s">
        <v>16</v>
      </c>
      <c r="I259" s="2">
        <v>2404</v>
      </c>
      <c r="J259" s="2">
        <v>5.32</v>
      </c>
      <c r="K259" s="2">
        <v>56.63</v>
      </c>
      <c r="L259" s="2">
        <v>172.72</v>
      </c>
      <c r="M259" s="2">
        <v>954.97</v>
      </c>
    </row>
    <row r="260" spans="1:13" ht="15.75" x14ac:dyDescent="0.25">
      <c r="A260" s="2">
        <v>3662</v>
      </c>
      <c r="B260" s="2">
        <v>1529</v>
      </c>
      <c r="C260" s="2" t="s">
        <v>22</v>
      </c>
      <c r="D260" s="2" t="s">
        <v>23</v>
      </c>
      <c r="E260" s="2" t="s">
        <v>21</v>
      </c>
      <c r="F260" s="2" t="s">
        <v>24</v>
      </c>
      <c r="G260" s="2">
        <v>60</v>
      </c>
      <c r="H260" s="4" t="s">
        <v>16</v>
      </c>
      <c r="I260" s="2">
        <v>2404</v>
      </c>
      <c r="J260" s="2">
        <v>11.85</v>
      </c>
      <c r="K260" s="2">
        <v>48.19</v>
      </c>
      <c r="L260" s="2">
        <v>149.47999999999999</v>
      </c>
      <c r="M260" s="2">
        <v>506.56</v>
      </c>
    </row>
    <row r="261" spans="1:13" ht="15.75" x14ac:dyDescent="0.25">
      <c r="A261" s="2">
        <v>3662</v>
      </c>
      <c r="B261" s="2">
        <v>1529</v>
      </c>
      <c r="C261" s="2" t="s">
        <v>22</v>
      </c>
      <c r="D261" s="2" t="s">
        <v>23</v>
      </c>
      <c r="E261" s="2" t="s">
        <v>21</v>
      </c>
      <c r="F261" s="2" t="s">
        <v>24</v>
      </c>
      <c r="G261" s="2">
        <v>88</v>
      </c>
      <c r="H261" s="4" t="s">
        <v>16</v>
      </c>
      <c r="I261" s="2">
        <v>2404</v>
      </c>
      <c r="J261" s="2">
        <v>41.95</v>
      </c>
      <c r="K261" s="2">
        <v>71.48</v>
      </c>
      <c r="L261" s="2">
        <v>321.19</v>
      </c>
      <c r="M261" s="2">
        <v>1196.43</v>
      </c>
    </row>
    <row r="262" spans="1:13" ht="15.75" x14ac:dyDescent="0.25">
      <c r="A262" s="1">
        <v>2001</v>
      </c>
      <c r="B262" s="2">
        <v>7</v>
      </c>
      <c r="C262" s="2" t="s">
        <v>36</v>
      </c>
      <c r="D262" s="2" t="s">
        <v>23</v>
      </c>
      <c r="E262" s="2" t="s">
        <v>21</v>
      </c>
      <c r="F262" s="2" t="s">
        <v>24</v>
      </c>
      <c r="G262" s="2">
        <v>14</v>
      </c>
      <c r="H262" s="4" t="s">
        <v>37</v>
      </c>
      <c r="I262" s="2">
        <v>2214</v>
      </c>
      <c r="J262" s="3">
        <v>0.61</v>
      </c>
      <c r="K262" s="3">
        <v>21.6</v>
      </c>
      <c r="L262" s="3">
        <v>121.42</v>
      </c>
      <c r="M262" s="3">
        <v>119.37</v>
      </c>
    </row>
    <row r="263" spans="1:13" ht="15.75" x14ac:dyDescent="0.25">
      <c r="A263" s="1">
        <v>2001</v>
      </c>
      <c r="B263" s="2">
        <v>7</v>
      </c>
      <c r="C263" s="2" t="s">
        <v>36</v>
      </c>
      <c r="D263" s="2" t="s">
        <v>23</v>
      </c>
      <c r="E263" s="2" t="s">
        <v>21</v>
      </c>
      <c r="F263" s="2" t="s">
        <v>24</v>
      </c>
      <c r="G263" s="2">
        <v>88</v>
      </c>
      <c r="H263" s="4" t="s">
        <v>37</v>
      </c>
      <c r="I263" s="2">
        <v>2214</v>
      </c>
      <c r="J263" s="3">
        <v>1.07</v>
      </c>
      <c r="K263" s="3">
        <v>22.46</v>
      </c>
      <c r="L263" s="3">
        <v>53.16</v>
      </c>
      <c r="M263" s="3">
        <v>148.66</v>
      </c>
    </row>
    <row r="264" spans="1:13" ht="15.75" x14ac:dyDescent="0.25">
      <c r="A264" s="1">
        <v>2001</v>
      </c>
      <c r="B264" s="2">
        <v>7</v>
      </c>
      <c r="C264" s="2" t="s">
        <v>36</v>
      </c>
      <c r="D264" s="2" t="s">
        <v>23</v>
      </c>
      <c r="E264" s="2" t="s">
        <v>21</v>
      </c>
      <c r="F264" s="2" t="s">
        <v>24</v>
      </c>
      <c r="G264" s="2">
        <v>60</v>
      </c>
      <c r="H264" s="4" t="s">
        <v>37</v>
      </c>
      <c r="I264" s="2">
        <v>2214</v>
      </c>
      <c r="J264" s="3">
        <v>1.51</v>
      </c>
      <c r="K264" s="3">
        <v>36.54</v>
      </c>
      <c r="L264" s="3">
        <v>42.06</v>
      </c>
      <c r="M264" s="3">
        <v>122.61</v>
      </c>
    </row>
    <row r="265" spans="1:13" ht="15.75" x14ac:dyDescent="0.25">
      <c r="A265" s="1">
        <v>2001</v>
      </c>
      <c r="B265" s="2">
        <v>7</v>
      </c>
      <c r="C265" s="2" t="s">
        <v>36</v>
      </c>
      <c r="D265" s="2" t="s">
        <v>23</v>
      </c>
      <c r="E265" s="2" t="s">
        <v>21</v>
      </c>
      <c r="F265" s="2" t="s">
        <v>24</v>
      </c>
      <c r="G265" s="2">
        <v>0</v>
      </c>
      <c r="H265" s="4" t="s">
        <v>37</v>
      </c>
      <c r="I265" s="2">
        <v>2214</v>
      </c>
      <c r="J265" s="3">
        <v>2.12</v>
      </c>
      <c r="K265" s="3">
        <v>1E-3</v>
      </c>
      <c r="L265" s="3">
        <v>161.59</v>
      </c>
      <c r="M265" s="3">
        <v>155.22</v>
      </c>
    </row>
    <row r="266" spans="1:13" ht="15.75" x14ac:dyDescent="0.25">
      <c r="A266" s="1">
        <v>2002</v>
      </c>
      <c r="B266" s="2">
        <v>115</v>
      </c>
      <c r="C266" s="2" t="s">
        <v>13</v>
      </c>
      <c r="D266" s="2" t="s">
        <v>14</v>
      </c>
      <c r="E266" s="2" t="s">
        <v>15</v>
      </c>
      <c r="F266" s="2" t="s">
        <v>15</v>
      </c>
      <c r="G266" s="2">
        <v>14</v>
      </c>
      <c r="H266" s="4" t="s">
        <v>37</v>
      </c>
      <c r="I266" s="2">
        <v>2214</v>
      </c>
      <c r="J266" s="3">
        <v>2.09</v>
      </c>
      <c r="K266" s="3">
        <v>20.28</v>
      </c>
      <c r="L266" s="3">
        <v>64.569999999999993</v>
      </c>
      <c r="M266" s="3">
        <v>283.99</v>
      </c>
    </row>
    <row r="267" spans="1:13" ht="15.75" x14ac:dyDescent="0.25">
      <c r="A267" s="1">
        <v>2002</v>
      </c>
      <c r="B267" s="2">
        <v>115</v>
      </c>
      <c r="C267" s="2" t="s">
        <v>13</v>
      </c>
      <c r="D267" s="2" t="s">
        <v>14</v>
      </c>
      <c r="E267" s="2" t="s">
        <v>15</v>
      </c>
      <c r="F267" s="2" t="s">
        <v>15</v>
      </c>
      <c r="G267" s="2">
        <v>88</v>
      </c>
      <c r="H267" s="4" t="s">
        <v>37</v>
      </c>
      <c r="I267" s="2">
        <v>2214</v>
      </c>
      <c r="J267" s="3">
        <v>1.65</v>
      </c>
      <c r="K267" s="3">
        <v>22.69</v>
      </c>
      <c r="L267" s="3">
        <v>56.57</v>
      </c>
      <c r="M267" s="3">
        <v>448.93</v>
      </c>
    </row>
    <row r="268" spans="1:13" ht="15.75" x14ac:dyDescent="0.25">
      <c r="A268" s="1">
        <v>2002</v>
      </c>
      <c r="B268" s="2">
        <v>115</v>
      </c>
      <c r="C268" s="2" t="s">
        <v>13</v>
      </c>
      <c r="D268" s="2" t="s">
        <v>14</v>
      </c>
      <c r="E268" s="2" t="s">
        <v>15</v>
      </c>
      <c r="F268" s="2" t="s">
        <v>15</v>
      </c>
      <c r="G268" s="2">
        <v>60</v>
      </c>
      <c r="H268" s="4" t="s">
        <v>37</v>
      </c>
      <c r="I268" s="2">
        <v>2214</v>
      </c>
      <c r="J268" s="3">
        <v>0.57999999999999996</v>
      </c>
      <c r="K268" s="3">
        <v>19.02</v>
      </c>
      <c r="L268" s="3">
        <v>53.57</v>
      </c>
      <c r="M268" s="3">
        <v>215.68</v>
      </c>
    </row>
    <row r="269" spans="1:13" ht="15.75" x14ac:dyDescent="0.25">
      <c r="A269" s="1">
        <v>2002</v>
      </c>
      <c r="B269" s="2">
        <v>115</v>
      </c>
      <c r="C269" s="2" t="s">
        <v>13</v>
      </c>
      <c r="D269" s="2" t="s">
        <v>14</v>
      </c>
      <c r="E269" s="2" t="s">
        <v>15</v>
      </c>
      <c r="F269" s="2" t="s">
        <v>15</v>
      </c>
      <c r="G269" s="2">
        <v>0</v>
      </c>
      <c r="H269" s="4" t="s">
        <v>37</v>
      </c>
      <c r="I269" s="2">
        <v>2214</v>
      </c>
      <c r="J269" s="3">
        <v>2.11</v>
      </c>
      <c r="K269" s="3">
        <v>1E-3</v>
      </c>
      <c r="L269" s="3">
        <v>74.83</v>
      </c>
      <c r="M269" s="3">
        <v>201.73</v>
      </c>
    </row>
    <row r="270" spans="1:13" ht="15.75" x14ac:dyDescent="0.25">
      <c r="A270" s="1">
        <v>2006</v>
      </c>
      <c r="B270" s="2">
        <v>214</v>
      </c>
      <c r="C270" s="2" t="s">
        <v>30</v>
      </c>
      <c r="D270" s="2" t="s">
        <v>20</v>
      </c>
      <c r="E270" s="2" t="s">
        <v>21</v>
      </c>
      <c r="F270" s="2" t="s">
        <v>15</v>
      </c>
      <c r="G270" s="2">
        <v>14</v>
      </c>
      <c r="H270" s="4" t="s">
        <v>37</v>
      </c>
      <c r="I270" s="2">
        <v>2214</v>
      </c>
      <c r="J270" s="3">
        <v>1.77</v>
      </c>
      <c r="K270" s="3">
        <v>24.04</v>
      </c>
      <c r="L270" s="3">
        <v>22.04</v>
      </c>
      <c r="M270" s="3">
        <v>116.62</v>
      </c>
    </row>
    <row r="271" spans="1:13" ht="15.75" x14ac:dyDescent="0.25">
      <c r="A271" s="1">
        <v>2006</v>
      </c>
      <c r="B271" s="2">
        <v>214</v>
      </c>
      <c r="C271" s="2" t="s">
        <v>30</v>
      </c>
      <c r="D271" s="2" t="s">
        <v>20</v>
      </c>
      <c r="E271" s="2" t="s">
        <v>21</v>
      </c>
      <c r="F271" s="2" t="s">
        <v>15</v>
      </c>
      <c r="G271" s="2">
        <v>88</v>
      </c>
      <c r="H271" s="4" t="s">
        <v>37</v>
      </c>
      <c r="I271" s="2">
        <v>2214</v>
      </c>
      <c r="J271" s="3">
        <v>1.19</v>
      </c>
      <c r="K271" s="3">
        <v>6.37</v>
      </c>
      <c r="L271" s="3">
        <v>74.05</v>
      </c>
      <c r="M271" s="3">
        <v>281.98</v>
      </c>
    </row>
    <row r="272" spans="1:13" ht="15.75" x14ac:dyDescent="0.25">
      <c r="A272" s="1">
        <v>2006</v>
      </c>
      <c r="B272" s="2">
        <v>214</v>
      </c>
      <c r="C272" s="2" t="s">
        <v>30</v>
      </c>
      <c r="D272" s="2" t="s">
        <v>20</v>
      </c>
      <c r="E272" s="2" t="s">
        <v>21</v>
      </c>
      <c r="F272" s="2" t="s">
        <v>15</v>
      </c>
      <c r="G272" s="2">
        <v>60</v>
      </c>
      <c r="H272" s="4" t="s">
        <v>37</v>
      </c>
      <c r="I272" s="2">
        <v>2214</v>
      </c>
      <c r="J272" s="3">
        <v>4.8</v>
      </c>
      <c r="K272" s="3">
        <v>1E-3</v>
      </c>
      <c r="L272" s="3">
        <v>30.22</v>
      </c>
      <c r="M272" s="3">
        <v>124.84</v>
      </c>
    </row>
    <row r="273" spans="1:13" ht="15.75" x14ac:dyDescent="0.25">
      <c r="A273" s="1">
        <v>2006</v>
      </c>
      <c r="B273" s="2">
        <v>214</v>
      </c>
      <c r="C273" s="2" t="s">
        <v>30</v>
      </c>
      <c r="D273" s="2" t="s">
        <v>20</v>
      </c>
      <c r="E273" s="2" t="s">
        <v>21</v>
      </c>
      <c r="F273" s="2" t="s">
        <v>15</v>
      </c>
      <c r="G273" s="2">
        <v>0</v>
      </c>
      <c r="H273" s="4" t="s">
        <v>37</v>
      </c>
      <c r="I273" s="2">
        <v>2214</v>
      </c>
      <c r="J273" s="3">
        <v>1.93</v>
      </c>
      <c r="K273" s="3">
        <v>8.76</v>
      </c>
      <c r="L273" s="3">
        <v>34.479999999999997</v>
      </c>
      <c r="M273" s="3">
        <v>141.30000000000001</v>
      </c>
    </row>
    <row r="274" spans="1:13" ht="15.75" x14ac:dyDescent="0.25">
      <c r="A274" s="1">
        <v>2015</v>
      </c>
      <c r="B274" s="2">
        <v>102</v>
      </c>
      <c r="C274" s="2" t="s">
        <v>36</v>
      </c>
      <c r="D274" s="2" t="s">
        <v>23</v>
      </c>
      <c r="E274" s="2" t="s">
        <v>21</v>
      </c>
      <c r="F274" s="2" t="s">
        <v>24</v>
      </c>
      <c r="G274" s="2">
        <v>14</v>
      </c>
      <c r="H274" s="4" t="s">
        <v>37</v>
      </c>
      <c r="I274" s="2">
        <v>2214</v>
      </c>
      <c r="J274" s="3">
        <v>0.89</v>
      </c>
      <c r="K274" s="3">
        <v>1E-3</v>
      </c>
      <c r="L274" s="3">
        <v>65.73</v>
      </c>
      <c r="M274" s="3">
        <v>188.26</v>
      </c>
    </row>
    <row r="275" spans="1:13" ht="15.75" x14ac:dyDescent="0.25">
      <c r="A275" s="1">
        <v>2015</v>
      </c>
      <c r="B275" s="2">
        <v>102</v>
      </c>
      <c r="C275" s="2" t="s">
        <v>36</v>
      </c>
      <c r="D275" s="2" t="s">
        <v>23</v>
      </c>
      <c r="E275" s="2" t="s">
        <v>21</v>
      </c>
      <c r="F275" s="2" t="s">
        <v>24</v>
      </c>
      <c r="G275" s="2">
        <v>88</v>
      </c>
      <c r="H275" s="4" t="s">
        <v>37</v>
      </c>
      <c r="I275" s="2">
        <v>2214</v>
      </c>
      <c r="J275" s="3">
        <v>2.62</v>
      </c>
      <c r="K275" s="3">
        <v>1E-3</v>
      </c>
      <c r="L275" s="3">
        <v>76.37</v>
      </c>
      <c r="M275" s="3">
        <v>116.14</v>
      </c>
    </row>
    <row r="276" spans="1:13" ht="15.75" x14ac:dyDescent="0.25">
      <c r="A276" s="1">
        <v>2015</v>
      </c>
      <c r="B276" s="2">
        <v>102</v>
      </c>
      <c r="C276" s="2" t="s">
        <v>36</v>
      </c>
      <c r="D276" s="2" t="s">
        <v>23</v>
      </c>
      <c r="E276" s="2" t="s">
        <v>21</v>
      </c>
      <c r="F276" s="2" t="s">
        <v>24</v>
      </c>
      <c r="G276" s="2">
        <v>60</v>
      </c>
      <c r="H276" s="4" t="s">
        <v>37</v>
      </c>
      <c r="I276" s="2">
        <v>2214</v>
      </c>
      <c r="J276" s="3">
        <v>1.83</v>
      </c>
      <c r="K276" s="3">
        <v>10.38</v>
      </c>
      <c r="L276" s="3">
        <v>54.13</v>
      </c>
      <c r="M276" s="3">
        <v>59.1</v>
      </c>
    </row>
    <row r="277" spans="1:13" ht="15.75" x14ac:dyDescent="0.25">
      <c r="A277" s="1">
        <v>2015</v>
      </c>
      <c r="B277" s="2">
        <v>102</v>
      </c>
      <c r="C277" s="2" t="s">
        <v>36</v>
      </c>
      <c r="D277" s="2" t="s">
        <v>23</v>
      </c>
      <c r="E277" s="2" t="s">
        <v>21</v>
      </c>
      <c r="F277" s="2" t="s">
        <v>24</v>
      </c>
      <c r="G277" s="2">
        <v>0</v>
      </c>
      <c r="H277" s="4" t="s">
        <v>37</v>
      </c>
      <c r="I277" s="2">
        <v>2214</v>
      </c>
      <c r="J277" s="3">
        <v>0.38</v>
      </c>
      <c r="K277" s="3">
        <v>1E-3</v>
      </c>
      <c r="L277" s="3">
        <v>82.06</v>
      </c>
      <c r="M277" s="3">
        <v>289.45</v>
      </c>
    </row>
    <row r="278" spans="1:13" ht="15.75" x14ac:dyDescent="0.25">
      <c r="A278" s="1">
        <v>2017</v>
      </c>
      <c r="B278" s="2">
        <v>121</v>
      </c>
      <c r="C278" s="2" t="s">
        <v>38</v>
      </c>
      <c r="D278" s="2" t="s">
        <v>23</v>
      </c>
      <c r="E278" s="2" t="s">
        <v>21</v>
      </c>
      <c r="F278" s="2" t="s">
        <v>24</v>
      </c>
      <c r="G278" s="2">
        <v>14</v>
      </c>
      <c r="H278" s="4" t="s">
        <v>37</v>
      </c>
      <c r="I278" s="2">
        <v>2214</v>
      </c>
      <c r="J278" s="3">
        <v>1.63</v>
      </c>
      <c r="K278" s="3">
        <v>19.82</v>
      </c>
      <c r="L278" s="3">
        <v>32.76</v>
      </c>
      <c r="M278" s="3">
        <v>84.17</v>
      </c>
    </row>
    <row r="279" spans="1:13" ht="15.75" x14ac:dyDescent="0.25">
      <c r="A279" s="1">
        <v>2017</v>
      </c>
      <c r="B279" s="2">
        <v>121</v>
      </c>
      <c r="C279" s="2" t="s">
        <v>38</v>
      </c>
      <c r="D279" s="2" t="s">
        <v>23</v>
      </c>
      <c r="E279" s="2" t="s">
        <v>21</v>
      </c>
      <c r="F279" s="2" t="s">
        <v>24</v>
      </c>
      <c r="G279" s="2">
        <v>88</v>
      </c>
      <c r="H279" s="4" t="s">
        <v>37</v>
      </c>
      <c r="I279" s="2">
        <v>2214</v>
      </c>
      <c r="J279" s="3">
        <v>0.38</v>
      </c>
      <c r="K279" s="3">
        <v>1E-3</v>
      </c>
      <c r="L279" s="3">
        <v>38.869999999999997</v>
      </c>
      <c r="M279" s="3">
        <v>442.09</v>
      </c>
    </row>
    <row r="280" spans="1:13" ht="15.75" x14ac:dyDescent="0.25">
      <c r="A280" s="1">
        <v>2017</v>
      </c>
      <c r="B280" s="2">
        <v>121</v>
      </c>
      <c r="C280" s="2" t="s">
        <v>38</v>
      </c>
      <c r="D280" s="2" t="s">
        <v>23</v>
      </c>
      <c r="E280" s="2" t="s">
        <v>21</v>
      </c>
      <c r="F280" s="2" t="s">
        <v>24</v>
      </c>
      <c r="G280" s="2">
        <v>60</v>
      </c>
      <c r="H280" s="4" t="s">
        <v>37</v>
      </c>
      <c r="I280" s="2">
        <v>2214</v>
      </c>
      <c r="J280" s="3">
        <v>2.37</v>
      </c>
      <c r="K280" s="3">
        <v>1E-3</v>
      </c>
      <c r="L280" s="3">
        <v>58.23</v>
      </c>
      <c r="M280" s="3">
        <v>135.59</v>
      </c>
    </row>
    <row r="281" spans="1:13" ht="15.75" x14ac:dyDescent="0.25">
      <c r="A281" s="1">
        <v>2017</v>
      </c>
      <c r="B281" s="2">
        <v>121</v>
      </c>
      <c r="C281" s="2" t="s">
        <v>38</v>
      </c>
      <c r="D281" s="2" t="s">
        <v>23</v>
      </c>
      <c r="E281" s="2" t="s">
        <v>21</v>
      </c>
      <c r="F281" s="2" t="s">
        <v>24</v>
      </c>
      <c r="G281" s="2">
        <v>0</v>
      </c>
      <c r="H281" s="4" t="s">
        <v>37</v>
      </c>
      <c r="I281" s="2">
        <v>2214</v>
      </c>
      <c r="J281" s="3">
        <v>2.3199999999999998</v>
      </c>
      <c r="K281" s="3">
        <v>1E-3</v>
      </c>
      <c r="L281" s="3">
        <v>43.2</v>
      </c>
      <c r="M281" s="3">
        <v>90.51</v>
      </c>
    </row>
    <row r="282" spans="1:13" ht="15.75" x14ac:dyDescent="0.25">
      <c r="A282" s="1">
        <v>2021</v>
      </c>
      <c r="B282" s="2">
        <v>108</v>
      </c>
      <c r="C282" s="2" t="s">
        <v>36</v>
      </c>
      <c r="D282" s="2" t="s">
        <v>23</v>
      </c>
      <c r="E282" s="2" t="s">
        <v>21</v>
      </c>
      <c r="F282" s="2" t="s">
        <v>24</v>
      </c>
      <c r="G282" s="2">
        <v>14</v>
      </c>
      <c r="H282" s="4" t="s">
        <v>37</v>
      </c>
      <c r="I282" s="2">
        <v>2214</v>
      </c>
      <c r="J282" s="3">
        <v>2.4500000000000002</v>
      </c>
      <c r="K282" s="3">
        <v>1E-3</v>
      </c>
      <c r="L282" s="3">
        <v>92.55</v>
      </c>
      <c r="M282" s="3">
        <v>354.82</v>
      </c>
    </row>
    <row r="283" spans="1:13" ht="15.75" x14ac:dyDescent="0.25">
      <c r="A283" s="1">
        <v>2021</v>
      </c>
      <c r="B283" s="2">
        <v>108</v>
      </c>
      <c r="C283" s="2" t="s">
        <v>36</v>
      </c>
      <c r="D283" s="2" t="s">
        <v>23</v>
      </c>
      <c r="E283" s="2" t="s">
        <v>21</v>
      </c>
      <c r="F283" s="2" t="s">
        <v>24</v>
      </c>
      <c r="G283" s="2">
        <v>88</v>
      </c>
      <c r="H283" s="4" t="s">
        <v>37</v>
      </c>
      <c r="I283" s="2">
        <v>2214</v>
      </c>
      <c r="J283" s="3">
        <v>1.17</v>
      </c>
      <c r="K283" s="3">
        <v>1E-3</v>
      </c>
      <c r="L283" s="3">
        <v>82.67</v>
      </c>
      <c r="M283" s="3">
        <v>109.7</v>
      </c>
    </row>
    <row r="284" spans="1:13" ht="15.75" x14ac:dyDescent="0.25">
      <c r="A284" s="1">
        <v>2021</v>
      </c>
      <c r="B284" s="2">
        <v>108</v>
      </c>
      <c r="C284" s="2" t="s">
        <v>36</v>
      </c>
      <c r="D284" s="2" t="s">
        <v>23</v>
      </c>
      <c r="E284" s="2" t="s">
        <v>21</v>
      </c>
      <c r="F284" s="2" t="s">
        <v>24</v>
      </c>
      <c r="G284" s="2">
        <v>60</v>
      </c>
      <c r="H284" s="4" t="s">
        <v>37</v>
      </c>
      <c r="I284" s="2">
        <v>2214</v>
      </c>
      <c r="J284" s="3">
        <v>1.65</v>
      </c>
      <c r="K284" s="3">
        <v>32.450000000000003</v>
      </c>
      <c r="L284" s="3">
        <v>50.07</v>
      </c>
      <c r="M284" s="3">
        <v>77.849999999999994</v>
      </c>
    </row>
    <row r="285" spans="1:13" ht="15.75" x14ac:dyDescent="0.25">
      <c r="A285" s="1">
        <v>2021</v>
      </c>
      <c r="B285" s="2">
        <v>108</v>
      </c>
      <c r="C285" s="2" t="s">
        <v>36</v>
      </c>
      <c r="D285" s="2" t="s">
        <v>23</v>
      </c>
      <c r="E285" s="2" t="s">
        <v>21</v>
      </c>
      <c r="F285" s="2" t="s">
        <v>24</v>
      </c>
      <c r="G285" s="2">
        <v>0</v>
      </c>
      <c r="H285" s="4" t="s">
        <v>37</v>
      </c>
      <c r="I285" s="2">
        <v>2214</v>
      </c>
      <c r="J285" s="3">
        <v>7.74</v>
      </c>
      <c r="K285" s="3">
        <v>1E-3</v>
      </c>
      <c r="L285" s="3">
        <v>116.08</v>
      </c>
      <c r="M285" s="3">
        <v>62.2</v>
      </c>
    </row>
    <row r="286" spans="1:13" ht="15.75" x14ac:dyDescent="0.25">
      <c r="A286" s="1">
        <v>2101</v>
      </c>
      <c r="B286" s="2">
        <v>8110</v>
      </c>
      <c r="C286" s="2" t="s">
        <v>38</v>
      </c>
      <c r="D286" s="2" t="s">
        <v>23</v>
      </c>
      <c r="E286" s="2" t="s">
        <v>21</v>
      </c>
      <c r="F286" s="2" t="s">
        <v>24</v>
      </c>
      <c r="G286" s="2">
        <v>14</v>
      </c>
      <c r="H286" s="4" t="s">
        <v>37</v>
      </c>
      <c r="I286" s="2">
        <v>2214</v>
      </c>
      <c r="J286" s="3">
        <v>2.2000000000000002</v>
      </c>
      <c r="K286" s="3">
        <v>6.07</v>
      </c>
      <c r="L286" s="3">
        <v>23.75</v>
      </c>
      <c r="M286" s="3">
        <v>135.59</v>
      </c>
    </row>
    <row r="287" spans="1:13" ht="15.75" x14ac:dyDescent="0.25">
      <c r="A287" s="1">
        <v>2101</v>
      </c>
      <c r="B287" s="2">
        <v>8110</v>
      </c>
      <c r="C287" s="2" t="s">
        <v>38</v>
      </c>
      <c r="D287" s="2" t="s">
        <v>23</v>
      </c>
      <c r="E287" s="2" t="s">
        <v>21</v>
      </c>
      <c r="F287" s="2" t="s">
        <v>24</v>
      </c>
      <c r="G287" s="2">
        <v>88</v>
      </c>
      <c r="H287" s="4" t="s">
        <v>37</v>
      </c>
      <c r="I287" s="2">
        <v>2214</v>
      </c>
      <c r="J287" s="3">
        <v>1.1499999999999999</v>
      </c>
      <c r="K287" s="3">
        <v>1E-3</v>
      </c>
      <c r="L287" s="3">
        <v>44.15</v>
      </c>
      <c r="M287" s="3">
        <v>421.03</v>
      </c>
    </row>
    <row r="288" spans="1:13" ht="15.75" x14ac:dyDescent="0.25">
      <c r="A288" s="1">
        <v>2101</v>
      </c>
      <c r="B288" s="2">
        <v>8110</v>
      </c>
      <c r="C288" s="2" t="s">
        <v>38</v>
      </c>
      <c r="D288" s="2" t="s">
        <v>23</v>
      </c>
      <c r="E288" s="2" t="s">
        <v>21</v>
      </c>
      <c r="F288" s="2" t="s">
        <v>24</v>
      </c>
      <c r="G288" s="2">
        <v>60</v>
      </c>
      <c r="H288" s="4" t="s">
        <v>37</v>
      </c>
      <c r="I288" s="2">
        <v>2214</v>
      </c>
      <c r="J288" s="3">
        <v>1.97</v>
      </c>
      <c r="K288" s="3">
        <v>1E-3</v>
      </c>
      <c r="L288" s="3">
        <v>44.33</v>
      </c>
      <c r="M288" s="3">
        <v>344.44</v>
      </c>
    </row>
    <row r="289" spans="1:13" ht="15.75" x14ac:dyDescent="0.25">
      <c r="A289" s="1">
        <v>2101</v>
      </c>
      <c r="B289" s="2">
        <v>8110</v>
      </c>
      <c r="C289" s="2" t="s">
        <v>38</v>
      </c>
      <c r="D289" s="2" t="s">
        <v>23</v>
      </c>
      <c r="E289" s="2" t="s">
        <v>21</v>
      </c>
      <c r="F289" s="2" t="s">
        <v>24</v>
      </c>
      <c r="G289" s="2">
        <v>0</v>
      </c>
      <c r="H289" s="4" t="s">
        <v>37</v>
      </c>
      <c r="I289" s="2">
        <v>2214</v>
      </c>
      <c r="J289" s="3">
        <v>1.59</v>
      </c>
      <c r="K289" s="3">
        <v>1E-3</v>
      </c>
      <c r="L289" s="3">
        <v>52</v>
      </c>
      <c r="M289" s="3">
        <v>306.56</v>
      </c>
    </row>
    <row r="290" spans="1:13" ht="15.75" x14ac:dyDescent="0.25">
      <c r="A290" s="1">
        <v>2102</v>
      </c>
      <c r="B290" s="2">
        <v>9027</v>
      </c>
      <c r="C290" s="2" t="s">
        <v>28</v>
      </c>
      <c r="D290" s="2" t="s">
        <v>20</v>
      </c>
      <c r="E290" s="2" t="s">
        <v>21</v>
      </c>
      <c r="F290" s="2" t="s">
        <v>15</v>
      </c>
      <c r="G290" s="2">
        <v>14</v>
      </c>
      <c r="H290" s="4" t="s">
        <v>37</v>
      </c>
      <c r="I290" s="2">
        <v>2214</v>
      </c>
      <c r="J290" s="3">
        <v>1.68</v>
      </c>
      <c r="K290" s="3">
        <v>31.8</v>
      </c>
      <c r="L290" s="3">
        <v>44.83</v>
      </c>
      <c r="M290" s="3">
        <v>190.81</v>
      </c>
    </row>
    <row r="291" spans="1:13" ht="15.75" x14ac:dyDescent="0.25">
      <c r="A291" s="1">
        <v>2102</v>
      </c>
      <c r="B291" s="2">
        <v>9027</v>
      </c>
      <c r="C291" s="2" t="s">
        <v>28</v>
      </c>
      <c r="D291" s="2" t="s">
        <v>20</v>
      </c>
      <c r="E291" s="2" t="s">
        <v>21</v>
      </c>
      <c r="F291" s="2" t="s">
        <v>15</v>
      </c>
      <c r="G291" s="2">
        <v>88</v>
      </c>
      <c r="H291" s="4" t="s">
        <v>37</v>
      </c>
      <c r="I291" s="2">
        <v>2214</v>
      </c>
      <c r="J291" s="3">
        <v>28.11</v>
      </c>
      <c r="K291" s="3">
        <v>155.66999999999999</v>
      </c>
      <c r="L291" s="3">
        <v>557.55999999999995</v>
      </c>
      <c r="M291" s="3">
        <v>9851.35</v>
      </c>
    </row>
    <row r="292" spans="1:13" ht="15.75" x14ac:dyDescent="0.25">
      <c r="A292" s="1">
        <v>2102</v>
      </c>
      <c r="B292" s="2">
        <v>9027</v>
      </c>
      <c r="C292" s="2" t="s">
        <v>28</v>
      </c>
      <c r="D292" s="2" t="s">
        <v>20</v>
      </c>
      <c r="E292" s="2" t="s">
        <v>21</v>
      </c>
      <c r="F292" s="2" t="s">
        <v>15</v>
      </c>
      <c r="G292" s="2">
        <v>60</v>
      </c>
      <c r="H292" s="4" t="s">
        <v>37</v>
      </c>
      <c r="I292" s="2">
        <v>2214</v>
      </c>
      <c r="J292" s="3">
        <v>20.78</v>
      </c>
      <c r="K292" s="3">
        <v>41.27</v>
      </c>
      <c r="L292" s="3">
        <v>211.67</v>
      </c>
      <c r="M292" s="3">
        <v>1577.24</v>
      </c>
    </row>
    <row r="293" spans="1:13" ht="15.75" x14ac:dyDescent="0.25">
      <c r="A293" s="1">
        <v>2102</v>
      </c>
      <c r="B293" s="2">
        <v>9027</v>
      </c>
      <c r="C293" s="2" t="s">
        <v>28</v>
      </c>
      <c r="D293" s="2" t="s">
        <v>20</v>
      </c>
      <c r="E293" s="2" t="s">
        <v>21</v>
      </c>
      <c r="F293" s="2" t="s">
        <v>15</v>
      </c>
      <c r="G293" s="2">
        <v>0</v>
      </c>
      <c r="H293" s="4" t="s">
        <v>37</v>
      </c>
      <c r="I293" s="2">
        <v>2214</v>
      </c>
      <c r="J293" s="3">
        <v>1.45</v>
      </c>
      <c r="K293" s="3">
        <v>12.65</v>
      </c>
      <c r="L293" s="3">
        <v>34.049999999999997</v>
      </c>
      <c r="M293" s="3">
        <v>215.63</v>
      </c>
    </row>
    <row r="294" spans="1:13" ht="15.75" x14ac:dyDescent="0.25">
      <c r="A294" s="1">
        <v>2105</v>
      </c>
      <c r="B294" s="2">
        <v>9205</v>
      </c>
      <c r="C294" s="2" t="s">
        <v>17</v>
      </c>
      <c r="D294" s="2" t="s">
        <v>14</v>
      </c>
      <c r="E294" s="2" t="s">
        <v>15</v>
      </c>
      <c r="F294" s="2" t="s">
        <v>15</v>
      </c>
      <c r="G294" s="2">
        <v>14</v>
      </c>
      <c r="H294" s="4" t="s">
        <v>37</v>
      </c>
      <c r="I294" s="2">
        <v>2214</v>
      </c>
      <c r="J294" s="3">
        <v>4.05</v>
      </c>
      <c r="K294" s="3">
        <v>1E-3</v>
      </c>
      <c r="L294" s="3">
        <v>73.510000000000005</v>
      </c>
      <c r="M294" s="3">
        <v>347.64</v>
      </c>
    </row>
    <row r="295" spans="1:13" ht="15.75" x14ac:dyDescent="0.25">
      <c r="A295" s="1">
        <v>2105</v>
      </c>
      <c r="B295" s="2">
        <v>9205</v>
      </c>
      <c r="C295" s="2" t="s">
        <v>17</v>
      </c>
      <c r="D295" s="2" t="s">
        <v>14</v>
      </c>
      <c r="E295" s="2" t="s">
        <v>15</v>
      </c>
      <c r="F295" s="2" t="s">
        <v>15</v>
      </c>
      <c r="G295" s="2">
        <v>88</v>
      </c>
      <c r="H295" s="4" t="s">
        <v>37</v>
      </c>
      <c r="I295" s="2">
        <v>2214</v>
      </c>
      <c r="J295" s="3">
        <v>2.97</v>
      </c>
      <c r="K295" s="3">
        <v>1E-3</v>
      </c>
      <c r="L295" s="3">
        <v>79.010000000000005</v>
      </c>
      <c r="M295" s="3">
        <v>154.25</v>
      </c>
    </row>
    <row r="296" spans="1:13" ht="15.75" x14ac:dyDescent="0.25">
      <c r="A296" s="1">
        <v>2105</v>
      </c>
      <c r="B296" s="2">
        <v>9205</v>
      </c>
      <c r="C296" s="2" t="s">
        <v>17</v>
      </c>
      <c r="D296" s="2" t="s">
        <v>14</v>
      </c>
      <c r="E296" s="2" t="s">
        <v>15</v>
      </c>
      <c r="F296" s="2" t="s">
        <v>15</v>
      </c>
      <c r="G296" s="2">
        <v>60</v>
      </c>
      <c r="H296" s="4" t="s">
        <v>37</v>
      </c>
      <c r="I296" s="2">
        <v>2214</v>
      </c>
      <c r="J296" s="3">
        <v>3.14</v>
      </c>
      <c r="K296" s="3">
        <v>1E-3</v>
      </c>
      <c r="L296" s="3">
        <v>52.28</v>
      </c>
      <c r="M296" s="3">
        <v>121.78</v>
      </c>
    </row>
    <row r="297" spans="1:13" ht="15.75" x14ac:dyDescent="0.25">
      <c r="A297" s="1">
        <v>2105</v>
      </c>
      <c r="B297" s="2">
        <v>9205</v>
      </c>
      <c r="C297" s="2" t="s">
        <v>17</v>
      </c>
      <c r="D297" s="2" t="s">
        <v>14</v>
      </c>
      <c r="E297" s="2" t="s">
        <v>15</v>
      </c>
      <c r="F297" s="2" t="s">
        <v>15</v>
      </c>
      <c r="G297" s="2">
        <v>0</v>
      </c>
      <c r="H297" s="4" t="s">
        <v>37</v>
      </c>
      <c r="I297" s="2">
        <v>2214</v>
      </c>
      <c r="J297" s="3">
        <v>2.04</v>
      </c>
      <c r="K297" s="3">
        <v>13.49</v>
      </c>
      <c r="L297" s="3">
        <v>62.83</v>
      </c>
      <c r="M297" s="3">
        <v>332.46</v>
      </c>
    </row>
    <row r="298" spans="1:13" ht="15.75" x14ac:dyDescent="0.25">
      <c r="A298" s="1">
        <v>2107</v>
      </c>
      <c r="B298" s="2">
        <v>9101</v>
      </c>
      <c r="C298" s="2" t="s">
        <v>26</v>
      </c>
      <c r="D298" s="2" t="s">
        <v>27</v>
      </c>
      <c r="E298" s="2" t="s">
        <v>15</v>
      </c>
      <c r="F298" s="2" t="s">
        <v>24</v>
      </c>
      <c r="G298" s="2">
        <v>14</v>
      </c>
      <c r="H298" s="4" t="s">
        <v>37</v>
      </c>
      <c r="I298" s="2">
        <v>2214</v>
      </c>
      <c r="J298" s="3">
        <v>3.58</v>
      </c>
      <c r="K298" s="3">
        <v>75.260000000000005</v>
      </c>
      <c r="L298" s="3">
        <v>68.05</v>
      </c>
      <c r="M298" s="3">
        <v>251.23</v>
      </c>
    </row>
    <row r="299" spans="1:13" ht="15.75" x14ac:dyDescent="0.25">
      <c r="A299" s="1">
        <v>2107</v>
      </c>
      <c r="B299" s="2">
        <v>9101</v>
      </c>
      <c r="C299" s="2" t="s">
        <v>26</v>
      </c>
      <c r="D299" s="2" t="s">
        <v>27</v>
      </c>
      <c r="E299" s="2" t="s">
        <v>15</v>
      </c>
      <c r="F299" s="2" t="s">
        <v>24</v>
      </c>
      <c r="G299" s="2">
        <v>88</v>
      </c>
      <c r="H299" s="4" t="s">
        <v>37</v>
      </c>
      <c r="I299" s="2">
        <v>2214</v>
      </c>
      <c r="J299" s="3">
        <v>4.4800000000000004</v>
      </c>
      <c r="K299" s="3">
        <v>10.28</v>
      </c>
      <c r="L299" s="3">
        <v>105.12</v>
      </c>
      <c r="M299" s="3">
        <v>1995.91</v>
      </c>
    </row>
    <row r="300" spans="1:13" ht="15.75" x14ac:dyDescent="0.25">
      <c r="A300" s="1">
        <v>2107</v>
      </c>
      <c r="B300" s="2">
        <v>9101</v>
      </c>
      <c r="C300" s="2" t="s">
        <v>26</v>
      </c>
      <c r="D300" s="2" t="s">
        <v>27</v>
      </c>
      <c r="E300" s="2" t="s">
        <v>15</v>
      </c>
      <c r="F300" s="2" t="s">
        <v>24</v>
      </c>
      <c r="G300" s="2">
        <v>60</v>
      </c>
      <c r="H300" s="4" t="s">
        <v>37</v>
      </c>
      <c r="I300" s="2">
        <v>2214</v>
      </c>
      <c r="J300" s="3">
        <v>1.74</v>
      </c>
      <c r="K300" s="3">
        <v>40.729999999999997</v>
      </c>
      <c r="L300" s="3">
        <v>42.1</v>
      </c>
      <c r="M300" s="3">
        <v>723.42</v>
      </c>
    </row>
    <row r="301" spans="1:13" ht="15.75" x14ac:dyDescent="0.25">
      <c r="A301" s="1">
        <v>2107</v>
      </c>
      <c r="B301" s="2">
        <v>9101</v>
      </c>
      <c r="C301" s="2" t="s">
        <v>26</v>
      </c>
      <c r="D301" s="2" t="s">
        <v>27</v>
      </c>
      <c r="E301" s="2" t="s">
        <v>15</v>
      </c>
      <c r="F301" s="2" t="s">
        <v>24</v>
      </c>
      <c r="G301" s="2">
        <v>0</v>
      </c>
      <c r="H301" s="4" t="s">
        <v>37</v>
      </c>
      <c r="I301" s="2">
        <v>2214</v>
      </c>
      <c r="J301" s="3">
        <v>2.04</v>
      </c>
      <c r="K301" s="3">
        <v>51.58</v>
      </c>
      <c r="L301" s="3">
        <v>69.790000000000006</v>
      </c>
      <c r="M301" s="3">
        <v>693.28</v>
      </c>
    </row>
    <row r="302" spans="1:13" ht="15.75" x14ac:dyDescent="0.25">
      <c r="A302" s="1">
        <v>2108</v>
      </c>
      <c r="B302" s="2">
        <v>8101</v>
      </c>
      <c r="C302" s="2" t="s">
        <v>26</v>
      </c>
      <c r="D302" s="2" t="s">
        <v>27</v>
      </c>
      <c r="E302" s="2" t="s">
        <v>15</v>
      </c>
      <c r="F302" s="2" t="s">
        <v>24</v>
      </c>
      <c r="G302" s="2">
        <v>14</v>
      </c>
      <c r="H302" s="4" t="s">
        <v>37</v>
      </c>
      <c r="I302" s="2">
        <v>2214</v>
      </c>
      <c r="J302" s="3">
        <v>31.8</v>
      </c>
      <c r="K302" s="3">
        <v>10.28</v>
      </c>
      <c r="L302" s="3">
        <v>71.540000000000006</v>
      </c>
      <c r="M302" s="3">
        <v>513.36</v>
      </c>
    </row>
    <row r="303" spans="1:13" ht="15.75" x14ac:dyDescent="0.25">
      <c r="A303" s="1">
        <v>2108</v>
      </c>
      <c r="B303" s="2">
        <v>8101</v>
      </c>
      <c r="C303" s="2" t="s">
        <v>26</v>
      </c>
      <c r="D303" s="2" t="s">
        <v>27</v>
      </c>
      <c r="E303" s="2" t="s">
        <v>15</v>
      </c>
      <c r="F303" s="2" t="s">
        <v>24</v>
      </c>
      <c r="G303" s="2">
        <v>88</v>
      </c>
      <c r="H303" s="4" t="s">
        <v>37</v>
      </c>
      <c r="I303" s="2">
        <v>2214</v>
      </c>
      <c r="J303" s="3">
        <v>1.95</v>
      </c>
      <c r="K303" s="3">
        <v>1E-3</v>
      </c>
      <c r="L303" s="3">
        <v>26.95</v>
      </c>
      <c r="M303" s="3">
        <v>128.16</v>
      </c>
    </row>
    <row r="304" spans="1:13" ht="15.75" x14ac:dyDescent="0.25">
      <c r="A304" s="1">
        <v>2108</v>
      </c>
      <c r="B304" s="2">
        <v>8101</v>
      </c>
      <c r="C304" s="2" t="s">
        <v>26</v>
      </c>
      <c r="D304" s="2" t="s">
        <v>27</v>
      </c>
      <c r="E304" s="2" t="s">
        <v>15</v>
      </c>
      <c r="F304" s="2" t="s">
        <v>24</v>
      </c>
      <c r="G304" s="2">
        <v>60</v>
      </c>
      <c r="H304" s="4" t="s">
        <v>37</v>
      </c>
      <c r="I304" s="2">
        <v>2214</v>
      </c>
      <c r="J304" s="3">
        <v>27.82</v>
      </c>
      <c r="K304" s="3">
        <v>1E-3</v>
      </c>
      <c r="L304" s="3">
        <v>35.19</v>
      </c>
      <c r="M304" s="3">
        <v>187.94</v>
      </c>
    </row>
    <row r="305" spans="1:13" ht="15.75" x14ac:dyDescent="0.25">
      <c r="A305" s="1">
        <v>2108</v>
      </c>
      <c r="B305" s="2">
        <v>8101</v>
      </c>
      <c r="C305" s="2" t="s">
        <v>26</v>
      </c>
      <c r="D305" s="2" t="s">
        <v>27</v>
      </c>
      <c r="E305" s="2" t="s">
        <v>15</v>
      </c>
      <c r="F305" s="2" t="s">
        <v>24</v>
      </c>
      <c r="G305" s="2">
        <v>0</v>
      </c>
      <c r="H305" s="4" t="s">
        <v>37</v>
      </c>
      <c r="I305" s="2">
        <v>2214</v>
      </c>
      <c r="J305" s="3">
        <v>0.74</v>
      </c>
      <c r="K305" s="3">
        <v>73.94</v>
      </c>
      <c r="L305" s="3">
        <v>104.44</v>
      </c>
      <c r="M305" s="3">
        <v>102.97</v>
      </c>
    </row>
    <row r="306" spans="1:13" ht="15.75" x14ac:dyDescent="0.25">
      <c r="A306" s="1">
        <v>2109</v>
      </c>
      <c r="B306" s="2">
        <v>9203</v>
      </c>
      <c r="C306" s="2" t="s">
        <v>22</v>
      </c>
      <c r="D306" s="2" t="s">
        <v>23</v>
      </c>
      <c r="E306" s="2" t="s">
        <v>21</v>
      </c>
      <c r="F306" s="2" t="s">
        <v>24</v>
      </c>
      <c r="G306" s="2">
        <v>14</v>
      </c>
      <c r="H306" s="4" t="s">
        <v>37</v>
      </c>
      <c r="I306" s="2">
        <v>2214</v>
      </c>
      <c r="J306" s="3">
        <v>1.1299999999999999</v>
      </c>
      <c r="K306" s="3">
        <v>40.409999999999997</v>
      </c>
      <c r="L306" s="3">
        <v>27.67</v>
      </c>
      <c r="M306" s="3">
        <v>40.69</v>
      </c>
    </row>
    <row r="307" spans="1:13" ht="15.75" x14ac:dyDescent="0.25">
      <c r="A307" s="1">
        <v>2109</v>
      </c>
      <c r="B307" s="2">
        <v>9203</v>
      </c>
      <c r="C307" s="2" t="s">
        <v>22</v>
      </c>
      <c r="D307" s="2" t="s">
        <v>23</v>
      </c>
      <c r="E307" s="2" t="s">
        <v>21</v>
      </c>
      <c r="F307" s="2" t="s">
        <v>24</v>
      </c>
      <c r="G307" s="2">
        <v>88</v>
      </c>
      <c r="H307" s="4" t="s">
        <v>37</v>
      </c>
      <c r="I307" s="2">
        <v>2214</v>
      </c>
      <c r="J307" s="3">
        <v>2.08</v>
      </c>
      <c r="K307" s="3">
        <v>1E-3</v>
      </c>
      <c r="L307" s="3">
        <v>84.72</v>
      </c>
      <c r="M307" s="3">
        <v>255.42</v>
      </c>
    </row>
    <row r="308" spans="1:13" ht="15.75" x14ac:dyDescent="0.25">
      <c r="A308" s="1">
        <v>2109</v>
      </c>
      <c r="B308" s="2">
        <v>9203</v>
      </c>
      <c r="C308" s="2" t="s">
        <v>22</v>
      </c>
      <c r="D308" s="2" t="s">
        <v>23</v>
      </c>
      <c r="E308" s="2" t="s">
        <v>21</v>
      </c>
      <c r="F308" s="2" t="s">
        <v>24</v>
      </c>
      <c r="G308" s="2">
        <v>60</v>
      </c>
      <c r="H308" s="4" t="s">
        <v>37</v>
      </c>
      <c r="I308" s="2">
        <v>2214</v>
      </c>
      <c r="J308" s="3">
        <v>1.81</v>
      </c>
      <c r="K308" s="3">
        <v>1.83</v>
      </c>
      <c r="L308" s="3">
        <v>102.55</v>
      </c>
      <c r="M308" s="3">
        <v>135.59</v>
      </c>
    </row>
    <row r="309" spans="1:13" ht="15.75" x14ac:dyDescent="0.25">
      <c r="A309" s="1">
        <v>2109</v>
      </c>
      <c r="B309" s="2">
        <v>9203</v>
      </c>
      <c r="C309" s="2" t="s">
        <v>22</v>
      </c>
      <c r="D309" s="2" t="s">
        <v>23</v>
      </c>
      <c r="E309" s="2" t="s">
        <v>21</v>
      </c>
      <c r="F309" s="2" t="s">
        <v>24</v>
      </c>
      <c r="G309" s="2">
        <v>0</v>
      </c>
      <c r="H309" s="4" t="s">
        <v>37</v>
      </c>
      <c r="I309" s="2">
        <v>2214</v>
      </c>
      <c r="J309" s="3">
        <v>2.4500000000000002</v>
      </c>
      <c r="K309" s="3">
        <v>49.35</v>
      </c>
      <c r="L309" s="3">
        <v>35.71</v>
      </c>
      <c r="M309" s="3">
        <v>255.42</v>
      </c>
    </row>
    <row r="310" spans="1:13" ht="15.75" x14ac:dyDescent="0.25">
      <c r="A310" s="1">
        <v>2111</v>
      </c>
      <c r="B310" s="2">
        <v>8171</v>
      </c>
      <c r="C310" s="2" t="s">
        <v>22</v>
      </c>
      <c r="D310" s="2" t="s">
        <v>23</v>
      </c>
      <c r="E310" s="2" t="s">
        <v>21</v>
      </c>
      <c r="F310" s="2" t="s">
        <v>24</v>
      </c>
      <c r="G310" s="2">
        <v>14</v>
      </c>
      <c r="H310" s="4" t="s">
        <v>37</v>
      </c>
      <c r="I310" s="2">
        <v>2214</v>
      </c>
      <c r="J310" s="3">
        <v>17.97</v>
      </c>
      <c r="K310" s="3">
        <v>1E-3</v>
      </c>
      <c r="L310" s="3">
        <v>105.07</v>
      </c>
      <c r="M310" s="3">
        <v>1333.63</v>
      </c>
    </row>
    <row r="311" spans="1:13" ht="15.75" x14ac:dyDescent="0.25">
      <c r="A311" s="1">
        <v>2111</v>
      </c>
      <c r="B311" s="2">
        <v>8171</v>
      </c>
      <c r="C311" s="2" t="s">
        <v>22</v>
      </c>
      <c r="D311" s="2" t="s">
        <v>23</v>
      </c>
      <c r="E311" s="2" t="s">
        <v>21</v>
      </c>
      <c r="F311" s="2" t="s">
        <v>24</v>
      </c>
      <c r="G311" s="2">
        <v>88</v>
      </c>
      <c r="H311" s="4" t="s">
        <v>37</v>
      </c>
      <c r="I311" s="2">
        <v>2214</v>
      </c>
      <c r="J311" s="3">
        <v>2.87</v>
      </c>
      <c r="K311" s="3">
        <v>17.96</v>
      </c>
      <c r="L311" s="3">
        <v>82.67</v>
      </c>
      <c r="M311" s="3">
        <v>393.05</v>
      </c>
    </row>
    <row r="312" spans="1:13" ht="15.75" x14ac:dyDescent="0.25">
      <c r="A312" s="1">
        <v>2111</v>
      </c>
      <c r="B312" s="2">
        <v>8171</v>
      </c>
      <c r="C312" s="2" t="s">
        <v>22</v>
      </c>
      <c r="D312" s="2" t="s">
        <v>23</v>
      </c>
      <c r="E312" s="2" t="s">
        <v>21</v>
      </c>
      <c r="F312" s="2" t="s">
        <v>24</v>
      </c>
      <c r="G312" s="2">
        <v>60</v>
      </c>
      <c r="H312" s="4" t="s">
        <v>37</v>
      </c>
      <c r="I312" s="2">
        <v>2214</v>
      </c>
      <c r="J312" s="3">
        <v>2.08</v>
      </c>
      <c r="K312" s="3">
        <v>1E-3</v>
      </c>
      <c r="L312" s="3">
        <v>53.55</v>
      </c>
      <c r="M312" s="3">
        <v>248.64</v>
      </c>
    </row>
    <row r="313" spans="1:13" ht="15.75" x14ac:dyDescent="0.25">
      <c r="A313" s="1">
        <v>2111</v>
      </c>
      <c r="B313" s="2">
        <v>8171</v>
      </c>
      <c r="C313" s="2" t="s">
        <v>22</v>
      </c>
      <c r="D313" s="2" t="s">
        <v>23</v>
      </c>
      <c r="E313" s="2" t="s">
        <v>21</v>
      </c>
      <c r="F313" s="2" t="s">
        <v>24</v>
      </c>
      <c r="G313" s="2">
        <v>0</v>
      </c>
      <c r="H313" s="4" t="s">
        <v>37</v>
      </c>
      <c r="I313" s="2">
        <v>2214</v>
      </c>
      <c r="J313" s="3">
        <v>3.04</v>
      </c>
      <c r="K313" s="3">
        <v>1E-3</v>
      </c>
      <c r="L313" s="3">
        <v>38.869999999999997</v>
      </c>
      <c r="M313" s="3">
        <v>119.37</v>
      </c>
    </row>
    <row r="314" spans="1:13" ht="15.75" x14ac:dyDescent="0.25">
      <c r="A314" s="1">
        <v>2113</v>
      </c>
      <c r="B314" s="2">
        <v>9006</v>
      </c>
      <c r="C314" s="2" t="s">
        <v>30</v>
      </c>
      <c r="D314" s="2" t="s">
        <v>20</v>
      </c>
      <c r="E314" s="2" t="s">
        <v>21</v>
      </c>
      <c r="F314" s="2" t="s">
        <v>15</v>
      </c>
      <c r="G314" s="2">
        <v>14</v>
      </c>
      <c r="H314" s="4" t="s">
        <v>37</v>
      </c>
      <c r="I314" s="2">
        <v>2214</v>
      </c>
      <c r="J314" s="3">
        <v>17.7</v>
      </c>
      <c r="K314" s="3">
        <v>17.43</v>
      </c>
      <c r="L314" s="3">
        <v>50.5</v>
      </c>
      <c r="M314" s="3">
        <v>440.59</v>
      </c>
    </row>
    <row r="315" spans="1:13" ht="15.75" x14ac:dyDescent="0.25">
      <c r="A315" s="1">
        <v>2113</v>
      </c>
      <c r="B315" s="2">
        <v>9006</v>
      </c>
      <c r="C315" s="2" t="s">
        <v>30</v>
      </c>
      <c r="D315" s="2" t="s">
        <v>20</v>
      </c>
      <c r="E315" s="2" t="s">
        <v>21</v>
      </c>
      <c r="F315" s="2" t="s">
        <v>15</v>
      </c>
      <c r="G315" s="2">
        <v>88</v>
      </c>
      <c r="H315" s="4" t="s">
        <v>37</v>
      </c>
      <c r="I315" s="2">
        <v>2214</v>
      </c>
      <c r="J315" s="3">
        <v>0.92</v>
      </c>
      <c r="K315" s="3">
        <v>20.23</v>
      </c>
      <c r="L315" s="3">
        <v>25.79</v>
      </c>
      <c r="M315" s="3">
        <v>120.73</v>
      </c>
    </row>
    <row r="316" spans="1:13" ht="15.75" x14ac:dyDescent="0.25">
      <c r="A316" s="1">
        <v>2113</v>
      </c>
      <c r="B316" s="2">
        <v>9006</v>
      </c>
      <c r="C316" s="2" t="s">
        <v>30</v>
      </c>
      <c r="D316" s="2" t="s">
        <v>20</v>
      </c>
      <c r="E316" s="2" t="s">
        <v>21</v>
      </c>
      <c r="F316" s="2" t="s">
        <v>15</v>
      </c>
      <c r="G316" s="2">
        <v>60</v>
      </c>
      <c r="H316" s="4" t="s">
        <v>37</v>
      </c>
      <c r="I316" s="2">
        <v>2214</v>
      </c>
      <c r="J316" s="3">
        <v>4.0599999999999996</v>
      </c>
      <c r="K316" s="3">
        <v>17.43</v>
      </c>
      <c r="L316" s="3">
        <v>23.08</v>
      </c>
      <c r="M316" s="3">
        <v>145.41999999999999</v>
      </c>
    </row>
    <row r="317" spans="1:13" ht="15.75" x14ac:dyDescent="0.25">
      <c r="A317" s="1">
        <v>2113</v>
      </c>
      <c r="B317" s="2">
        <v>9006</v>
      </c>
      <c r="C317" s="2" t="s">
        <v>30</v>
      </c>
      <c r="D317" s="2" t="s">
        <v>20</v>
      </c>
      <c r="E317" s="2" t="s">
        <v>21</v>
      </c>
      <c r="F317" s="2" t="s">
        <v>15</v>
      </c>
      <c r="G317" s="2">
        <v>0</v>
      </c>
      <c r="H317" s="4" t="s">
        <v>37</v>
      </c>
      <c r="I317" s="2">
        <v>2214</v>
      </c>
      <c r="J317" s="3">
        <v>3.55</v>
      </c>
      <c r="K317" s="3">
        <v>33.81</v>
      </c>
      <c r="L317" s="3">
        <v>105.96</v>
      </c>
      <c r="M317" s="3">
        <v>432.21</v>
      </c>
    </row>
    <row r="318" spans="1:13" ht="15.75" x14ac:dyDescent="0.25">
      <c r="A318" s="1">
        <v>2116</v>
      </c>
      <c r="B318" s="2">
        <v>9127</v>
      </c>
      <c r="C318" s="2" t="s">
        <v>30</v>
      </c>
      <c r="D318" s="2" t="s">
        <v>20</v>
      </c>
      <c r="E318" s="2" t="s">
        <v>21</v>
      </c>
      <c r="F318" s="2" t="s">
        <v>15</v>
      </c>
      <c r="G318" s="2">
        <v>14</v>
      </c>
      <c r="H318" s="4" t="s">
        <v>37</v>
      </c>
      <c r="I318" s="2">
        <v>2214</v>
      </c>
      <c r="J318" s="3">
        <v>3.03</v>
      </c>
      <c r="K318" s="3">
        <v>33.81</v>
      </c>
      <c r="L318" s="3">
        <v>50.28</v>
      </c>
      <c r="M318" s="3">
        <v>178.42</v>
      </c>
    </row>
    <row r="319" spans="1:13" ht="15.75" x14ac:dyDescent="0.25">
      <c r="A319" s="1">
        <v>2116</v>
      </c>
      <c r="B319" s="2">
        <v>9127</v>
      </c>
      <c r="C319" s="2" t="s">
        <v>30</v>
      </c>
      <c r="D319" s="2" t="s">
        <v>20</v>
      </c>
      <c r="E319" s="2" t="s">
        <v>21</v>
      </c>
      <c r="F319" s="2" t="s">
        <v>15</v>
      </c>
      <c r="G319" s="2">
        <v>88</v>
      </c>
      <c r="H319" s="4" t="s">
        <v>37</v>
      </c>
      <c r="I319" s="2">
        <v>2214</v>
      </c>
      <c r="J319" s="3">
        <v>1.59</v>
      </c>
      <c r="K319" s="3">
        <v>24.04</v>
      </c>
      <c r="L319" s="3">
        <v>45.26</v>
      </c>
      <c r="M319" s="3">
        <v>302.77</v>
      </c>
    </row>
    <row r="320" spans="1:13" ht="15.75" x14ac:dyDescent="0.25">
      <c r="A320" s="1">
        <v>2116</v>
      </c>
      <c r="B320" s="2">
        <v>9127</v>
      </c>
      <c r="C320" s="2" t="s">
        <v>30</v>
      </c>
      <c r="D320" s="2" t="s">
        <v>20</v>
      </c>
      <c r="E320" s="2" t="s">
        <v>21</v>
      </c>
      <c r="F320" s="2" t="s">
        <v>15</v>
      </c>
      <c r="G320" s="2">
        <v>60</v>
      </c>
      <c r="H320" s="4" t="s">
        <v>37</v>
      </c>
      <c r="I320" s="2">
        <v>2214</v>
      </c>
      <c r="J320" s="3">
        <v>3</v>
      </c>
      <c r="K320" s="3">
        <v>6.37</v>
      </c>
      <c r="L320" s="3">
        <v>41.36</v>
      </c>
      <c r="M320" s="3">
        <v>133.07</v>
      </c>
    </row>
    <row r="321" spans="1:13" ht="15.75" x14ac:dyDescent="0.25">
      <c r="A321" s="1">
        <v>2116</v>
      </c>
      <c r="B321" s="2">
        <v>9127</v>
      </c>
      <c r="C321" s="2" t="s">
        <v>30</v>
      </c>
      <c r="D321" s="2" t="s">
        <v>20</v>
      </c>
      <c r="E321" s="2" t="s">
        <v>21</v>
      </c>
      <c r="F321" s="2" t="s">
        <v>15</v>
      </c>
      <c r="G321" s="2">
        <v>0</v>
      </c>
      <c r="H321" s="4" t="s">
        <v>37</v>
      </c>
      <c r="I321" s="2">
        <v>2214</v>
      </c>
      <c r="J321" s="3">
        <v>3.1</v>
      </c>
      <c r="K321" s="3">
        <v>32.81</v>
      </c>
      <c r="L321" s="3">
        <v>45.04</v>
      </c>
      <c r="M321" s="3">
        <v>104.29</v>
      </c>
    </row>
    <row r="322" spans="1:13" ht="15.75" x14ac:dyDescent="0.25">
      <c r="A322" s="2">
        <v>2117</v>
      </c>
      <c r="B322" s="2">
        <v>8116</v>
      </c>
      <c r="C322" s="2" t="s">
        <v>30</v>
      </c>
      <c r="D322" s="2" t="s">
        <v>20</v>
      </c>
      <c r="E322" s="2" t="s">
        <v>21</v>
      </c>
      <c r="F322" s="2" t="s">
        <v>15</v>
      </c>
      <c r="G322" s="2">
        <v>14</v>
      </c>
      <c r="H322" s="4" t="s">
        <v>37</v>
      </c>
      <c r="I322" s="2">
        <v>2214</v>
      </c>
      <c r="J322" s="2" t="s">
        <v>39</v>
      </c>
      <c r="K322" s="2" t="s">
        <v>39</v>
      </c>
      <c r="L322" s="2" t="s">
        <v>39</v>
      </c>
      <c r="M322" s="2" t="s">
        <v>39</v>
      </c>
    </row>
    <row r="323" spans="1:13" ht="15.75" x14ac:dyDescent="0.25">
      <c r="A323" s="2">
        <v>2117</v>
      </c>
      <c r="B323" s="2">
        <v>8116</v>
      </c>
      <c r="C323" s="2" t="s">
        <v>30</v>
      </c>
      <c r="D323" s="2" t="s">
        <v>20</v>
      </c>
      <c r="E323" s="2" t="s">
        <v>21</v>
      </c>
      <c r="F323" s="2" t="s">
        <v>15</v>
      </c>
      <c r="G323" s="2">
        <v>88</v>
      </c>
      <c r="H323" s="4" t="s">
        <v>37</v>
      </c>
      <c r="I323" s="2">
        <v>2214</v>
      </c>
      <c r="J323" s="3">
        <v>2.7</v>
      </c>
      <c r="K323" s="3">
        <v>1E-3</v>
      </c>
      <c r="L323" s="3">
        <v>195.83</v>
      </c>
      <c r="M323" s="3">
        <v>2385.7800000000002</v>
      </c>
    </row>
    <row r="324" spans="1:13" ht="15.75" x14ac:dyDescent="0.25">
      <c r="A324" s="2">
        <v>2117</v>
      </c>
      <c r="B324" s="2">
        <v>8116</v>
      </c>
      <c r="C324" s="2" t="s">
        <v>30</v>
      </c>
      <c r="D324" s="2" t="s">
        <v>20</v>
      </c>
      <c r="E324" s="2" t="s">
        <v>21</v>
      </c>
      <c r="F324" s="2" t="s">
        <v>15</v>
      </c>
      <c r="G324" s="2">
        <v>60</v>
      </c>
      <c r="H324" s="4" t="s">
        <v>37</v>
      </c>
      <c r="I324" s="2">
        <v>2214</v>
      </c>
      <c r="J324" s="3">
        <v>14.51</v>
      </c>
      <c r="K324" s="3">
        <v>1E-3</v>
      </c>
      <c r="L324" s="3">
        <v>79</v>
      </c>
      <c r="M324" s="3">
        <v>67.39</v>
      </c>
    </row>
    <row r="325" spans="1:13" ht="15.75" x14ac:dyDescent="0.25">
      <c r="A325" s="2">
        <v>2117</v>
      </c>
      <c r="B325" s="2">
        <v>8116</v>
      </c>
      <c r="C325" s="2" t="s">
        <v>30</v>
      </c>
      <c r="D325" s="2" t="s">
        <v>20</v>
      </c>
      <c r="E325" s="2" t="s">
        <v>21</v>
      </c>
      <c r="F325" s="2" t="s">
        <v>15</v>
      </c>
      <c r="G325" s="2">
        <v>0</v>
      </c>
      <c r="H325" s="4" t="s">
        <v>37</v>
      </c>
      <c r="I325" s="2">
        <v>2214</v>
      </c>
      <c r="J325" s="3">
        <v>1.36</v>
      </c>
      <c r="K325" s="3">
        <v>12.65</v>
      </c>
      <c r="L325" s="3">
        <v>34.479999999999997</v>
      </c>
      <c r="M325" s="3">
        <v>100.18</v>
      </c>
    </row>
    <row r="326" spans="1:13" ht="15.75" x14ac:dyDescent="0.25">
      <c r="A326" s="2">
        <v>2120</v>
      </c>
      <c r="B326" s="2">
        <v>8019</v>
      </c>
      <c r="C326" s="2" t="s">
        <v>40</v>
      </c>
      <c r="D326" s="2" t="s">
        <v>20</v>
      </c>
      <c r="E326" s="2" t="s">
        <v>21</v>
      </c>
      <c r="F326" s="2" t="s">
        <v>15</v>
      </c>
      <c r="G326" s="2">
        <v>14</v>
      </c>
      <c r="H326" s="4" t="s">
        <v>37</v>
      </c>
      <c r="I326" s="2">
        <v>2214</v>
      </c>
      <c r="J326" s="3">
        <v>0.31</v>
      </c>
      <c r="K326" s="3">
        <v>15.99</v>
      </c>
      <c r="L326" s="3">
        <v>29.3</v>
      </c>
      <c r="M326" s="3">
        <v>96.88</v>
      </c>
    </row>
    <row r="327" spans="1:13" ht="15.75" x14ac:dyDescent="0.25">
      <c r="A327" s="2">
        <v>2120</v>
      </c>
      <c r="B327" s="2">
        <v>8019</v>
      </c>
      <c r="C327" s="2" t="s">
        <v>40</v>
      </c>
      <c r="D327" s="2" t="s">
        <v>20</v>
      </c>
      <c r="E327" s="2" t="s">
        <v>21</v>
      </c>
      <c r="F327" s="2" t="s">
        <v>15</v>
      </c>
      <c r="G327" s="2">
        <v>88</v>
      </c>
      <c r="H327" s="4" t="s">
        <v>37</v>
      </c>
      <c r="I327" s="2">
        <v>2214</v>
      </c>
      <c r="J327" s="3">
        <v>0.61</v>
      </c>
      <c r="K327" s="3">
        <v>1E-3</v>
      </c>
      <c r="L327" s="3">
        <v>39.06</v>
      </c>
      <c r="M327" s="3">
        <v>34.65</v>
      </c>
    </row>
    <row r="328" spans="1:13" ht="15.75" x14ac:dyDescent="0.25">
      <c r="A328" s="2">
        <v>2120</v>
      </c>
      <c r="B328" s="2">
        <v>8019</v>
      </c>
      <c r="C328" s="2" t="s">
        <v>40</v>
      </c>
      <c r="D328" s="2" t="s">
        <v>20</v>
      </c>
      <c r="E328" s="2" t="s">
        <v>21</v>
      </c>
      <c r="F328" s="2" t="s">
        <v>15</v>
      </c>
      <c r="G328" s="2">
        <v>60</v>
      </c>
      <c r="H328" s="4" t="s">
        <v>37</v>
      </c>
      <c r="I328" s="2">
        <v>2214</v>
      </c>
      <c r="J328" s="3">
        <v>0.42</v>
      </c>
      <c r="K328" s="3">
        <v>1E-3</v>
      </c>
      <c r="L328" s="3">
        <v>21.64</v>
      </c>
      <c r="M328" s="3">
        <v>1E-3</v>
      </c>
    </row>
    <row r="329" spans="1:13" ht="15.75" x14ac:dyDescent="0.25">
      <c r="A329" s="2">
        <v>2120</v>
      </c>
      <c r="B329" s="2">
        <v>8019</v>
      </c>
      <c r="C329" s="2" t="s">
        <v>40</v>
      </c>
      <c r="D329" s="2" t="s">
        <v>20</v>
      </c>
      <c r="E329" s="2" t="s">
        <v>21</v>
      </c>
      <c r="F329" s="2" t="s">
        <v>15</v>
      </c>
      <c r="G329" s="2">
        <v>0</v>
      </c>
      <c r="H329" s="4" t="s">
        <v>37</v>
      </c>
      <c r="I329" s="2">
        <v>2214</v>
      </c>
      <c r="J329" s="2" t="s">
        <v>39</v>
      </c>
      <c r="K329" s="2" t="s">
        <v>39</v>
      </c>
      <c r="L329" s="2" t="s">
        <v>39</v>
      </c>
      <c r="M329" s="2" t="s">
        <v>39</v>
      </c>
    </row>
    <row r="330" spans="1:13" ht="15.75" x14ac:dyDescent="0.25">
      <c r="A330" s="1">
        <v>2122</v>
      </c>
      <c r="B330" s="2">
        <v>9115</v>
      </c>
      <c r="C330" s="2" t="s">
        <v>41</v>
      </c>
      <c r="D330" s="2" t="s">
        <v>14</v>
      </c>
      <c r="E330" s="2" t="s">
        <v>15</v>
      </c>
      <c r="F330" s="2" t="s">
        <v>15</v>
      </c>
      <c r="G330" s="2">
        <v>14</v>
      </c>
      <c r="H330" s="4" t="s">
        <v>37</v>
      </c>
      <c r="I330" s="2">
        <v>2214</v>
      </c>
      <c r="J330" s="3">
        <v>1.49</v>
      </c>
      <c r="K330" s="3">
        <v>1E-3</v>
      </c>
      <c r="L330" s="3">
        <v>84.32</v>
      </c>
      <c r="M330" s="3">
        <v>280.31</v>
      </c>
    </row>
    <row r="331" spans="1:13" ht="15.75" x14ac:dyDescent="0.25">
      <c r="A331" s="1">
        <v>2122</v>
      </c>
      <c r="B331" s="2">
        <v>9115</v>
      </c>
      <c r="C331" s="2" t="s">
        <v>41</v>
      </c>
      <c r="D331" s="2" t="s">
        <v>14</v>
      </c>
      <c r="E331" s="2" t="s">
        <v>15</v>
      </c>
      <c r="F331" s="2" t="s">
        <v>15</v>
      </c>
      <c r="G331" s="2">
        <v>88</v>
      </c>
      <c r="H331" s="4" t="s">
        <v>37</v>
      </c>
      <c r="I331" s="2">
        <v>2214</v>
      </c>
      <c r="J331" s="3">
        <v>1.99</v>
      </c>
      <c r="K331" s="3">
        <v>0.37</v>
      </c>
      <c r="L331" s="3">
        <v>117.35</v>
      </c>
      <c r="M331" s="3">
        <v>258.45</v>
      </c>
    </row>
    <row r="332" spans="1:13" ht="15.75" x14ac:dyDescent="0.25">
      <c r="A332" s="1">
        <v>2122</v>
      </c>
      <c r="B332" s="2">
        <v>9115</v>
      </c>
      <c r="C332" s="2" t="s">
        <v>41</v>
      </c>
      <c r="D332" s="2" t="s">
        <v>14</v>
      </c>
      <c r="E332" s="2" t="s">
        <v>15</v>
      </c>
      <c r="F332" s="2" t="s">
        <v>15</v>
      </c>
      <c r="G332" s="2">
        <v>60</v>
      </c>
      <c r="H332" s="4" t="s">
        <v>37</v>
      </c>
      <c r="I332" s="2">
        <v>2214</v>
      </c>
      <c r="J332" s="3">
        <v>1.26</v>
      </c>
      <c r="K332" s="3">
        <v>1E-3</v>
      </c>
      <c r="L332" s="3">
        <v>123.51</v>
      </c>
      <c r="M332" s="3">
        <v>2523.14</v>
      </c>
    </row>
    <row r="333" spans="1:13" ht="15.75" x14ac:dyDescent="0.25">
      <c r="A333" s="1">
        <v>2122</v>
      </c>
      <c r="B333" s="2">
        <v>9115</v>
      </c>
      <c r="C333" s="2" t="s">
        <v>41</v>
      </c>
      <c r="D333" s="2" t="s">
        <v>14</v>
      </c>
      <c r="E333" s="2" t="s">
        <v>15</v>
      </c>
      <c r="F333" s="2" t="s">
        <v>15</v>
      </c>
      <c r="G333" s="2">
        <v>0</v>
      </c>
      <c r="H333" s="4" t="s">
        <v>37</v>
      </c>
      <c r="I333" s="2">
        <v>2214</v>
      </c>
      <c r="J333" s="3">
        <v>9.89</v>
      </c>
      <c r="K333" s="3">
        <v>1E-3</v>
      </c>
      <c r="L333" s="3">
        <v>115.76</v>
      </c>
      <c r="M333" s="3">
        <v>417.29</v>
      </c>
    </row>
    <row r="334" spans="1:13" ht="15.75" x14ac:dyDescent="0.25">
      <c r="A334" s="1">
        <v>2126</v>
      </c>
      <c r="B334" s="2">
        <v>9014</v>
      </c>
      <c r="C334" s="2" t="s">
        <v>41</v>
      </c>
      <c r="D334" s="2" t="s">
        <v>14</v>
      </c>
      <c r="E334" s="2" t="s">
        <v>15</v>
      </c>
      <c r="F334" s="2" t="s">
        <v>15</v>
      </c>
      <c r="G334" s="2">
        <v>14</v>
      </c>
      <c r="H334" s="4" t="s">
        <v>37</v>
      </c>
      <c r="I334" s="2">
        <v>2214</v>
      </c>
      <c r="J334" s="3">
        <v>1.65</v>
      </c>
      <c r="K334" s="3">
        <v>39.840000000000003</v>
      </c>
      <c r="L334" s="3">
        <v>33.119999999999997</v>
      </c>
      <c r="M334" s="3">
        <v>115.45</v>
      </c>
    </row>
    <row r="335" spans="1:13" ht="15.75" x14ac:dyDescent="0.25">
      <c r="A335" s="1">
        <v>2126</v>
      </c>
      <c r="B335" s="2">
        <v>9014</v>
      </c>
      <c r="C335" s="2" t="s">
        <v>41</v>
      </c>
      <c r="D335" s="2" t="s">
        <v>14</v>
      </c>
      <c r="E335" s="2" t="s">
        <v>15</v>
      </c>
      <c r="F335" s="2" t="s">
        <v>15</v>
      </c>
      <c r="G335" s="2">
        <v>88</v>
      </c>
      <c r="H335" s="4" t="s">
        <v>37</v>
      </c>
      <c r="I335" s="2">
        <v>2214</v>
      </c>
      <c r="J335" s="3">
        <v>1.1299999999999999</v>
      </c>
      <c r="K335" s="3">
        <v>1E-3</v>
      </c>
      <c r="L335" s="3">
        <v>67.39</v>
      </c>
      <c r="M335" s="3">
        <v>272.99</v>
      </c>
    </row>
    <row r="336" spans="1:13" ht="15.75" x14ac:dyDescent="0.25">
      <c r="A336" s="1">
        <v>2126</v>
      </c>
      <c r="B336" s="2">
        <v>9014</v>
      </c>
      <c r="C336" s="2" t="s">
        <v>41</v>
      </c>
      <c r="D336" s="2" t="s">
        <v>14</v>
      </c>
      <c r="E336" s="2" t="s">
        <v>15</v>
      </c>
      <c r="F336" s="2" t="s">
        <v>15</v>
      </c>
      <c r="G336" s="2">
        <v>60</v>
      </c>
      <c r="H336" s="4" t="s">
        <v>37</v>
      </c>
      <c r="I336" s="2">
        <v>2214</v>
      </c>
      <c r="J336" s="3">
        <v>1.74</v>
      </c>
      <c r="K336" s="3">
        <v>1E-3</v>
      </c>
      <c r="L336" s="3">
        <v>42.73</v>
      </c>
      <c r="M336" s="3">
        <v>131.38</v>
      </c>
    </row>
    <row r="337" spans="1:13" ht="15.75" x14ac:dyDescent="0.25">
      <c r="A337" s="1">
        <v>2126</v>
      </c>
      <c r="B337" s="2">
        <v>9014</v>
      </c>
      <c r="C337" s="2" t="s">
        <v>41</v>
      </c>
      <c r="D337" s="2" t="s">
        <v>14</v>
      </c>
      <c r="E337" s="2" t="s">
        <v>15</v>
      </c>
      <c r="F337" s="2" t="s">
        <v>15</v>
      </c>
      <c r="G337" s="2">
        <v>0</v>
      </c>
      <c r="H337" s="4" t="s">
        <v>37</v>
      </c>
      <c r="I337" s="2">
        <v>2214</v>
      </c>
      <c r="J337" s="3">
        <v>3.04</v>
      </c>
      <c r="K337" s="3">
        <v>26.09</v>
      </c>
      <c r="L337" s="3">
        <v>82.1</v>
      </c>
      <c r="M337" s="3">
        <v>425.17</v>
      </c>
    </row>
    <row r="338" spans="1:13" ht="15.75" x14ac:dyDescent="0.25">
      <c r="A338" s="1">
        <v>2131</v>
      </c>
      <c r="B338" s="2">
        <v>9113</v>
      </c>
      <c r="C338" s="2" t="s">
        <v>26</v>
      </c>
      <c r="D338" s="2" t="s">
        <v>27</v>
      </c>
      <c r="E338" s="2" t="s">
        <v>15</v>
      </c>
      <c r="F338" s="2" t="s">
        <v>24</v>
      </c>
      <c r="G338" s="2">
        <v>14</v>
      </c>
      <c r="H338" s="4" t="s">
        <v>37</v>
      </c>
      <c r="I338" s="2">
        <v>2214</v>
      </c>
      <c r="J338" s="3">
        <v>2.25</v>
      </c>
      <c r="K338" s="3">
        <v>39.840000000000003</v>
      </c>
      <c r="L338" s="3">
        <v>52.92</v>
      </c>
      <c r="M338" s="3">
        <v>205.2</v>
      </c>
    </row>
    <row r="339" spans="1:13" ht="15.75" x14ac:dyDescent="0.25">
      <c r="A339" s="1">
        <v>2131</v>
      </c>
      <c r="B339" s="2">
        <v>9113</v>
      </c>
      <c r="C339" s="2" t="s">
        <v>26</v>
      </c>
      <c r="D339" s="2" t="s">
        <v>27</v>
      </c>
      <c r="E339" s="2" t="s">
        <v>15</v>
      </c>
      <c r="F339" s="2" t="s">
        <v>24</v>
      </c>
      <c r="G339" s="2">
        <v>88</v>
      </c>
      <c r="H339" s="4" t="s">
        <v>37</v>
      </c>
      <c r="I339" s="2">
        <v>2214</v>
      </c>
      <c r="J339" s="3">
        <v>1.1499999999999999</v>
      </c>
      <c r="K339" s="3">
        <v>14.96</v>
      </c>
      <c r="L339" s="3">
        <v>84.76</v>
      </c>
      <c r="M339" s="3">
        <v>184.52</v>
      </c>
    </row>
    <row r="340" spans="1:13" ht="15.75" x14ac:dyDescent="0.25">
      <c r="A340" s="1">
        <v>2131</v>
      </c>
      <c r="B340" s="2">
        <v>9113</v>
      </c>
      <c r="C340" s="2" t="s">
        <v>26</v>
      </c>
      <c r="D340" s="2" t="s">
        <v>27</v>
      </c>
      <c r="E340" s="2" t="s">
        <v>15</v>
      </c>
      <c r="F340" s="2" t="s">
        <v>24</v>
      </c>
      <c r="G340" s="2">
        <v>60</v>
      </c>
      <c r="H340" s="4" t="s">
        <v>37</v>
      </c>
      <c r="I340" s="2">
        <v>2214</v>
      </c>
      <c r="J340" s="3">
        <v>2.13</v>
      </c>
      <c r="K340" s="3">
        <v>1E-3</v>
      </c>
      <c r="L340" s="3">
        <v>41.04</v>
      </c>
      <c r="M340" s="3">
        <v>81.760000000000005</v>
      </c>
    </row>
    <row r="341" spans="1:13" ht="15.75" x14ac:dyDescent="0.25">
      <c r="A341" s="1">
        <v>2131</v>
      </c>
      <c r="B341" s="2">
        <v>9113</v>
      </c>
      <c r="C341" s="2" t="s">
        <v>26</v>
      </c>
      <c r="D341" s="2" t="s">
        <v>27</v>
      </c>
      <c r="E341" s="2" t="s">
        <v>15</v>
      </c>
      <c r="F341" s="2" t="s">
        <v>24</v>
      </c>
      <c r="G341" s="2">
        <v>0</v>
      </c>
      <c r="H341" s="4" t="s">
        <v>37</v>
      </c>
      <c r="I341" s="2">
        <v>2214</v>
      </c>
      <c r="J341" s="3">
        <v>1.76</v>
      </c>
      <c r="K341" s="3">
        <v>19.02</v>
      </c>
      <c r="L341" s="3">
        <v>56.35</v>
      </c>
      <c r="M341" s="3">
        <v>347.64</v>
      </c>
    </row>
    <row r="342" spans="1:13" ht="15.75" x14ac:dyDescent="0.25">
      <c r="A342" s="2">
        <v>2141</v>
      </c>
      <c r="B342" s="2">
        <v>8136</v>
      </c>
      <c r="C342" s="2" t="s">
        <v>42</v>
      </c>
      <c r="D342" s="2" t="s">
        <v>20</v>
      </c>
      <c r="E342" s="2" t="s">
        <v>21</v>
      </c>
      <c r="F342" s="2" t="s">
        <v>15</v>
      </c>
      <c r="G342" s="2">
        <v>14</v>
      </c>
      <c r="H342" s="4" t="s">
        <v>37</v>
      </c>
      <c r="I342" s="2">
        <v>2214</v>
      </c>
      <c r="J342" s="3">
        <v>2.0099999999999998</v>
      </c>
      <c r="K342" s="3">
        <v>1E-3</v>
      </c>
      <c r="L342" s="3">
        <v>32.03</v>
      </c>
      <c r="M342" s="3">
        <v>155.22</v>
      </c>
    </row>
    <row r="343" spans="1:13" ht="15.75" x14ac:dyDescent="0.25">
      <c r="A343" s="2">
        <v>2141</v>
      </c>
      <c r="B343" s="2">
        <v>8136</v>
      </c>
      <c r="C343" s="2" t="s">
        <v>42</v>
      </c>
      <c r="D343" s="2" t="s">
        <v>20</v>
      </c>
      <c r="E343" s="2" t="s">
        <v>21</v>
      </c>
      <c r="F343" s="2" t="s">
        <v>15</v>
      </c>
      <c r="G343" s="2">
        <v>88</v>
      </c>
      <c r="H343" s="4" t="s">
        <v>37</v>
      </c>
      <c r="I343" s="2">
        <v>2214</v>
      </c>
      <c r="J343" s="3">
        <v>0.97</v>
      </c>
      <c r="K343" s="3">
        <v>1E-3</v>
      </c>
      <c r="L343" s="3">
        <v>59.41</v>
      </c>
      <c r="M343" s="3">
        <v>135.59</v>
      </c>
    </row>
    <row r="344" spans="1:13" ht="15.75" x14ac:dyDescent="0.25">
      <c r="A344" s="2">
        <v>2141</v>
      </c>
      <c r="B344" s="2">
        <v>8136</v>
      </c>
      <c r="C344" s="2" t="s">
        <v>42</v>
      </c>
      <c r="D344" s="2" t="s">
        <v>20</v>
      </c>
      <c r="E344" s="2" t="s">
        <v>21</v>
      </c>
      <c r="F344" s="2" t="s">
        <v>15</v>
      </c>
      <c r="G344" s="2">
        <v>60</v>
      </c>
      <c r="H344" s="4" t="s">
        <v>37</v>
      </c>
      <c r="I344" s="2">
        <v>2214</v>
      </c>
      <c r="J344" s="3">
        <v>12.39</v>
      </c>
      <c r="K344" s="3">
        <v>1E-3</v>
      </c>
      <c r="L344" s="3">
        <v>45.86</v>
      </c>
      <c r="M344" s="3">
        <v>31.65</v>
      </c>
    </row>
    <row r="345" spans="1:13" ht="15.75" x14ac:dyDescent="0.25">
      <c r="A345" s="2">
        <v>2141</v>
      </c>
      <c r="B345" s="2">
        <v>8136</v>
      </c>
      <c r="C345" s="2" t="s">
        <v>42</v>
      </c>
      <c r="D345" s="2" t="s">
        <v>20</v>
      </c>
      <c r="E345" s="2" t="s">
        <v>21</v>
      </c>
      <c r="F345" s="2" t="s">
        <v>15</v>
      </c>
      <c r="G345" s="2">
        <v>0</v>
      </c>
      <c r="H345" s="4" t="s">
        <v>37</v>
      </c>
      <c r="I345" s="2">
        <v>2214</v>
      </c>
      <c r="J345" s="2" t="s">
        <v>39</v>
      </c>
      <c r="K345" s="2" t="s">
        <v>39</v>
      </c>
      <c r="L345" s="2" t="s">
        <v>39</v>
      </c>
      <c r="M345" s="2" t="s">
        <v>39</v>
      </c>
    </row>
    <row r="346" spans="1:13" ht="15.75" x14ac:dyDescent="0.25">
      <c r="A346" s="1">
        <v>2201</v>
      </c>
      <c r="B346" s="2">
        <v>7106</v>
      </c>
      <c r="C346" s="2" t="s">
        <v>41</v>
      </c>
      <c r="D346" s="2" t="s">
        <v>14</v>
      </c>
      <c r="E346" s="2" t="s">
        <v>15</v>
      </c>
      <c r="F346" s="2" t="s">
        <v>15</v>
      </c>
      <c r="G346" s="2">
        <v>14</v>
      </c>
      <c r="H346" s="4" t="s">
        <v>37</v>
      </c>
      <c r="I346" s="2">
        <v>2214</v>
      </c>
      <c r="J346" s="3">
        <v>3.48</v>
      </c>
      <c r="K346" s="3">
        <v>28.24</v>
      </c>
      <c r="L346" s="3">
        <v>172.75</v>
      </c>
      <c r="M346" s="3">
        <v>1531.81</v>
      </c>
    </row>
    <row r="347" spans="1:13" ht="15.75" x14ac:dyDescent="0.25">
      <c r="A347" s="1">
        <v>2201</v>
      </c>
      <c r="B347" s="2">
        <v>7106</v>
      </c>
      <c r="C347" s="2" t="s">
        <v>41</v>
      </c>
      <c r="D347" s="2" t="s">
        <v>14</v>
      </c>
      <c r="E347" s="2" t="s">
        <v>15</v>
      </c>
      <c r="F347" s="2" t="s">
        <v>15</v>
      </c>
      <c r="G347" s="2">
        <v>88</v>
      </c>
      <c r="H347" s="4" t="s">
        <v>37</v>
      </c>
      <c r="I347" s="2">
        <v>2214</v>
      </c>
      <c r="J347" s="3">
        <v>1.58</v>
      </c>
      <c r="K347" s="3">
        <v>1E-3</v>
      </c>
      <c r="L347" s="3">
        <v>105.57</v>
      </c>
      <c r="M347" s="3">
        <v>489.02</v>
      </c>
    </row>
    <row r="348" spans="1:13" ht="15.75" x14ac:dyDescent="0.25">
      <c r="A348" s="1">
        <v>2201</v>
      </c>
      <c r="B348" s="2">
        <v>7106</v>
      </c>
      <c r="C348" s="2" t="s">
        <v>41</v>
      </c>
      <c r="D348" s="2" t="s">
        <v>14</v>
      </c>
      <c r="E348" s="2" t="s">
        <v>15</v>
      </c>
      <c r="F348" s="2" t="s">
        <v>15</v>
      </c>
      <c r="G348" s="2">
        <v>60</v>
      </c>
      <c r="H348" s="4" t="s">
        <v>37</v>
      </c>
      <c r="I348" s="2">
        <v>2214</v>
      </c>
      <c r="J348" s="3">
        <v>2.23</v>
      </c>
      <c r="K348" s="3">
        <v>38.94</v>
      </c>
      <c r="L348" s="3">
        <v>521.16</v>
      </c>
      <c r="M348" s="3">
        <v>9255.34</v>
      </c>
    </row>
    <row r="349" spans="1:13" ht="15.75" x14ac:dyDescent="0.25">
      <c r="A349" s="1">
        <v>2201</v>
      </c>
      <c r="B349" s="2">
        <v>7106</v>
      </c>
      <c r="C349" s="2" t="s">
        <v>41</v>
      </c>
      <c r="D349" s="2" t="s">
        <v>14</v>
      </c>
      <c r="E349" s="2" t="s">
        <v>15</v>
      </c>
      <c r="F349" s="2" t="s">
        <v>15</v>
      </c>
      <c r="G349" s="2">
        <v>0</v>
      </c>
      <c r="H349" s="4" t="s">
        <v>37</v>
      </c>
      <c r="I349" s="2">
        <v>2214</v>
      </c>
      <c r="J349" s="3">
        <v>2.13</v>
      </c>
      <c r="K349" s="3">
        <v>76.58</v>
      </c>
      <c r="L349" s="3">
        <v>76.150000000000006</v>
      </c>
      <c r="M349" s="3">
        <v>448.93</v>
      </c>
    </row>
    <row r="350" spans="1:13" ht="15.75" x14ac:dyDescent="0.25">
      <c r="A350" s="1">
        <v>2202</v>
      </c>
      <c r="B350" s="2">
        <v>5081</v>
      </c>
      <c r="C350" s="2" t="s">
        <v>13</v>
      </c>
      <c r="D350" s="2" t="s">
        <v>14</v>
      </c>
      <c r="E350" s="2" t="s">
        <v>15</v>
      </c>
      <c r="F350" s="2" t="s">
        <v>15</v>
      </c>
      <c r="G350" s="2">
        <v>14</v>
      </c>
      <c r="H350" s="4" t="s">
        <v>37</v>
      </c>
      <c r="I350" s="2">
        <v>2214</v>
      </c>
      <c r="J350" s="3">
        <v>0.26</v>
      </c>
      <c r="K350" s="3">
        <v>1E-3</v>
      </c>
      <c r="L350" s="3">
        <v>75.930000000000007</v>
      </c>
      <c r="M350" s="3">
        <v>332.46</v>
      </c>
    </row>
    <row r="351" spans="1:13" ht="15.75" x14ac:dyDescent="0.25">
      <c r="A351" s="1">
        <v>2202</v>
      </c>
      <c r="B351" s="2">
        <v>5081</v>
      </c>
      <c r="C351" s="2" t="s">
        <v>13</v>
      </c>
      <c r="D351" s="2" t="s">
        <v>14</v>
      </c>
      <c r="E351" s="2" t="s">
        <v>15</v>
      </c>
      <c r="F351" s="2" t="s">
        <v>15</v>
      </c>
      <c r="G351" s="2">
        <v>88</v>
      </c>
      <c r="H351" s="4" t="s">
        <v>37</v>
      </c>
      <c r="I351" s="2">
        <v>2214</v>
      </c>
      <c r="J351" s="3">
        <v>1.1100000000000001</v>
      </c>
      <c r="K351" s="3">
        <v>105</v>
      </c>
      <c r="L351" s="3">
        <v>103.54</v>
      </c>
      <c r="M351" s="3">
        <v>1327.54</v>
      </c>
    </row>
    <row r="352" spans="1:13" ht="15.75" x14ac:dyDescent="0.25">
      <c r="A352" s="1">
        <v>2202</v>
      </c>
      <c r="B352" s="2">
        <v>5081</v>
      </c>
      <c r="C352" s="2" t="s">
        <v>13</v>
      </c>
      <c r="D352" s="2" t="s">
        <v>14</v>
      </c>
      <c r="E352" s="2" t="s">
        <v>15</v>
      </c>
      <c r="F352" s="2" t="s">
        <v>15</v>
      </c>
      <c r="G352" s="2">
        <v>60</v>
      </c>
      <c r="H352" s="4" t="s">
        <v>37</v>
      </c>
      <c r="I352" s="2">
        <v>2214</v>
      </c>
      <c r="J352" s="3">
        <v>2.65</v>
      </c>
      <c r="K352" s="3">
        <v>14.96</v>
      </c>
      <c r="L352" s="3">
        <v>107.6</v>
      </c>
      <c r="M352" s="3">
        <v>184.52</v>
      </c>
    </row>
    <row r="353" spans="1:13" ht="15.75" x14ac:dyDescent="0.25">
      <c r="A353" s="1">
        <v>2202</v>
      </c>
      <c r="B353" s="2">
        <v>5081</v>
      </c>
      <c r="C353" s="2" t="s">
        <v>13</v>
      </c>
      <c r="D353" s="2" t="s">
        <v>14</v>
      </c>
      <c r="E353" s="2" t="s">
        <v>15</v>
      </c>
      <c r="F353" s="2" t="s">
        <v>15</v>
      </c>
      <c r="G353" s="2">
        <v>0</v>
      </c>
      <c r="H353" s="4" t="s">
        <v>37</v>
      </c>
      <c r="I353" s="2">
        <v>2214</v>
      </c>
      <c r="J353" s="3">
        <v>1.9</v>
      </c>
      <c r="K353" s="3">
        <v>10.28</v>
      </c>
      <c r="L353" s="3">
        <v>67.61</v>
      </c>
      <c r="M353" s="3">
        <v>150.94</v>
      </c>
    </row>
    <row r="354" spans="1:13" ht="15.75" x14ac:dyDescent="0.25">
      <c r="A354" s="1">
        <v>2205</v>
      </c>
      <c r="B354" s="2">
        <v>6015</v>
      </c>
      <c r="C354" s="2" t="s">
        <v>17</v>
      </c>
      <c r="D354" s="2" t="s">
        <v>14</v>
      </c>
      <c r="E354" s="2" t="s">
        <v>15</v>
      </c>
      <c r="F354" s="2" t="s">
        <v>15</v>
      </c>
      <c r="G354" s="2">
        <v>14</v>
      </c>
      <c r="H354" s="4" t="s">
        <v>37</v>
      </c>
      <c r="I354" s="2">
        <v>2214</v>
      </c>
      <c r="J354" s="3">
        <v>2.04</v>
      </c>
      <c r="K354" s="3">
        <v>10.28</v>
      </c>
      <c r="L354" s="3">
        <v>100.39</v>
      </c>
      <c r="M354" s="3">
        <v>1123.97</v>
      </c>
    </row>
    <row r="355" spans="1:13" ht="15.75" x14ac:dyDescent="0.25">
      <c r="A355" s="1">
        <v>2205</v>
      </c>
      <c r="B355" s="2">
        <v>6015</v>
      </c>
      <c r="C355" s="2" t="s">
        <v>17</v>
      </c>
      <c r="D355" s="2" t="s">
        <v>14</v>
      </c>
      <c r="E355" s="2" t="s">
        <v>15</v>
      </c>
      <c r="F355" s="2" t="s">
        <v>15</v>
      </c>
      <c r="G355" s="2">
        <v>88</v>
      </c>
      <c r="H355" s="4" t="s">
        <v>37</v>
      </c>
      <c r="I355" s="2">
        <v>2214</v>
      </c>
      <c r="J355" s="3">
        <v>1.85</v>
      </c>
      <c r="K355" s="3">
        <v>1E-3</v>
      </c>
      <c r="L355" s="3">
        <v>153.07</v>
      </c>
      <c r="M355" s="3">
        <v>1995.91</v>
      </c>
    </row>
    <row r="356" spans="1:13" ht="15.75" x14ac:dyDescent="0.25">
      <c r="A356" s="1">
        <v>2205</v>
      </c>
      <c r="B356" s="2">
        <v>6015</v>
      </c>
      <c r="C356" s="2" t="s">
        <v>17</v>
      </c>
      <c r="D356" s="2" t="s">
        <v>14</v>
      </c>
      <c r="E356" s="2" t="s">
        <v>15</v>
      </c>
      <c r="F356" s="2" t="s">
        <v>15</v>
      </c>
      <c r="G356" s="2">
        <v>60</v>
      </c>
      <c r="H356" s="4" t="s">
        <v>37</v>
      </c>
      <c r="I356" s="2">
        <v>2214</v>
      </c>
      <c r="J356" s="3">
        <v>1.81</v>
      </c>
      <c r="K356" s="3">
        <v>1E-3</v>
      </c>
      <c r="L356" s="3">
        <v>28.38</v>
      </c>
      <c r="M356" s="3">
        <v>72.930000000000007</v>
      </c>
    </row>
    <row r="357" spans="1:13" ht="15.75" x14ac:dyDescent="0.25">
      <c r="A357" s="1">
        <v>2205</v>
      </c>
      <c r="B357" s="2">
        <v>6015</v>
      </c>
      <c r="C357" s="2" t="s">
        <v>17</v>
      </c>
      <c r="D357" s="2" t="s">
        <v>14</v>
      </c>
      <c r="E357" s="2" t="s">
        <v>15</v>
      </c>
      <c r="F357" s="2" t="s">
        <v>15</v>
      </c>
      <c r="G357" s="2">
        <v>0</v>
      </c>
      <c r="H357" s="4" t="s">
        <v>37</v>
      </c>
      <c r="I357" s="2">
        <v>2214</v>
      </c>
      <c r="J357" s="3">
        <v>1.72</v>
      </c>
      <c r="K357" s="3">
        <v>1E-3</v>
      </c>
      <c r="L357" s="3">
        <v>65.650000000000006</v>
      </c>
      <c r="M357" s="3">
        <v>429.11</v>
      </c>
    </row>
    <row r="358" spans="1:13" ht="15.75" x14ac:dyDescent="0.25">
      <c r="A358" s="1">
        <v>2206</v>
      </c>
      <c r="B358" s="2">
        <v>7135</v>
      </c>
      <c r="C358" s="2" t="s">
        <v>17</v>
      </c>
      <c r="D358" s="2" t="s">
        <v>14</v>
      </c>
      <c r="E358" s="2" t="s">
        <v>15</v>
      </c>
      <c r="F358" s="2" t="s">
        <v>15</v>
      </c>
      <c r="G358" s="2">
        <v>14</v>
      </c>
      <c r="H358" s="4" t="s">
        <v>37</v>
      </c>
      <c r="I358" s="2">
        <v>2214</v>
      </c>
      <c r="J358" s="3">
        <v>10.02</v>
      </c>
      <c r="K358" s="3">
        <v>23.85</v>
      </c>
      <c r="L358" s="3">
        <v>44.42</v>
      </c>
      <c r="M358" s="3">
        <v>134.61000000000001</v>
      </c>
    </row>
    <row r="359" spans="1:13" ht="15.75" x14ac:dyDescent="0.25">
      <c r="A359" s="1">
        <v>2206</v>
      </c>
      <c r="B359" s="2">
        <v>7135</v>
      </c>
      <c r="C359" s="2" t="s">
        <v>17</v>
      </c>
      <c r="D359" s="2" t="s">
        <v>14</v>
      </c>
      <c r="E359" s="2" t="s">
        <v>15</v>
      </c>
      <c r="F359" s="2" t="s">
        <v>15</v>
      </c>
      <c r="G359" s="2">
        <v>88</v>
      </c>
      <c r="H359" s="4" t="s">
        <v>37</v>
      </c>
      <c r="I359" s="2">
        <v>2214</v>
      </c>
      <c r="J359" s="3">
        <v>4.63</v>
      </c>
      <c r="K359" s="3">
        <v>1E-3</v>
      </c>
      <c r="L359" s="3">
        <v>92.1</v>
      </c>
      <c r="M359" s="3">
        <v>732.07</v>
      </c>
    </row>
    <row r="360" spans="1:13" ht="15.75" x14ac:dyDescent="0.25">
      <c r="A360" s="1">
        <v>2206</v>
      </c>
      <c r="B360" s="2">
        <v>7135</v>
      </c>
      <c r="C360" s="2" t="s">
        <v>17</v>
      </c>
      <c r="D360" s="2" t="s">
        <v>14</v>
      </c>
      <c r="E360" s="2" t="s">
        <v>15</v>
      </c>
      <c r="F360" s="2" t="s">
        <v>15</v>
      </c>
      <c r="G360" s="2">
        <v>60</v>
      </c>
      <c r="H360" s="4" t="s">
        <v>37</v>
      </c>
      <c r="I360" s="2">
        <v>2214</v>
      </c>
      <c r="J360" s="3">
        <v>25.29</v>
      </c>
      <c r="K360" s="3">
        <v>1E-3</v>
      </c>
      <c r="L360" s="3">
        <v>132.22999999999999</v>
      </c>
      <c r="M360" s="3">
        <v>1072.8699999999999</v>
      </c>
    </row>
    <row r="361" spans="1:13" ht="15.75" x14ac:dyDescent="0.25">
      <c r="A361" s="1">
        <v>2206</v>
      </c>
      <c r="B361" s="2">
        <v>7135</v>
      </c>
      <c r="C361" s="2" t="s">
        <v>17</v>
      </c>
      <c r="D361" s="2" t="s">
        <v>14</v>
      </c>
      <c r="E361" s="2" t="s">
        <v>15</v>
      </c>
      <c r="F361" s="2" t="s">
        <v>15</v>
      </c>
      <c r="G361" s="2">
        <v>0</v>
      </c>
      <c r="H361" s="4" t="s">
        <v>37</v>
      </c>
      <c r="I361" s="2">
        <v>2214</v>
      </c>
      <c r="J361" s="3">
        <v>11.52</v>
      </c>
      <c r="K361" s="3">
        <v>40.729999999999997</v>
      </c>
      <c r="L361" s="3">
        <v>65</v>
      </c>
      <c r="M361" s="3">
        <v>137.85</v>
      </c>
    </row>
    <row r="362" spans="1:13" ht="15.75" x14ac:dyDescent="0.25">
      <c r="A362" s="1">
        <v>2207</v>
      </c>
      <c r="B362" s="2">
        <v>5042</v>
      </c>
      <c r="C362" s="2" t="s">
        <v>30</v>
      </c>
      <c r="D362" s="2" t="s">
        <v>20</v>
      </c>
      <c r="E362" s="2" t="s">
        <v>21</v>
      </c>
      <c r="F362" s="2" t="s">
        <v>15</v>
      </c>
      <c r="G362" s="2">
        <v>14</v>
      </c>
      <c r="H362" s="4" t="s">
        <v>37</v>
      </c>
      <c r="I362" s="2">
        <v>2214</v>
      </c>
      <c r="J362" s="3">
        <v>2.65</v>
      </c>
      <c r="K362" s="3">
        <v>18.86</v>
      </c>
      <c r="L362" s="3">
        <v>63.75</v>
      </c>
      <c r="M362" s="3">
        <v>744.7</v>
      </c>
    </row>
    <row r="363" spans="1:13" ht="15.75" x14ac:dyDescent="0.25">
      <c r="A363" s="1">
        <v>2207</v>
      </c>
      <c r="B363" s="2">
        <v>5042</v>
      </c>
      <c r="C363" s="2" t="s">
        <v>30</v>
      </c>
      <c r="D363" s="2" t="s">
        <v>20</v>
      </c>
      <c r="E363" s="2" t="s">
        <v>21</v>
      </c>
      <c r="F363" s="2" t="s">
        <v>15</v>
      </c>
      <c r="G363" s="2">
        <v>88</v>
      </c>
      <c r="H363" s="4" t="s">
        <v>37</v>
      </c>
      <c r="I363" s="2">
        <v>2214</v>
      </c>
      <c r="J363" s="3">
        <v>1.45</v>
      </c>
      <c r="K363" s="3">
        <v>21.54</v>
      </c>
      <c r="L363" s="3">
        <v>44.83</v>
      </c>
      <c r="M363" s="3">
        <v>281.98</v>
      </c>
    </row>
    <row r="364" spans="1:13" ht="15.75" x14ac:dyDescent="0.25">
      <c r="A364" s="1">
        <v>2207</v>
      </c>
      <c r="B364" s="2">
        <v>5042</v>
      </c>
      <c r="C364" s="2" t="s">
        <v>30</v>
      </c>
      <c r="D364" s="2" t="s">
        <v>20</v>
      </c>
      <c r="E364" s="2" t="s">
        <v>21</v>
      </c>
      <c r="F364" s="2" t="s">
        <v>15</v>
      </c>
      <c r="G364" s="2">
        <v>60</v>
      </c>
      <c r="H364" s="4" t="s">
        <v>37</v>
      </c>
      <c r="I364" s="2">
        <v>2214</v>
      </c>
      <c r="J364" s="3">
        <v>3.24</v>
      </c>
      <c r="K364" s="3">
        <v>20.23</v>
      </c>
      <c r="L364" s="3">
        <v>43.52</v>
      </c>
      <c r="M364" s="3">
        <v>323.58999999999997</v>
      </c>
    </row>
    <row r="365" spans="1:13" ht="15.75" x14ac:dyDescent="0.25">
      <c r="A365" s="1">
        <v>2207</v>
      </c>
      <c r="B365" s="2">
        <v>5042</v>
      </c>
      <c r="C365" s="2" t="s">
        <v>30</v>
      </c>
      <c r="D365" s="2" t="s">
        <v>20</v>
      </c>
      <c r="E365" s="2" t="s">
        <v>21</v>
      </c>
      <c r="F365" s="2" t="s">
        <v>15</v>
      </c>
      <c r="G365" s="2">
        <v>0</v>
      </c>
      <c r="H365" s="4" t="s">
        <v>37</v>
      </c>
      <c r="I365" s="2">
        <v>2214</v>
      </c>
      <c r="J365" s="3">
        <v>4.28</v>
      </c>
      <c r="K365" s="3">
        <v>46.37</v>
      </c>
      <c r="L365" s="3">
        <v>120.34</v>
      </c>
      <c r="M365" s="3">
        <v>727.69</v>
      </c>
    </row>
    <row r="366" spans="1:13" ht="15.75" x14ac:dyDescent="0.25">
      <c r="A366" s="1">
        <v>2208</v>
      </c>
      <c r="B366" s="2">
        <v>5050</v>
      </c>
      <c r="C366" s="2" t="s">
        <v>28</v>
      </c>
      <c r="D366" s="2" t="s">
        <v>20</v>
      </c>
      <c r="E366" s="2" t="s">
        <v>21</v>
      </c>
      <c r="F366" s="2" t="s">
        <v>15</v>
      </c>
      <c r="G366" s="2">
        <v>14</v>
      </c>
      <c r="H366" s="4" t="s">
        <v>37</v>
      </c>
      <c r="I366" s="2">
        <v>2214</v>
      </c>
      <c r="J366" s="3">
        <v>1.63</v>
      </c>
      <c r="K366" s="3">
        <v>107.97</v>
      </c>
      <c r="L366" s="3">
        <v>101.12</v>
      </c>
      <c r="M366" s="3">
        <v>812.89</v>
      </c>
    </row>
    <row r="367" spans="1:13" ht="15.75" x14ac:dyDescent="0.25">
      <c r="A367" s="1">
        <v>2208</v>
      </c>
      <c r="B367" s="2">
        <v>5050</v>
      </c>
      <c r="C367" s="2" t="s">
        <v>28</v>
      </c>
      <c r="D367" s="2" t="s">
        <v>20</v>
      </c>
      <c r="E367" s="2" t="s">
        <v>21</v>
      </c>
      <c r="F367" s="2" t="s">
        <v>15</v>
      </c>
      <c r="G367" s="2">
        <v>88</v>
      </c>
      <c r="H367" s="4" t="s">
        <v>37</v>
      </c>
      <c r="I367" s="2">
        <v>2214</v>
      </c>
      <c r="J367" s="3">
        <v>3.92</v>
      </c>
      <c r="K367" s="3">
        <v>71.47</v>
      </c>
      <c r="L367" s="3">
        <v>94.47</v>
      </c>
      <c r="M367" s="3">
        <v>524.61</v>
      </c>
    </row>
    <row r="368" spans="1:13" ht="15.75" x14ac:dyDescent="0.25">
      <c r="A368" s="1">
        <v>2208</v>
      </c>
      <c r="B368" s="2">
        <v>5050</v>
      </c>
      <c r="C368" s="2" t="s">
        <v>28</v>
      </c>
      <c r="D368" s="2" t="s">
        <v>20</v>
      </c>
      <c r="E368" s="2" t="s">
        <v>21</v>
      </c>
      <c r="F368" s="2" t="s">
        <v>15</v>
      </c>
      <c r="G368" s="2">
        <v>60</v>
      </c>
      <c r="H368" s="4" t="s">
        <v>37</v>
      </c>
      <c r="I368" s="2">
        <v>2214</v>
      </c>
      <c r="J368" s="3">
        <v>0.9</v>
      </c>
      <c r="K368" s="3">
        <v>14.35</v>
      </c>
      <c r="L368" s="3">
        <v>43.52</v>
      </c>
      <c r="M368" s="3">
        <v>356.94</v>
      </c>
    </row>
    <row r="369" spans="1:13" ht="15.75" x14ac:dyDescent="0.25">
      <c r="A369" s="1">
        <v>2208</v>
      </c>
      <c r="B369" s="2">
        <v>5050</v>
      </c>
      <c r="C369" s="2" t="s">
        <v>28</v>
      </c>
      <c r="D369" s="2" t="s">
        <v>20</v>
      </c>
      <c r="E369" s="2" t="s">
        <v>21</v>
      </c>
      <c r="F369" s="2" t="s">
        <v>15</v>
      </c>
      <c r="G369" s="2">
        <v>0</v>
      </c>
      <c r="H369" s="4" t="s">
        <v>37</v>
      </c>
      <c r="I369" s="2">
        <v>2214</v>
      </c>
      <c r="J369" s="3">
        <v>0.97</v>
      </c>
      <c r="K369" s="3">
        <v>576.11</v>
      </c>
      <c r="L369" s="3">
        <v>66.87</v>
      </c>
      <c r="M369" s="3">
        <v>507.77</v>
      </c>
    </row>
    <row r="370" spans="1:13" ht="15.75" x14ac:dyDescent="0.25">
      <c r="A370" s="1">
        <v>2209</v>
      </c>
      <c r="B370" s="2">
        <v>5156</v>
      </c>
      <c r="C370" s="2" t="s">
        <v>28</v>
      </c>
      <c r="D370" s="2" t="s">
        <v>20</v>
      </c>
      <c r="E370" s="2" t="s">
        <v>21</v>
      </c>
      <c r="F370" s="2" t="s">
        <v>15</v>
      </c>
      <c r="G370" s="2">
        <v>14</v>
      </c>
      <c r="H370" s="4" t="s">
        <v>37</v>
      </c>
      <c r="I370" s="2">
        <v>2214</v>
      </c>
      <c r="J370" s="3">
        <v>1.03</v>
      </c>
      <c r="K370" s="3">
        <v>1E-3</v>
      </c>
      <c r="L370" s="3">
        <v>85.35</v>
      </c>
      <c r="M370" s="3">
        <v>499.36</v>
      </c>
    </row>
    <row r="371" spans="1:13" ht="15.75" x14ac:dyDescent="0.25">
      <c r="A371" s="1">
        <v>2209</v>
      </c>
      <c r="B371" s="2">
        <v>5156</v>
      </c>
      <c r="C371" s="2" t="s">
        <v>28</v>
      </c>
      <c r="D371" s="2" t="s">
        <v>20</v>
      </c>
      <c r="E371" s="2" t="s">
        <v>21</v>
      </c>
      <c r="F371" s="2" t="s">
        <v>15</v>
      </c>
      <c r="G371" s="2">
        <v>88</v>
      </c>
      <c r="H371" s="4" t="s">
        <v>37</v>
      </c>
      <c r="I371" s="2">
        <v>2214</v>
      </c>
      <c r="J371" s="3">
        <v>0.84</v>
      </c>
      <c r="K371" s="3">
        <v>1E-3</v>
      </c>
      <c r="L371" s="3">
        <v>131.33000000000001</v>
      </c>
      <c r="M371" s="3">
        <v>945.64</v>
      </c>
    </row>
    <row r="372" spans="1:13" ht="15.75" x14ac:dyDescent="0.25">
      <c r="A372" s="1">
        <v>2209</v>
      </c>
      <c r="B372" s="2">
        <v>5156</v>
      </c>
      <c r="C372" s="2" t="s">
        <v>28</v>
      </c>
      <c r="D372" s="2" t="s">
        <v>20</v>
      </c>
      <c r="E372" s="2" t="s">
        <v>21</v>
      </c>
      <c r="F372" s="2" t="s">
        <v>15</v>
      </c>
      <c r="G372" s="2">
        <v>60</v>
      </c>
      <c r="H372" s="4" t="s">
        <v>37</v>
      </c>
      <c r="I372" s="2">
        <v>2214</v>
      </c>
      <c r="J372" s="3">
        <v>1.1200000000000001</v>
      </c>
      <c r="K372" s="3">
        <v>1E-3</v>
      </c>
      <c r="L372" s="3">
        <v>99.51</v>
      </c>
      <c r="M372" s="3">
        <v>1445.12</v>
      </c>
    </row>
    <row r="373" spans="1:13" ht="15.75" x14ac:dyDescent="0.25">
      <c r="A373" s="1">
        <v>2209</v>
      </c>
      <c r="B373" s="2">
        <v>5156</v>
      </c>
      <c r="C373" s="2" t="s">
        <v>28</v>
      </c>
      <c r="D373" s="2" t="s">
        <v>20</v>
      </c>
      <c r="E373" s="2" t="s">
        <v>21</v>
      </c>
      <c r="F373" s="2" t="s">
        <v>15</v>
      </c>
      <c r="G373" s="2">
        <v>0</v>
      </c>
      <c r="H373" s="4" t="s">
        <v>37</v>
      </c>
      <c r="I373" s="2">
        <v>2214</v>
      </c>
      <c r="J373" s="3">
        <v>1.81</v>
      </c>
      <c r="K373" s="3">
        <v>1E-3</v>
      </c>
      <c r="L373" s="3">
        <v>145</v>
      </c>
      <c r="M373" s="3">
        <v>348.6</v>
      </c>
    </row>
    <row r="374" spans="1:13" ht="15.75" x14ac:dyDescent="0.25">
      <c r="A374" s="2">
        <v>2211</v>
      </c>
      <c r="B374" s="2">
        <v>6017</v>
      </c>
      <c r="C374" s="2" t="s">
        <v>13</v>
      </c>
      <c r="D374" s="2" t="s">
        <v>14</v>
      </c>
      <c r="E374" s="2" t="s">
        <v>15</v>
      </c>
      <c r="F374" s="2" t="s">
        <v>15</v>
      </c>
      <c r="G374" s="2">
        <v>14</v>
      </c>
      <c r="H374" s="4" t="s">
        <v>37</v>
      </c>
      <c r="I374" s="2">
        <v>2214</v>
      </c>
      <c r="J374" s="3">
        <v>1.86</v>
      </c>
      <c r="K374" s="3">
        <v>24.04</v>
      </c>
      <c r="L374" s="3">
        <v>108.73</v>
      </c>
      <c r="M374" s="3">
        <v>702.19</v>
      </c>
    </row>
    <row r="375" spans="1:13" ht="15.75" x14ac:dyDescent="0.25">
      <c r="A375" s="2">
        <v>2211</v>
      </c>
      <c r="B375" s="2">
        <v>6017</v>
      </c>
      <c r="C375" s="2" t="s">
        <v>13</v>
      </c>
      <c r="D375" s="2" t="s">
        <v>14</v>
      </c>
      <c r="E375" s="2" t="s">
        <v>15</v>
      </c>
      <c r="F375" s="2" t="s">
        <v>15</v>
      </c>
      <c r="G375" s="2">
        <v>88</v>
      </c>
      <c r="H375" s="4" t="s">
        <v>37</v>
      </c>
      <c r="I375" s="2">
        <v>2214</v>
      </c>
      <c r="J375" s="3">
        <v>0.99</v>
      </c>
      <c r="K375" s="3">
        <v>12.78</v>
      </c>
      <c r="L375" s="3">
        <v>112.26</v>
      </c>
      <c r="M375" s="3">
        <v>1356.75</v>
      </c>
    </row>
    <row r="376" spans="1:13" ht="15.75" x14ac:dyDescent="0.25">
      <c r="A376" s="2">
        <v>2211</v>
      </c>
      <c r="B376" s="2">
        <v>6017</v>
      </c>
      <c r="C376" s="2" t="s">
        <v>13</v>
      </c>
      <c r="D376" s="2" t="s">
        <v>14</v>
      </c>
      <c r="E376" s="2" t="s">
        <v>15</v>
      </c>
      <c r="F376" s="2" t="s">
        <v>15</v>
      </c>
      <c r="G376" s="2">
        <v>60</v>
      </c>
      <c r="H376" s="4" t="s">
        <v>37</v>
      </c>
      <c r="I376" s="2">
        <v>2214</v>
      </c>
      <c r="J376" s="3">
        <v>10.43</v>
      </c>
      <c r="K376" s="3">
        <v>12.78</v>
      </c>
      <c r="L376" s="3">
        <v>123.99</v>
      </c>
      <c r="M376" s="3">
        <v>973.01</v>
      </c>
    </row>
    <row r="377" spans="1:13" ht="15.75" x14ac:dyDescent="0.25">
      <c r="A377" s="2">
        <v>2211</v>
      </c>
      <c r="B377" s="2">
        <v>6017</v>
      </c>
      <c r="C377" s="2" t="s">
        <v>13</v>
      </c>
      <c r="D377" s="2" t="s">
        <v>14</v>
      </c>
      <c r="E377" s="2" t="s">
        <v>15</v>
      </c>
      <c r="F377" s="2" t="s">
        <v>15</v>
      </c>
      <c r="G377" s="2">
        <v>0</v>
      </c>
      <c r="H377" s="4" t="s">
        <v>37</v>
      </c>
      <c r="I377" s="2">
        <v>2214</v>
      </c>
      <c r="J377" s="2" t="s">
        <v>39</v>
      </c>
      <c r="K377" s="2" t="s">
        <v>39</v>
      </c>
      <c r="L377" s="2" t="s">
        <v>39</v>
      </c>
      <c r="M377" s="2" t="s">
        <v>39</v>
      </c>
    </row>
    <row r="378" spans="1:13" ht="15.75" x14ac:dyDescent="0.25">
      <c r="A378" s="1">
        <v>2217</v>
      </c>
      <c r="B378" s="1">
        <v>7132</v>
      </c>
      <c r="C378" s="2" t="s">
        <v>26</v>
      </c>
      <c r="D378" s="2" t="s">
        <v>27</v>
      </c>
      <c r="E378" s="2" t="s">
        <v>15</v>
      </c>
      <c r="F378" s="2" t="s">
        <v>24</v>
      </c>
      <c r="G378" s="2">
        <v>14</v>
      </c>
      <c r="H378" s="4" t="s">
        <v>37</v>
      </c>
      <c r="I378" s="2">
        <v>2214</v>
      </c>
      <c r="J378" s="3">
        <v>9.39</v>
      </c>
      <c r="K378" s="3">
        <v>51.58</v>
      </c>
      <c r="L378" s="3">
        <v>92.77</v>
      </c>
      <c r="M378" s="3">
        <v>421.23</v>
      </c>
    </row>
    <row r="379" spans="1:13" ht="15.75" x14ac:dyDescent="0.25">
      <c r="A379" s="1">
        <v>2217</v>
      </c>
      <c r="B379" s="1">
        <v>7132</v>
      </c>
      <c r="C379" s="2" t="s">
        <v>26</v>
      </c>
      <c r="D379" s="2" t="s">
        <v>27</v>
      </c>
      <c r="E379" s="2" t="s">
        <v>15</v>
      </c>
      <c r="F379" s="2" t="s">
        <v>24</v>
      </c>
      <c r="G379" s="2">
        <v>88</v>
      </c>
      <c r="H379" s="4" t="s">
        <v>37</v>
      </c>
      <c r="I379" s="2">
        <v>2214</v>
      </c>
      <c r="J379" s="3">
        <v>3.93</v>
      </c>
      <c r="K379" s="3">
        <v>1E-3</v>
      </c>
      <c r="L379" s="3">
        <v>69.36</v>
      </c>
      <c r="M379" s="3">
        <v>295.06</v>
      </c>
    </row>
    <row r="380" spans="1:13" ht="15.75" x14ac:dyDescent="0.25">
      <c r="A380" s="1">
        <v>2217</v>
      </c>
      <c r="B380" s="1">
        <v>7132</v>
      </c>
      <c r="C380" s="2" t="s">
        <v>26</v>
      </c>
      <c r="D380" s="2" t="s">
        <v>27</v>
      </c>
      <c r="E380" s="2" t="s">
        <v>15</v>
      </c>
      <c r="F380" s="2" t="s">
        <v>24</v>
      </c>
      <c r="G380" s="2">
        <v>60</v>
      </c>
      <c r="H380" s="4" t="s">
        <v>37</v>
      </c>
      <c r="I380" s="2">
        <v>2214</v>
      </c>
      <c r="J380" s="3">
        <v>1.51</v>
      </c>
      <c r="K380" s="3">
        <v>1E-3</v>
      </c>
      <c r="L380" s="3">
        <v>49.08</v>
      </c>
      <c r="M380" s="3">
        <v>546.11</v>
      </c>
    </row>
    <row r="381" spans="1:13" ht="15.75" x14ac:dyDescent="0.25">
      <c r="A381" s="1">
        <v>2217</v>
      </c>
      <c r="B381" s="1">
        <v>7132</v>
      </c>
      <c r="C381" s="2" t="s">
        <v>26</v>
      </c>
      <c r="D381" s="2" t="s">
        <v>27</v>
      </c>
      <c r="E381" s="2" t="s">
        <v>15</v>
      </c>
      <c r="F381" s="2" t="s">
        <v>24</v>
      </c>
      <c r="G381" s="2">
        <v>0</v>
      </c>
      <c r="H381" s="4" t="s">
        <v>37</v>
      </c>
      <c r="I381" s="2">
        <v>2214</v>
      </c>
      <c r="J381" s="3">
        <v>3.88</v>
      </c>
      <c r="K381" s="3">
        <v>1E-3</v>
      </c>
      <c r="L381" s="3">
        <v>114.4</v>
      </c>
      <c r="M381" s="3">
        <v>801.9</v>
      </c>
    </row>
    <row r="382" spans="1:13" ht="15.75" x14ac:dyDescent="0.25">
      <c r="A382" s="1">
        <v>2219</v>
      </c>
      <c r="B382" s="1">
        <v>7109</v>
      </c>
      <c r="C382" s="2" t="s">
        <v>38</v>
      </c>
      <c r="D382" s="2" t="s">
        <v>23</v>
      </c>
      <c r="E382" s="2" t="s">
        <v>21</v>
      </c>
      <c r="F382" s="2" t="s">
        <v>24</v>
      </c>
      <c r="G382" s="2">
        <v>14</v>
      </c>
      <c r="H382" s="4" t="s">
        <v>37</v>
      </c>
      <c r="I382" s="2">
        <v>2214</v>
      </c>
      <c r="J382" s="3">
        <v>4.0599999999999996</v>
      </c>
      <c r="K382" s="3">
        <v>1E-3</v>
      </c>
      <c r="L382" s="3">
        <v>96.28</v>
      </c>
      <c r="M382" s="3">
        <v>973.01</v>
      </c>
    </row>
    <row r="383" spans="1:13" ht="15.75" x14ac:dyDescent="0.25">
      <c r="A383" s="1">
        <v>2219</v>
      </c>
      <c r="B383" s="1">
        <v>7109</v>
      </c>
      <c r="C383" s="2" t="s">
        <v>38</v>
      </c>
      <c r="D383" s="2" t="s">
        <v>23</v>
      </c>
      <c r="E383" s="2" t="s">
        <v>21</v>
      </c>
      <c r="F383" s="2" t="s">
        <v>24</v>
      </c>
      <c r="G383" s="2">
        <v>88</v>
      </c>
      <c r="H383" s="4" t="s">
        <v>37</v>
      </c>
      <c r="I383" s="2">
        <v>2214</v>
      </c>
      <c r="J383" s="3">
        <v>1.75</v>
      </c>
      <c r="K383" s="3">
        <v>1E-3</v>
      </c>
      <c r="L383" s="3">
        <v>94.41</v>
      </c>
      <c r="M383" s="3">
        <v>1169.1099999999999</v>
      </c>
    </row>
    <row r="384" spans="1:13" ht="15.75" x14ac:dyDescent="0.25">
      <c r="A384" s="1">
        <v>2219</v>
      </c>
      <c r="B384" s="1">
        <v>7109</v>
      </c>
      <c r="C384" s="2" t="s">
        <v>38</v>
      </c>
      <c r="D384" s="2" t="s">
        <v>23</v>
      </c>
      <c r="E384" s="2" t="s">
        <v>21</v>
      </c>
      <c r="F384" s="2" t="s">
        <v>24</v>
      </c>
      <c r="G384" s="2">
        <v>60</v>
      </c>
      <c r="H384" s="4" t="s">
        <v>37</v>
      </c>
      <c r="I384" s="2">
        <v>2214</v>
      </c>
      <c r="J384" s="3">
        <v>2.4500000000000002</v>
      </c>
      <c r="K384" s="3">
        <v>57.52</v>
      </c>
      <c r="L384" s="3">
        <v>79.209999999999994</v>
      </c>
      <c r="M384" s="3">
        <v>1554.81</v>
      </c>
    </row>
    <row r="385" spans="1:13" ht="15.75" x14ac:dyDescent="0.25">
      <c r="A385" s="1">
        <v>2219</v>
      </c>
      <c r="B385" s="1">
        <v>7109</v>
      </c>
      <c r="C385" s="2" t="s">
        <v>38</v>
      </c>
      <c r="D385" s="2" t="s">
        <v>23</v>
      </c>
      <c r="E385" s="2" t="s">
        <v>21</v>
      </c>
      <c r="F385" s="2" t="s">
        <v>24</v>
      </c>
      <c r="G385" s="2">
        <v>0</v>
      </c>
      <c r="H385" s="4" t="s">
        <v>37</v>
      </c>
      <c r="I385" s="2">
        <v>2214</v>
      </c>
      <c r="J385" s="3">
        <v>2.99</v>
      </c>
      <c r="K385" s="3">
        <v>1E-3</v>
      </c>
      <c r="L385" s="3">
        <v>140.66</v>
      </c>
      <c r="M385" s="3">
        <v>1283.67</v>
      </c>
    </row>
    <row r="386" spans="1:13" ht="15.75" x14ac:dyDescent="0.25">
      <c r="A386" s="1">
        <v>2221</v>
      </c>
      <c r="B386" s="1">
        <v>6113</v>
      </c>
      <c r="C386" s="2" t="s">
        <v>30</v>
      </c>
      <c r="D386" s="2" t="s">
        <v>20</v>
      </c>
      <c r="E386" s="2" t="s">
        <v>21</v>
      </c>
      <c r="F386" s="2" t="s">
        <v>15</v>
      </c>
      <c r="G386" s="2">
        <v>14</v>
      </c>
      <c r="H386" s="4" t="s">
        <v>37</v>
      </c>
      <c r="I386" s="2">
        <v>2214</v>
      </c>
      <c r="J386" s="3">
        <v>1.1399999999999999</v>
      </c>
      <c r="K386" s="3">
        <v>10.81</v>
      </c>
      <c r="L386" s="3">
        <v>19.55</v>
      </c>
      <c r="M386" s="3">
        <v>248.77</v>
      </c>
    </row>
    <row r="387" spans="1:13" ht="15.75" x14ac:dyDescent="0.25">
      <c r="A387" s="1">
        <v>2221</v>
      </c>
      <c r="B387" s="1">
        <v>6113</v>
      </c>
      <c r="C387" s="2" t="s">
        <v>30</v>
      </c>
      <c r="D387" s="2" t="s">
        <v>20</v>
      </c>
      <c r="E387" s="2" t="s">
        <v>21</v>
      </c>
      <c r="F387" s="2" t="s">
        <v>15</v>
      </c>
      <c r="G387" s="2">
        <v>88</v>
      </c>
      <c r="H387" s="4" t="s">
        <v>37</v>
      </c>
      <c r="I387" s="2">
        <v>2214</v>
      </c>
      <c r="J387" s="3">
        <v>3.65</v>
      </c>
      <c r="K387" s="3">
        <v>17.43</v>
      </c>
      <c r="L387" s="3">
        <v>28.95</v>
      </c>
      <c r="M387" s="3">
        <v>124.84</v>
      </c>
    </row>
    <row r="388" spans="1:13" ht="15.75" x14ac:dyDescent="0.25">
      <c r="A388" s="1">
        <v>2221</v>
      </c>
      <c r="B388" s="1">
        <v>6113</v>
      </c>
      <c r="C388" s="2" t="s">
        <v>30</v>
      </c>
      <c r="D388" s="2" t="s">
        <v>20</v>
      </c>
      <c r="E388" s="2" t="s">
        <v>21</v>
      </c>
      <c r="F388" s="2" t="s">
        <v>15</v>
      </c>
      <c r="G388" s="2">
        <v>60</v>
      </c>
      <c r="H388" s="4" t="s">
        <v>37</v>
      </c>
      <c r="I388" s="2">
        <v>2214</v>
      </c>
      <c r="J388" s="3">
        <v>2.1800000000000002</v>
      </c>
      <c r="K388" s="3">
        <v>41.27</v>
      </c>
      <c r="L388" s="3">
        <v>18.11</v>
      </c>
      <c r="M388" s="3">
        <v>265.37</v>
      </c>
    </row>
    <row r="389" spans="1:13" ht="15.75" x14ac:dyDescent="0.25">
      <c r="A389" s="1">
        <v>2221</v>
      </c>
      <c r="B389" s="1">
        <v>6113</v>
      </c>
      <c r="C389" s="2" t="s">
        <v>30</v>
      </c>
      <c r="D389" s="2" t="s">
        <v>20</v>
      </c>
      <c r="E389" s="2" t="s">
        <v>21</v>
      </c>
      <c r="F389" s="2" t="s">
        <v>15</v>
      </c>
      <c r="G389" s="2">
        <v>0</v>
      </c>
      <c r="H389" s="4" t="s">
        <v>37</v>
      </c>
      <c r="I389" s="2">
        <v>2214</v>
      </c>
      <c r="J389" s="3">
        <v>3.41</v>
      </c>
      <c r="K389" s="3">
        <v>1E-3</v>
      </c>
      <c r="L389" s="3">
        <v>32.56</v>
      </c>
      <c r="M389" s="3">
        <v>174.29</v>
      </c>
    </row>
    <row r="390" spans="1:13" ht="15.75" x14ac:dyDescent="0.25">
      <c r="A390" s="1">
        <v>2222</v>
      </c>
      <c r="B390" s="1">
        <v>6023</v>
      </c>
      <c r="C390" s="2" t="s">
        <v>22</v>
      </c>
      <c r="D390" s="2" t="s">
        <v>23</v>
      </c>
      <c r="E390" s="2" t="s">
        <v>21</v>
      </c>
      <c r="F390" s="2" t="s">
        <v>24</v>
      </c>
      <c r="G390" s="2">
        <v>14</v>
      </c>
      <c r="H390" s="4" t="s">
        <v>37</v>
      </c>
      <c r="I390" s="2">
        <v>2214</v>
      </c>
      <c r="J390" s="3">
        <v>2.14</v>
      </c>
      <c r="K390" s="3">
        <v>1E-3</v>
      </c>
      <c r="L390" s="3">
        <v>37</v>
      </c>
      <c r="M390" s="3">
        <v>119.37</v>
      </c>
    </row>
    <row r="391" spans="1:13" ht="15.75" x14ac:dyDescent="0.25">
      <c r="A391" s="1">
        <v>2222</v>
      </c>
      <c r="B391" s="1">
        <v>6023</v>
      </c>
      <c r="C391" s="2" t="s">
        <v>22</v>
      </c>
      <c r="D391" s="2" t="s">
        <v>23</v>
      </c>
      <c r="E391" s="2" t="s">
        <v>21</v>
      </c>
      <c r="F391" s="2" t="s">
        <v>24</v>
      </c>
      <c r="G391" s="2">
        <v>88</v>
      </c>
      <c r="H391" s="4" t="s">
        <v>37</v>
      </c>
      <c r="I391" s="2">
        <v>2214</v>
      </c>
      <c r="J391" s="3">
        <v>0.72</v>
      </c>
      <c r="K391" s="3">
        <v>1E-3</v>
      </c>
      <c r="L391" s="3">
        <v>49.69</v>
      </c>
      <c r="M391" s="3">
        <v>736.36</v>
      </c>
    </row>
    <row r="392" spans="1:13" ht="15.75" x14ac:dyDescent="0.25">
      <c r="A392" s="1">
        <v>2222</v>
      </c>
      <c r="B392" s="1">
        <v>6023</v>
      </c>
      <c r="C392" s="2" t="s">
        <v>22</v>
      </c>
      <c r="D392" s="2" t="s">
        <v>23</v>
      </c>
      <c r="E392" s="2" t="s">
        <v>21</v>
      </c>
      <c r="F392" s="2" t="s">
        <v>24</v>
      </c>
      <c r="G392" s="2">
        <v>60</v>
      </c>
      <c r="H392" s="4" t="s">
        <v>37</v>
      </c>
      <c r="I392" s="2">
        <v>2214</v>
      </c>
      <c r="J392" s="3">
        <v>1.39</v>
      </c>
      <c r="K392" s="3">
        <v>1E-3</v>
      </c>
      <c r="L392" s="3">
        <v>35.340000000000003</v>
      </c>
      <c r="M392" s="3">
        <v>129.09</v>
      </c>
    </row>
    <row r="393" spans="1:13" ht="15.75" x14ac:dyDescent="0.25">
      <c r="A393" s="1">
        <v>2222</v>
      </c>
      <c r="B393" s="1">
        <v>6023</v>
      </c>
      <c r="C393" s="2" t="s">
        <v>22</v>
      </c>
      <c r="D393" s="2" t="s">
        <v>23</v>
      </c>
      <c r="E393" s="2" t="s">
        <v>21</v>
      </c>
      <c r="F393" s="2" t="s">
        <v>24</v>
      </c>
      <c r="G393" s="2">
        <v>0</v>
      </c>
      <c r="H393" s="4" t="s">
        <v>37</v>
      </c>
      <c r="I393" s="2">
        <v>2214</v>
      </c>
      <c r="J393" s="3">
        <v>0.35</v>
      </c>
      <c r="K393" s="3">
        <v>1E-3</v>
      </c>
      <c r="L393" s="3">
        <v>46.62</v>
      </c>
      <c r="M393" s="3">
        <v>275.8</v>
      </c>
    </row>
    <row r="394" spans="1:13" ht="15.75" x14ac:dyDescent="0.25">
      <c r="A394" s="2">
        <v>2223</v>
      </c>
      <c r="B394" s="1">
        <v>5078</v>
      </c>
      <c r="C394" s="2" t="s">
        <v>43</v>
      </c>
      <c r="D394" s="2" t="s">
        <v>27</v>
      </c>
      <c r="E394" s="2" t="s">
        <v>15</v>
      </c>
      <c r="F394" s="2" t="s">
        <v>24</v>
      </c>
      <c r="G394" s="2">
        <v>14</v>
      </c>
      <c r="H394" s="4" t="s">
        <v>37</v>
      </c>
      <c r="I394" s="2">
        <v>2214</v>
      </c>
      <c r="J394" s="3">
        <v>1.79</v>
      </c>
      <c r="K394" s="3">
        <v>1E-3</v>
      </c>
      <c r="L394" s="3">
        <v>64.150000000000006</v>
      </c>
      <c r="M394" s="3">
        <v>519.91999999999996</v>
      </c>
    </row>
    <row r="395" spans="1:13" ht="15.75" x14ac:dyDescent="0.25">
      <c r="A395" s="2">
        <v>2223</v>
      </c>
      <c r="B395" s="1">
        <v>5078</v>
      </c>
      <c r="C395" s="2" t="s">
        <v>43</v>
      </c>
      <c r="D395" s="2" t="s">
        <v>27</v>
      </c>
      <c r="E395" s="2" t="s">
        <v>15</v>
      </c>
      <c r="F395" s="2" t="s">
        <v>24</v>
      </c>
      <c r="G395" s="2">
        <v>88</v>
      </c>
      <c r="H395" s="4" t="s">
        <v>37</v>
      </c>
      <c r="I395" s="2">
        <v>2214</v>
      </c>
      <c r="J395" s="3">
        <v>2.4900000000000002</v>
      </c>
      <c r="K395" s="3">
        <v>1E-3</v>
      </c>
      <c r="L395" s="3">
        <v>109.71</v>
      </c>
      <c r="M395" s="3">
        <v>1306.7</v>
      </c>
    </row>
    <row r="396" spans="1:13" ht="15.75" x14ac:dyDescent="0.25">
      <c r="A396" s="2">
        <v>2223</v>
      </c>
      <c r="B396" s="1">
        <v>5078</v>
      </c>
      <c r="C396" s="2" t="s">
        <v>43</v>
      </c>
      <c r="D396" s="2" t="s">
        <v>27</v>
      </c>
      <c r="E396" s="2" t="s">
        <v>15</v>
      </c>
      <c r="F396" s="2" t="s">
        <v>24</v>
      </c>
      <c r="G396" s="2">
        <v>60</v>
      </c>
      <c r="H396" s="4" t="s">
        <v>37</v>
      </c>
      <c r="I396" s="2">
        <v>2214</v>
      </c>
      <c r="J396" s="3">
        <v>12.46</v>
      </c>
      <c r="K396" s="3">
        <v>30.3</v>
      </c>
      <c r="L396" s="3">
        <v>72.13</v>
      </c>
      <c r="M396" s="3">
        <v>272.39999999999998</v>
      </c>
    </row>
    <row r="397" spans="1:13" ht="15.75" x14ac:dyDescent="0.25">
      <c r="A397" s="2">
        <v>2223</v>
      </c>
      <c r="B397" s="1">
        <v>5078</v>
      </c>
      <c r="C397" s="2" t="s">
        <v>43</v>
      </c>
      <c r="D397" s="2" t="s">
        <v>27</v>
      </c>
      <c r="E397" s="2" t="s">
        <v>15</v>
      </c>
      <c r="F397" s="2" t="s">
        <v>24</v>
      </c>
      <c r="G397" s="2">
        <v>0</v>
      </c>
      <c r="H397" s="4" t="s">
        <v>37</v>
      </c>
      <c r="I397" s="2">
        <v>2214</v>
      </c>
      <c r="J397" s="2" t="s">
        <v>39</v>
      </c>
      <c r="K397" s="2" t="s">
        <v>39</v>
      </c>
      <c r="L397" s="2" t="s">
        <v>39</v>
      </c>
      <c r="M397" s="2" t="s">
        <v>39</v>
      </c>
    </row>
    <row r="398" spans="1:13" ht="15.75" x14ac:dyDescent="0.25">
      <c r="A398" s="1">
        <v>2227</v>
      </c>
      <c r="B398" s="1">
        <v>5146</v>
      </c>
      <c r="C398" s="2" t="s">
        <v>22</v>
      </c>
      <c r="D398" s="2" t="s">
        <v>23</v>
      </c>
      <c r="E398" s="2" t="s">
        <v>21</v>
      </c>
      <c r="F398" s="2" t="s">
        <v>24</v>
      </c>
      <c r="G398" s="2">
        <v>14</v>
      </c>
      <c r="H398" s="4" t="s">
        <v>37</v>
      </c>
      <c r="I398" s="2">
        <v>2214</v>
      </c>
      <c r="J398" s="3">
        <v>4.21</v>
      </c>
      <c r="K398" s="3">
        <v>1.83</v>
      </c>
      <c r="L398" s="3">
        <v>96.49</v>
      </c>
      <c r="M398" s="3">
        <v>1399.23</v>
      </c>
    </row>
    <row r="399" spans="1:13" ht="15.75" x14ac:dyDescent="0.25">
      <c r="A399" s="1">
        <v>2227</v>
      </c>
      <c r="B399" s="1">
        <v>5146</v>
      </c>
      <c r="C399" s="2" t="s">
        <v>22</v>
      </c>
      <c r="D399" s="2" t="s">
        <v>23</v>
      </c>
      <c r="E399" s="2" t="s">
        <v>21</v>
      </c>
      <c r="F399" s="2" t="s">
        <v>24</v>
      </c>
      <c r="G399" s="2">
        <v>88</v>
      </c>
      <c r="H399" s="4" t="s">
        <v>37</v>
      </c>
      <c r="I399" s="2">
        <v>2214</v>
      </c>
      <c r="J399" s="3">
        <v>1.87</v>
      </c>
      <c r="K399" s="3">
        <v>1E-3</v>
      </c>
      <c r="L399" s="3">
        <v>34.97</v>
      </c>
      <c r="M399" s="3">
        <v>158.51</v>
      </c>
    </row>
    <row r="400" spans="1:13" ht="15.75" x14ac:dyDescent="0.25">
      <c r="A400" s="1">
        <v>2227</v>
      </c>
      <c r="B400" s="1">
        <v>5146</v>
      </c>
      <c r="C400" s="2" t="s">
        <v>22</v>
      </c>
      <c r="D400" s="2" t="s">
        <v>23</v>
      </c>
      <c r="E400" s="2" t="s">
        <v>21</v>
      </c>
      <c r="F400" s="2" t="s">
        <v>24</v>
      </c>
      <c r="G400" s="2">
        <v>60</v>
      </c>
      <c r="H400" s="4" t="s">
        <v>37</v>
      </c>
      <c r="I400" s="2">
        <v>2214</v>
      </c>
      <c r="J400" s="3">
        <v>0.8</v>
      </c>
      <c r="K400" s="3">
        <v>21.6</v>
      </c>
      <c r="L400" s="3">
        <v>45.48</v>
      </c>
      <c r="M400" s="3">
        <v>231.77</v>
      </c>
    </row>
    <row r="401" spans="1:13" ht="15.75" x14ac:dyDescent="0.25">
      <c r="A401" s="1">
        <v>2227</v>
      </c>
      <c r="B401" s="1">
        <v>5146</v>
      </c>
      <c r="C401" s="2" t="s">
        <v>22</v>
      </c>
      <c r="D401" s="2" t="s">
        <v>23</v>
      </c>
      <c r="E401" s="2" t="s">
        <v>21</v>
      </c>
      <c r="F401" s="2" t="s">
        <v>24</v>
      </c>
      <c r="G401" s="2">
        <v>0</v>
      </c>
      <c r="H401" s="4" t="s">
        <v>37</v>
      </c>
      <c r="I401" s="2">
        <v>2214</v>
      </c>
      <c r="J401" s="3">
        <v>1.43</v>
      </c>
      <c r="K401" s="3">
        <v>1E-3</v>
      </c>
      <c r="L401" s="3">
        <v>57.45</v>
      </c>
      <c r="M401" s="3">
        <v>155.22</v>
      </c>
    </row>
    <row r="402" spans="1:13" ht="15.75" x14ac:dyDescent="0.25">
      <c r="A402" s="2">
        <v>2229</v>
      </c>
      <c r="B402" s="1">
        <v>6123</v>
      </c>
      <c r="C402" s="2" t="s">
        <v>43</v>
      </c>
      <c r="D402" s="2" t="s">
        <v>27</v>
      </c>
      <c r="E402" s="2" t="s">
        <v>15</v>
      </c>
      <c r="F402" s="2" t="s">
        <v>24</v>
      </c>
      <c r="G402" s="2">
        <v>14</v>
      </c>
      <c r="H402" s="4" t="s">
        <v>37</v>
      </c>
      <c r="I402" s="2">
        <v>2214</v>
      </c>
      <c r="J402" s="3">
        <v>1.23</v>
      </c>
      <c r="K402" s="3">
        <v>35.76</v>
      </c>
      <c r="L402" s="3">
        <v>87.17</v>
      </c>
      <c r="M402" s="3">
        <v>1493.48</v>
      </c>
    </row>
    <row r="403" spans="1:13" ht="15.75" x14ac:dyDescent="0.25">
      <c r="A403" s="2">
        <v>2229</v>
      </c>
      <c r="B403" s="1">
        <v>6123</v>
      </c>
      <c r="C403" s="2" t="s">
        <v>43</v>
      </c>
      <c r="D403" s="2" t="s">
        <v>27</v>
      </c>
      <c r="E403" s="2" t="s">
        <v>15</v>
      </c>
      <c r="F403" s="2" t="s">
        <v>24</v>
      </c>
      <c r="G403" s="2">
        <v>88</v>
      </c>
      <c r="H403" s="4" t="s">
        <v>37</v>
      </c>
      <c r="I403" s="2">
        <v>2214</v>
      </c>
      <c r="J403" s="3">
        <v>0.92</v>
      </c>
      <c r="K403" s="3">
        <v>1E-3</v>
      </c>
      <c r="L403" s="3">
        <v>32.340000000000003</v>
      </c>
      <c r="M403" s="3">
        <v>257.07</v>
      </c>
    </row>
    <row r="404" spans="1:13" ht="15.75" x14ac:dyDescent="0.25">
      <c r="A404" s="2">
        <v>2229</v>
      </c>
      <c r="B404" s="1">
        <v>6123</v>
      </c>
      <c r="C404" s="2" t="s">
        <v>43</v>
      </c>
      <c r="D404" s="2" t="s">
        <v>27</v>
      </c>
      <c r="E404" s="2" t="s">
        <v>15</v>
      </c>
      <c r="F404" s="2" t="s">
        <v>24</v>
      </c>
      <c r="G404" s="2">
        <v>60</v>
      </c>
      <c r="H404" s="4" t="s">
        <v>37</v>
      </c>
      <c r="I404" s="2">
        <v>2214</v>
      </c>
      <c r="J404" s="3">
        <v>1.1399999999999999</v>
      </c>
      <c r="K404" s="3">
        <v>1E-3</v>
      </c>
      <c r="L404" s="3">
        <v>40.71</v>
      </c>
      <c r="M404" s="3">
        <v>149.54</v>
      </c>
    </row>
    <row r="405" spans="1:13" ht="15.75" x14ac:dyDescent="0.25">
      <c r="A405" s="2">
        <v>2229</v>
      </c>
      <c r="B405" s="1">
        <v>6123</v>
      </c>
      <c r="C405" s="2" t="s">
        <v>43</v>
      </c>
      <c r="D405" s="2" t="s">
        <v>27</v>
      </c>
      <c r="E405" s="2" t="s">
        <v>15</v>
      </c>
      <c r="F405" s="2" t="s">
        <v>24</v>
      </c>
      <c r="G405" s="2">
        <v>0</v>
      </c>
      <c r="H405" s="4" t="s">
        <v>37</v>
      </c>
      <c r="I405" s="2">
        <v>2214</v>
      </c>
      <c r="J405" s="2" t="s">
        <v>39</v>
      </c>
      <c r="K405" s="2" t="s">
        <v>39</v>
      </c>
      <c r="L405" s="2" t="s">
        <v>39</v>
      </c>
      <c r="M405" s="2" t="s">
        <v>39</v>
      </c>
    </row>
    <row r="406" spans="1:13" ht="15.75" x14ac:dyDescent="0.25">
      <c r="A406" s="1">
        <v>2231</v>
      </c>
      <c r="B406" s="1">
        <v>6104</v>
      </c>
      <c r="C406" s="2" t="s">
        <v>36</v>
      </c>
      <c r="D406" s="2" t="s">
        <v>23</v>
      </c>
      <c r="E406" s="2" t="s">
        <v>21</v>
      </c>
      <c r="F406" s="2" t="s">
        <v>24</v>
      </c>
      <c r="G406" s="2">
        <v>14</v>
      </c>
      <c r="H406" s="4" t="s">
        <v>37</v>
      </c>
      <c r="I406" s="2">
        <v>2214</v>
      </c>
      <c r="J406" s="3">
        <v>1.07</v>
      </c>
      <c r="K406" s="3">
        <v>17.96</v>
      </c>
      <c r="L406" s="3">
        <v>47.77</v>
      </c>
      <c r="M406" s="3">
        <v>337.53</v>
      </c>
    </row>
    <row r="407" spans="1:13" ht="15.75" x14ac:dyDescent="0.25">
      <c r="A407" s="1">
        <v>2231</v>
      </c>
      <c r="B407" s="1">
        <v>6104</v>
      </c>
      <c r="C407" s="2" t="s">
        <v>36</v>
      </c>
      <c r="D407" s="2" t="s">
        <v>23</v>
      </c>
      <c r="E407" s="2" t="s">
        <v>21</v>
      </c>
      <c r="F407" s="2" t="s">
        <v>24</v>
      </c>
      <c r="G407" s="2">
        <v>88</v>
      </c>
      <c r="H407" s="4" t="s">
        <v>37</v>
      </c>
      <c r="I407" s="2">
        <v>2214</v>
      </c>
      <c r="J407" s="3">
        <v>0.87</v>
      </c>
      <c r="K407" s="3">
        <v>17.96</v>
      </c>
      <c r="L407" s="3">
        <v>94.62</v>
      </c>
      <c r="M407" s="3">
        <v>1066.8800000000001</v>
      </c>
    </row>
    <row r="408" spans="1:13" ht="15.75" x14ac:dyDescent="0.25">
      <c r="A408" s="1">
        <v>2231</v>
      </c>
      <c r="B408" s="1">
        <v>6104</v>
      </c>
      <c r="C408" s="2" t="s">
        <v>36</v>
      </c>
      <c r="D408" s="2" t="s">
        <v>23</v>
      </c>
      <c r="E408" s="2" t="s">
        <v>21</v>
      </c>
      <c r="F408" s="2" t="s">
        <v>24</v>
      </c>
      <c r="G408" s="2">
        <v>60</v>
      </c>
      <c r="H408" s="4" t="s">
        <v>37</v>
      </c>
      <c r="I408" s="2">
        <v>2214</v>
      </c>
      <c r="J408" s="3">
        <v>3.68</v>
      </c>
      <c r="K408" s="3">
        <v>75.099999999999994</v>
      </c>
      <c r="L408" s="3">
        <v>52</v>
      </c>
      <c r="M408" s="3">
        <v>435.06</v>
      </c>
    </row>
    <row r="409" spans="1:13" ht="15.75" x14ac:dyDescent="0.25">
      <c r="A409" s="1">
        <v>2231</v>
      </c>
      <c r="B409" s="1">
        <v>6104</v>
      </c>
      <c r="C409" s="2" t="s">
        <v>36</v>
      </c>
      <c r="D409" s="2" t="s">
        <v>23</v>
      </c>
      <c r="E409" s="2" t="s">
        <v>21</v>
      </c>
      <c r="F409" s="2" t="s">
        <v>24</v>
      </c>
      <c r="G409" s="2">
        <v>0</v>
      </c>
      <c r="H409" s="4" t="s">
        <v>37</v>
      </c>
      <c r="I409" s="2">
        <v>2214</v>
      </c>
      <c r="J409" s="3">
        <v>3.08</v>
      </c>
      <c r="K409" s="3">
        <v>1E-3</v>
      </c>
      <c r="L409" s="3">
        <v>81.239999999999995</v>
      </c>
      <c r="M409" s="3">
        <v>28.67</v>
      </c>
    </row>
    <row r="410" spans="1:13" ht="15.75" x14ac:dyDescent="0.25">
      <c r="A410" s="1">
        <v>2233</v>
      </c>
      <c r="B410" s="1">
        <v>6117</v>
      </c>
      <c r="C410" s="2" t="s">
        <v>44</v>
      </c>
      <c r="D410" s="2" t="s">
        <v>20</v>
      </c>
      <c r="E410" s="2" t="s">
        <v>21</v>
      </c>
      <c r="F410" s="2" t="s">
        <v>15</v>
      </c>
      <c r="G410" s="2">
        <v>14</v>
      </c>
      <c r="H410" s="4" t="s">
        <v>37</v>
      </c>
      <c r="I410" s="2">
        <v>2214</v>
      </c>
      <c r="J410" s="3">
        <v>2.74</v>
      </c>
      <c r="K410" s="3">
        <v>68.23</v>
      </c>
      <c r="L410" s="3">
        <v>39.200000000000003</v>
      </c>
      <c r="M410" s="3">
        <v>248.77</v>
      </c>
    </row>
    <row r="411" spans="1:13" ht="15.75" x14ac:dyDescent="0.25">
      <c r="A411" s="1">
        <v>2233</v>
      </c>
      <c r="B411" s="1">
        <v>6117</v>
      </c>
      <c r="C411" s="2" t="s">
        <v>44</v>
      </c>
      <c r="D411" s="2" t="s">
        <v>20</v>
      </c>
      <c r="E411" s="2" t="s">
        <v>21</v>
      </c>
      <c r="F411" s="2" t="s">
        <v>15</v>
      </c>
      <c r="G411" s="2">
        <v>88</v>
      </c>
      <c r="H411" s="4" t="s">
        <v>37</v>
      </c>
      <c r="I411" s="2">
        <v>2214</v>
      </c>
      <c r="J411" s="3">
        <v>1.66</v>
      </c>
      <c r="K411" s="3">
        <v>6.37</v>
      </c>
      <c r="L411" s="3">
        <v>57.54</v>
      </c>
      <c r="M411" s="3">
        <v>265.37</v>
      </c>
    </row>
    <row r="412" spans="1:13" ht="15.75" x14ac:dyDescent="0.25">
      <c r="A412" s="1">
        <v>2233</v>
      </c>
      <c r="B412" s="1">
        <v>6117</v>
      </c>
      <c r="C412" s="2" t="s">
        <v>44</v>
      </c>
      <c r="D412" s="2" t="s">
        <v>20</v>
      </c>
      <c r="E412" s="2" t="s">
        <v>21</v>
      </c>
      <c r="F412" s="2" t="s">
        <v>15</v>
      </c>
      <c r="G412" s="2">
        <v>60</v>
      </c>
      <c r="H412" s="4" t="s">
        <v>37</v>
      </c>
      <c r="I412" s="2">
        <v>2214</v>
      </c>
      <c r="J412" s="3">
        <v>9.59</v>
      </c>
      <c r="K412" s="3">
        <v>12.65</v>
      </c>
      <c r="L412" s="3">
        <v>55.78</v>
      </c>
      <c r="M412" s="3">
        <v>59.21</v>
      </c>
    </row>
    <row r="413" spans="1:13" ht="15.75" x14ac:dyDescent="0.25">
      <c r="A413" s="1">
        <v>2233</v>
      </c>
      <c r="B413" s="1">
        <v>6117</v>
      </c>
      <c r="C413" s="2" t="s">
        <v>44</v>
      </c>
      <c r="D413" s="2" t="s">
        <v>20</v>
      </c>
      <c r="E413" s="2" t="s">
        <v>21</v>
      </c>
      <c r="F413" s="2" t="s">
        <v>15</v>
      </c>
      <c r="G413" s="2">
        <v>0</v>
      </c>
      <c r="H413" s="4" t="s">
        <v>37</v>
      </c>
      <c r="I413" s="2">
        <v>2214</v>
      </c>
      <c r="J413" s="3">
        <v>5.51</v>
      </c>
      <c r="K413" s="3">
        <v>67.569999999999993</v>
      </c>
      <c r="L413" s="3">
        <v>83.53</v>
      </c>
      <c r="M413" s="3">
        <v>323.58999999999997</v>
      </c>
    </row>
    <row r="414" spans="1:13" ht="15.75" x14ac:dyDescent="0.25">
      <c r="A414" s="1">
        <v>2235</v>
      </c>
      <c r="B414" s="1">
        <v>7128</v>
      </c>
      <c r="C414" s="2" t="s">
        <v>44</v>
      </c>
      <c r="D414" s="2" t="s">
        <v>20</v>
      </c>
      <c r="E414" s="2" t="s">
        <v>21</v>
      </c>
      <c r="F414" s="2" t="s">
        <v>15</v>
      </c>
      <c r="G414" s="2">
        <v>14</v>
      </c>
      <c r="H414" s="4" t="s">
        <v>37</v>
      </c>
      <c r="I414" s="2">
        <v>2214</v>
      </c>
      <c r="J414" s="3">
        <v>1.45</v>
      </c>
      <c r="K414" s="3">
        <v>103.9</v>
      </c>
      <c r="L414" s="3">
        <v>52.48</v>
      </c>
      <c r="M414" s="3">
        <v>423.83</v>
      </c>
    </row>
    <row r="415" spans="1:13" ht="15.75" x14ac:dyDescent="0.25">
      <c r="A415" s="1">
        <v>2235</v>
      </c>
      <c r="B415" s="1">
        <v>7128</v>
      </c>
      <c r="C415" s="2" t="s">
        <v>44</v>
      </c>
      <c r="D415" s="2" t="s">
        <v>20</v>
      </c>
      <c r="E415" s="2" t="s">
        <v>21</v>
      </c>
      <c r="F415" s="2" t="s">
        <v>15</v>
      </c>
      <c r="G415" s="2">
        <v>88</v>
      </c>
      <c r="H415" s="4" t="s">
        <v>37</v>
      </c>
      <c r="I415" s="2">
        <v>2214</v>
      </c>
      <c r="J415" s="3">
        <v>2.0699999999999998</v>
      </c>
      <c r="K415" s="3">
        <v>20.23</v>
      </c>
      <c r="L415" s="3">
        <v>60.64</v>
      </c>
      <c r="M415" s="3">
        <v>273.67</v>
      </c>
    </row>
    <row r="416" spans="1:13" ht="15.75" x14ac:dyDescent="0.25">
      <c r="A416" s="1">
        <v>2235</v>
      </c>
      <c r="B416" s="1">
        <v>7128</v>
      </c>
      <c r="C416" s="2" t="s">
        <v>44</v>
      </c>
      <c r="D416" s="2" t="s">
        <v>20</v>
      </c>
      <c r="E416" s="2" t="s">
        <v>21</v>
      </c>
      <c r="F416" s="2" t="s">
        <v>15</v>
      </c>
      <c r="G416" s="2">
        <v>60</v>
      </c>
      <c r="H416" s="4" t="s">
        <v>37</v>
      </c>
      <c r="I416" s="2">
        <v>2214</v>
      </c>
      <c r="J416" s="3">
        <v>1.72</v>
      </c>
      <c r="K416" s="3">
        <v>39.479999999999997</v>
      </c>
      <c r="L416" s="3">
        <v>36.4</v>
      </c>
      <c r="M416" s="3">
        <v>157.79</v>
      </c>
    </row>
    <row r="417" spans="1:13" ht="15.75" x14ac:dyDescent="0.25">
      <c r="A417" s="1">
        <v>2235</v>
      </c>
      <c r="B417" s="1">
        <v>7128</v>
      </c>
      <c r="C417" s="2" t="s">
        <v>44</v>
      </c>
      <c r="D417" s="2" t="s">
        <v>20</v>
      </c>
      <c r="E417" s="2" t="s">
        <v>21</v>
      </c>
      <c r="F417" s="2" t="s">
        <v>15</v>
      </c>
      <c r="G417" s="2">
        <v>0</v>
      </c>
      <c r="H417" s="4" t="s">
        <v>37</v>
      </c>
      <c r="I417" s="2">
        <v>2214</v>
      </c>
      <c r="J417" s="3">
        <v>2.67</v>
      </c>
      <c r="K417" s="3">
        <v>102.86</v>
      </c>
      <c r="L417" s="3">
        <v>111.04</v>
      </c>
      <c r="M417" s="3">
        <v>702.19</v>
      </c>
    </row>
    <row r="418" spans="1:13" ht="15.75" x14ac:dyDescent="0.25">
      <c r="A418" s="1">
        <v>2236</v>
      </c>
      <c r="B418" s="1">
        <v>5021</v>
      </c>
      <c r="C418" s="2" t="s">
        <v>22</v>
      </c>
      <c r="D418" s="2" t="s">
        <v>23</v>
      </c>
      <c r="E418" s="2" t="s">
        <v>21</v>
      </c>
      <c r="F418" s="2" t="s">
        <v>24</v>
      </c>
      <c r="G418" s="2">
        <v>14</v>
      </c>
      <c r="H418" s="4" t="s">
        <v>37</v>
      </c>
      <c r="I418" s="2">
        <v>2214</v>
      </c>
      <c r="J418" s="3">
        <v>5.24</v>
      </c>
      <c r="K418" s="3">
        <v>1E-3</v>
      </c>
      <c r="L418" s="3">
        <v>40.18</v>
      </c>
      <c r="M418" s="3">
        <v>96.88</v>
      </c>
    </row>
    <row r="419" spans="1:13" ht="15.75" x14ac:dyDescent="0.25">
      <c r="A419" s="1">
        <v>2236</v>
      </c>
      <c r="B419" s="1">
        <v>5021</v>
      </c>
      <c r="C419" s="2" t="s">
        <v>22</v>
      </c>
      <c r="D419" s="2" t="s">
        <v>23</v>
      </c>
      <c r="E419" s="2" t="s">
        <v>21</v>
      </c>
      <c r="F419" s="2" t="s">
        <v>24</v>
      </c>
      <c r="G419" s="2">
        <v>88</v>
      </c>
      <c r="H419" s="4" t="s">
        <v>37</v>
      </c>
      <c r="I419" s="2">
        <v>2214</v>
      </c>
      <c r="J419" s="3">
        <v>3.08</v>
      </c>
      <c r="K419" s="3">
        <v>1E-3</v>
      </c>
      <c r="L419" s="3">
        <v>47</v>
      </c>
      <c r="M419" s="3">
        <v>275.8</v>
      </c>
    </row>
    <row r="420" spans="1:13" ht="15.75" x14ac:dyDescent="0.25">
      <c r="A420" s="1">
        <v>2236</v>
      </c>
      <c r="B420" s="1">
        <v>5021</v>
      </c>
      <c r="C420" s="2" t="s">
        <v>22</v>
      </c>
      <c r="D420" s="2" t="s">
        <v>23</v>
      </c>
      <c r="E420" s="2" t="s">
        <v>21</v>
      </c>
      <c r="F420" s="2" t="s">
        <v>24</v>
      </c>
      <c r="G420" s="2">
        <v>60</v>
      </c>
      <c r="H420" s="4" t="s">
        <v>37</v>
      </c>
      <c r="I420" s="2">
        <v>2214</v>
      </c>
      <c r="J420" s="3">
        <v>2.5299999999999998</v>
      </c>
      <c r="K420" s="3">
        <v>1E-3</v>
      </c>
      <c r="L420" s="3">
        <v>25.7</v>
      </c>
      <c r="M420" s="3">
        <v>191.59</v>
      </c>
    </row>
    <row r="421" spans="1:13" ht="15.75" x14ac:dyDescent="0.25">
      <c r="A421" s="1">
        <v>2236</v>
      </c>
      <c r="B421" s="1">
        <v>5021</v>
      </c>
      <c r="C421" s="2" t="s">
        <v>22</v>
      </c>
      <c r="D421" s="2" t="s">
        <v>23</v>
      </c>
      <c r="E421" s="2" t="s">
        <v>21</v>
      </c>
      <c r="F421" s="2" t="s">
        <v>24</v>
      </c>
      <c r="G421" s="2">
        <v>0</v>
      </c>
      <c r="H421" s="4" t="s">
        <v>37</v>
      </c>
      <c r="I421" s="2">
        <v>2214</v>
      </c>
      <c r="J421" s="3">
        <v>1.53</v>
      </c>
      <c r="K421" s="3">
        <v>1E-3</v>
      </c>
      <c r="L421" s="3">
        <v>40.93</v>
      </c>
      <c r="M421" s="3">
        <v>49.84</v>
      </c>
    </row>
    <row r="422" spans="1:13" ht="15.75" x14ac:dyDescent="0.25">
      <c r="A422" s="1">
        <v>2238</v>
      </c>
      <c r="B422" s="1">
        <v>7010</v>
      </c>
      <c r="C422" s="2" t="s">
        <v>28</v>
      </c>
      <c r="D422" s="2" t="s">
        <v>20</v>
      </c>
      <c r="E422" s="2" t="s">
        <v>21</v>
      </c>
      <c r="F422" s="2" t="s">
        <v>15</v>
      </c>
      <c r="G422" s="2">
        <v>14</v>
      </c>
      <c r="H422" s="4" t="s">
        <v>37</v>
      </c>
      <c r="I422" s="2">
        <v>2214</v>
      </c>
      <c r="J422" s="3">
        <v>1.81</v>
      </c>
      <c r="K422" s="3">
        <v>14.35</v>
      </c>
      <c r="L422" s="3">
        <v>33.619999999999997</v>
      </c>
      <c r="M422" s="3">
        <v>331.92</v>
      </c>
    </row>
    <row r="423" spans="1:13" ht="15.75" x14ac:dyDescent="0.25">
      <c r="A423" s="1">
        <v>2238</v>
      </c>
      <c r="B423" s="1">
        <v>7010</v>
      </c>
      <c r="C423" s="2" t="s">
        <v>28</v>
      </c>
      <c r="D423" s="2" t="s">
        <v>20</v>
      </c>
      <c r="E423" s="2" t="s">
        <v>21</v>
      </c>
      <c r="F423" s="2" t="s">
        <v>15</v>
      </c>
      <c r="G423" s="2">
        <v>88</v>
      </c>
      <c r="H423" s="4" t="s">
        <v>37</v>
      </c>
      <c r="I423" s="2">
        <v>2214</v>
      </c>
      <c r="J423" s="3">
        <v>1.95</v>
      </c>
      <c r="K423" s="3">
        <v>14.35</v>
      </c>
      <c r="L423" s="3">
        <v>50.06</v>
      </c>
      <c r="M423" s="3">
        <v>190.81</v>
      </c>
    </row>
    <row r="424" spans="1:13" ht="15.75" x14ac:dyDescent="0.25">
      <c r="A424" s="1">
        <v>2238</v>
      </c>
      <c r="B424" s="1">
        <v>7010</v>
      </c>
      <c r="C424" s="2" t="s">
        <v>28</v>
      </c>
      <c r="D424" s="2" t="s">
        <v>20</v>
      </c>
      <c r="E424" s="2" t="s">
        <v>21</v>
      </c>
      <c r="F424" s="2" t="s">
        <v>15</v>
      </c>
      <c r="G424" s="2">
        <v>60</v>
      </c>
      <c r="H424" s="4" t="s">
        <v>37</v>
      </c>
      <c r="I424" s="2">
        <v>2214</v>
      </c>
      <c r="J424" s="3">
        <v>1.27</v>
      </c>
      <c r="K424" s="3">
        <v>6.37</v>
      </c>
      <c r="L424" s="3">
        <v>38.770000000000003</v>
      </c>
      <c r="M424" s="3">
        <v>223.91</v>
      </c>
    </row>
    <row r="425" spans="1:13" ht="15.75" x14ac:dyDescent="0.25">
      <c r="A425" s="1">
        <v>2238</v>
      </c>
      <c r="B425" s="1">
        <v>7010</v>
      </c>
      <c r="C425" s="2" t="s">
        <v>28</v>
      </c>
      <c r="D425" s="2" t="s">
        <v>20</v>
      </c>
      <c r="E425" s="2" t="s">
        <v>21</v>
      </c>
      <c r="F425" s="2" t="s">
        <v>15</v>
      </c>
      <c r="G425" s="2">
        <v>0</v>
      </c>
      <c r="H425" s="4" t="s">
        <v>37</v>
      </c>
      <c r="I425" s="2">
        <v>2214</v>
      </c>
      <c r="J425" s="3">
        <v>1.19</v>
      </c>
      <c r="K425" s="3">
        <v>1E-3</v>
      </c>
      <c r="L425" s="3">
        <v>46.13</v>
      </c>
      <c r="M425" s="3">
        <v>120.73</v>
      </c>
    </row>
    <row r="426" spans="1:13" ht="15.75" x14ac:dyDescent="0.25">
      <c r="A426" s="1">
        <v>2239</v>
      </c>
      <c r="B426" s="1">
        <v>5105</v>
      </c>
      <c r="C426" s="2" t="s">
        <v>38</v>
      </c>
      <c r="D426" s="2" t="s">
        <v>23</v>
      </c>
      <c r="E426" s="2" t="s">
        <v>21</v>
      </c>
      <c r="F426" s="2" t="s">
        <v>24</v>
      </c>
      <c r="G426" s="2">
        <v>14</v>
      </c>
      <c r="H426" s="4" t="s">
        <v>37</v>
      </c>
      <c r="I426" s="2">
        <v>2214</v>
      </c>
      <c r="J426" s="3">
        <v>1.77</v>
      </c>
      <c r="K426" s="3">
        <v>12.65</v>
      </c>
      <c r="L426" s="3">
        <v>80.36</v>
      </c>
      <c r="M426" s="3">
        <v>1497.88</v>
      </c>
    </row>
    <row r="427" spans="1:13" ht="15.75" x14ac:dyDescent="0.25">
      <c r="A427" s="1">
        <v>2239</v>
      </c>
      <c r="B427" s="1">
        <v>5105</v>
      </c>
      <c r="C427" s="2" t="s">
        <v>38</v>
      </c>
      <c r="D427" s="2" t="s">
        <v>23</v>
      </c>
      <c r="E427" s="2" t="s">
        <v>21</v>
      </c>
      <c r="F427" s="2" t="s">
        <v>24</v>
      </c>
      <c r="G427" s="2">
        <v>88</v>
      </c>
      <c r="H427" s="4" t="s">
        <v>37</v>
      </c>
      <c r="I427" s="2">
        <v>2214</v>
      </c>
      <c r="J427" s="3">
        <v>2.4900000000000002</v>
      </c>
      <c r="K427" s="3">
        <v>59.6</v>
      </c>
      <c r="L427" s="3">
        <v>102.13</v>
      </c>
      <c r="M427" s="3">
        <v>674.47</v>
      </c>
    </row>
    <row r="428" spans="1:13" ht="15.75" x14ac:dyDescent="0.25">
      <c r="A428" s="1">
        <v>2239</v>
      </c>
      <c r="B428" s="1">
        <v>5105</v>
      </c>
      <c r="C428" s="2" t="s">
        <v>38</v>
      </c>
      <c r="D428" s="2" t="s">
        <v>23</v>
      </c>
      <c r="E428" s="2" t="s">
        <v>21</v>
      </c>
      <c r="F428" s="2" t="s">
        <v>24</v>
      </c>
      <c r="G428" s="2">
        <v>60</v>
      </c>
      <c r="H428" s="4" t="s">
        <v>37</v>
      </c>
      <c r="I428" s="2">
        <v>2214</v>
      </c>
      <c r="J428" s="3">
        <v>3.25</v>
      </c>
      <c r="K428" s="3">
        <v>11.61</v>
      </c>
      <c r="L428" s="3">
        <v>76.17</v>
      </c>
      <c r="M428" s="3">
        <v>477.35</v>
      </c>
    </row>
    <row r="429" spans="1:13" ht="15.75" x14ac:dyDescent="0.25">
      <c r="A429" s="1">
        <v>2239</v>
      </c>
      <c r="B429" s="1">
        <v>5105</v>
      </c>
      <c r="C429" s="2" t="s">
        <v>38</v>
      </c>
      <c r="D429" s="2" t="s">
        <v>23</v>
      </c>
      <c r="E429" s="2" t="s">
        <v>21</v>
      </c>
      <c r="F429" s="2" t="s">
        <v>24</v>
      </c>
      <c r="G429" s="2">
        <v>0</v>
      </c>
      <c r="H429" s="4" t="s">
        <v>37</v>
      </c>
      <c r="I429" s="2">
        <v>2214</v>
      </c>
      <c r="J429" s="3">
        <v>4.9800000000000004</v>
      </c>
      <c r="K429" s="3">
        <v>1E-3</v>
      </c>
      <c r="L429" s="3">
        <v>87.59</v>
      </c>
      <c r="M429" s="3">
        <v>480.89</v>
      </c>
    </row>
    <row r="430" spans="1:13" ht="15.75" x14ac:dyDescent="0.25">
      <c r="A430" s="1">
        <v>2240</v>
      </c>
      <c r="B430" s="1">
        <v>6140</v>
      </c>
      <c r="C430" s="2" t="s">
        <v>40</v>
      </c>
      <c r="D430" s="2" t="s">
        <v>20</v>
      </c>
      <c r="E430" s="2" t="s">
        <v>21</v>
      </c>
      <c r="F430" s="2" t="s">
        <v>15</v>
      </c>
      <c r="G430" s="2">
        <v>14</v>
      </c>
      <c r="H430" s="4" t="s">
        <v>37</v>
      </c>
      <c r="I430" s="2">
        <v>2214</v>
      </c>
      <c r="J430" s="3">
        <v>0.99</v>
      </c>
      <c r="K430" s="3">
        <v>11.61</v>
      </c>
      <c r="L430" s="3">
        <v>28.75</v>
      </c>
      <c r="M430" s="3">
        <v>161.80000000000001</v>
      </c>
    </row>
    <row r="431" spans="1:13" ht="15.75" x14ac:dyDescent="0.25">
      <c r="A431" s="1">
        <v>2240</v>
      </c>
      <c r="B431" s="1">
        <v>6140</v>
      </c>
      <c r="C431" s="2" t="s">
        <v>40</v>
      </c>
      <c r="D431" s="2" t="s">
        <v>20</v>
      </c>
      <c r="E431" s="2" t="s">
        <v>21</v>
      </c>
      <c r="F431" s="2" t="s">
        <v>15</v>
      </c>
      <c r="G431" s="2">
        <v>88</v>
      </c>
      <c r="H431" s="4" t="s">
        <v>37</v>
      </c>
      <c r="I431" s="2">
        <v>2214</v>
      </c>
      <c r="J431" s="3">
        <v>1.27</v>
      </c>
      <c r="K431" s="3">
        <v>14.35</v>
      </c>
      <c r="L431" s="3">
        <v>66.430000000000007</v>
      </c>
      <c r="M431" s="3">
        <v>689.46</v>
      </c>
    </row>
    <row r="432" spans="1:13" ht="15.75" x14ac:dyDescent="0.25">
      <c r="A432" s="1">
        <v>2240</v>
      </c>
      <c r="B432" s="1">
        <v>6140</v>
      </c>
      <c r="C432" s="2" t="s">
        <v>40</v>
      </c>
      <c r="D432" s="2" t="s">
        <v>20</v>
      </c>
      <c r="E432" s="2" t="s">
        <v>21</v>
      </c>
      <c r="F432" s="2" t="s">
        <v>15</v>
      </c>
      <c r="G432" s="2">
        <v>60</v>
      </c>
      <c r="H432" s="4" t="s">
        <v>37</v>
      </c>
      <c r="I432" s="2">
        <v>2214</v>
      </c>
      <c r="J432" s="3">
        <v>1.7</v>
      </c>
      <c r="K432" s="3">
        <v>24.04</v>
      </c>
      <c r="L432" s="3">
        <v>57.99</v>
      </c>
      <c r="M432" s="3">
        <v>120.73</v>
      </c>
    </row>
    <row r="433" spans="1:13" ht="15.75" x14ac:dyDescent="0.25">
      <c r="A433" s="1">
        <v>2240</v>
      </c>
      <c r="B433" s="1">
        <v>6140</v>
      </c>
      <c r="C433" s="2" t="s">
        <v>40</v>
      </c>
      <c r="D433" s="2" t="s">
        <v>20</v>
      </c>
      <c r="E433" s="2" t="s">
        <v>21</v>
      </c>
      <c r="F433" s="2" t="s">
        <v>15</v>
      </c>
      <c r="G433" s="2">
        <v>0</v>
      </c>
      <c r="H433" s="4" t="s">
        <v>37</v>
      </c>
      <c r="I433" s="2">
        <v>2214</v>
      </c>
      <c r="J433" s="3">
        <v>1.49</v>
      </c>
      <c r="K433" s="3">
        <v>32.450000000000003</v>
      </c>
      <c r="L433" s="3">
        <v>82.47</v>
      </c>
      <c r="M433" s="3">
        <v>555.59</v>
      </c>
    </row>
    <row r="434" spans="1:13" ht="15.75" x14ac:dyDescent="0.25">
      <c r="A434" s="1">
        <v>2241</v>
      </c>
      <c r="B434" s="2">
        <v>5058</v>
      </c>
      <c r="C434" s="2" t="s">
        <v>44</v>
      </c>
      <c r="D434" s="2" t="s">
        <v>20</v>
      </c>
      <c r="E434" s="2" t="s">
        <v>21</v>
      </c>
      <c r="F434" s="2" t="s">
        <v>15</v>
      </c>
      <c r="G434" s="2">
        <v>14</v>
      </c>
      <c r="H434" s="4" t="s">
        <v>37</v>
      </c>
      <c r="I434" s="2">
        <v>2214</v>
      </c>
      <c r="J434" s="3">
        <v>0.88</v>
      </c>
      <c r="K434" s="3">
        <v>36.71</v>
      </c>
      <c r="L434" s="3">
        <v>51.38</v>
      </c>
      <c r="M434" s="3">
        <v>174.29</v>
      </c>
    </row>
    <row r="435" spans="1:13" ht="15.75" x14ac:dyDescent="0.25">
      <c r="A435" s="1">
        <v>2241</v>
      </c>
      <c r="B435" s="2">
        <v>5058</v>
      </c>
      <c r="C435" s="2" t="s">
        <v>44</v>
      </c>
      <c r="D435" s="2" t="s">
        <v>20</v>
      </c>
      <c r="E435" s="2" t="s">
        <v>21</v>
      </c>
      <c r="F435" s="2" t="s">
        <v>15</v>
      </c>
      <c r="G435" s="2">
        <v>88</v>
      </c>
      <c r="H435" s="4" t="s">
        <v>37</v>
      </c>
      <c r="I435" s="2">
        <v>2214</v>
      </c>
      <c r="J435" s="3">
        <v>1.21</v>
      </c>
      <c r="K435" s="3">
        <v>32.81</v>
      </c>
      <c r="L435" s="3">
        <v>39.630000000000003</v>
      </c>
      <c r="M435" s="3">
        <v>676.73</v>
      </c>
    </row>
    <row r="436" spans="1:13" ht="15.75" x14ac:dyDescent="0.25">
      <c r="A436" s="1">
        <v>2241</v>
      </c>
      <c r="B436" s="2">
        <v>5058</v>
      </c>
      <c r="C436" s="2" t="s">
        <v>44</v>
      </c>
      <c r="D436" s="2" t="s">
        <v>20</v>
      </c>
      <c r="E436" s="2" t="s">
        <v>21</v>
      </c>
      <c r="F436" s="2" t="s">
        <v>15</v>
      </c>
      <c r="G436" s="2">
        <v>60</v>
      </c>
      <c r="H436" s="4" t="s">
        <v>37</v>
      </c>
      <c r="I436" s="2">
        <v>2214</v>
      </c>
      <c r="J436" s="3">
        <v>1.98</v>
      </c>
      <c r="K436" s="3">
        <v>1E-3</v>
      </c>
      <c r="L436" s="3">
        <v>51.38</v>
      </c>
      <c r="M436" s="3">
        <v>63.3</v>
      </c>
    </row>
    <row r="437" spans="1:13" ht="15.75" x14ac:dyDescent="0.25">
      <c r="A437" s="1">
        <v>2241</v>
      </c>
      <c r="B437" s="2">
        <v>5058</v>
      </c>
      <c r="C437" s="2" t="s">
        <v>44</v>
      </c>
      <c r="D437" s="2" t="s">
        <v>20</v>
      </c>
      <c r="E437" s="2" t="s">
        <v>21</v>
      </c>
      <c r="F437" s="2" t="s">
        <v>15</v>
      </c>
      <c r="G437" s="2">
        <v>0</v>
      </c>
      <c r="H437" s="4" t="s">
        <v>37</v>
      </c>
      <c r="I437" s="2">
        <v>2214</v>
      </c>
      <c r="J437" s="3">
        <v>0.71</v>
      </c>
      <c r="K437" s="3">
        <v>1E-3</v>
      </c>
      <c r="L437" s="3">
        <v>47.88</v>
      </c>
      <c r="M437" s="3">
        <v>124.84</v>
      </c>
    </row>
    <row r="438" spans="1:13" ht="15.75" x14ac:dyDescent="0.25">
      <c r="A438" s="2">
        <v>2244</v>
      </c>
      <c r="B438" s="2">
        <v>6114</v>
      </c>
      <c r="C438" s="2" t="s">
        <v>42</v>
      </c>
      <c r="D438" s="2" t="s">
        <v>20</v>
      </c>
      <c r="E438" s="2" t="s">
        <v>21</v>
      </c>
      <c r="F438" s="2" t="s">
        <v>15</v>
      </c>
      <c r="G438" s="2">
        <v>14</v>
      </c>
      <c r="H438" s="4" t="s">
        <v>37</v>
      </c>
      <c r="I438" s="2">
        <v>2214</v>
      </c>
      <c r="J438" s="3">
        <v>29.16</v>
      </c>
      <c r="K438" s="3">
        <v>32.81</v>
      </c>
      <c r="L438" s="3">
        <v>144.76</v>
      </c>
      <c r="M438" s="3">
        <v>829.98</v>
      </c>
    </row>
    <row r="439" spans="1:13" ht="15.75" x14ac:dyDescent="0.25">
      <c r="A439" s="2">
        <v>2244</v>
      </c>
      <c r="B439" s="2">
        <v>6114</v>
      </c>
      <c r="C439" s="2" t="s">
        <v>42</v>
      </c>
      <c r="D439" s="2" t="s">
        <v>20</v>
      </c>
      <c r="E439" s="2" t="s">
        <v>21</v>
      </c>
      <c r="F439" s="2" t="s">
        <v>15</v>
      </c>
      <c r="G439" s="2">
        <v>88</v>
      </c>
      <c r="H439" s="4" t="s">
        <v>37</v>
      </c>
      <c r="I439" s="2">
        <v>2214</v>
      </c>
      <c r="J439" s="3">
        <v>1.1000000000000001</v>
      </c>
      <c r="K439" s="3">
        <v>10.81</v>
      </c>
      <c r="L439" s="3">
        <v>60.86</v>
      </c>
      <c r="M439" s="3">
        <v>182.55</v>
      </c>
    </row>
    <row r="440" spans="1:13" ht="15.75" x14ac:dyDescent="0.25">
      <c r="A440" s="2">
        <v>2244</v>
      </c>
      <c r="B440" s="2">
        <v>6114</v>
      </c>
      <c r="C440" s="2" t="s">
        <v>42</v>
      </c>
      <c r="D440" s="2" t="s">
        <v>20</v>
      </c>
      <c r="E440" s="2" t="s">
        <v>21</v>
      </c>
      <c r="F440" s="2" t="s">
        <v>15</v>
      </c>
      <c r="G440" s="2">
        <v>60</v>
      </c>
      <c r="H440" s="4" t="s">
        <v>37</v>
      </c>
      <c r="I440" s="2">
        <v>2214</v>
      </c>
      <c r="J440" s="3">
        <v>3.41</v>
      </c>
      <c r="K440" s="3">
        <v>26.39</v>
      </c>
      <c r="L440" s="3">
        <v>84.89</v>
      </c>
      <c r="M440" s="3">
        <v>331.92</v>
      </c>
    </row>
    <row r="441" spans="1:13" ht="15.75" x14ac:dyDescent="0.25">
      <c r="A441" s="2">
        <v>2244</v>
      </c>
      <c r="B441" s="2">
        <v>6114</v>
      </c>
      <c r="C441" s="2" t="s">
        <v>42</v>
      </c>
      <c r="D441" s="2" t="s">
        <v>20</v>
      </c>
      <c r="E441" s="2" t="s">
        <v>21</v>
      </c>
      <c r="F441" s="2" t="s">
        <v>15</v>
      </c>
      <c r="G441" s="2">
        <v>0</v>
      </c>
      <c r="H441" s="4" t="s">
        <v>37</v>
      </c>
      <c r="I441" s="2">
        <v>2214</v>
      </c>
      <c r="J441" s="2" t="s">
        <v>39</v>
      </c>
      <c r="K441" s="2" t="s">
        <v>39</v>
      </c>
      <c r="L441" s="2" t="s">
        <v>39</v>
      </c>
      <c r="M441" s="2" t="s">
        <v>39</v>
      </c>
    </row>
    <row r="442" spans="1:13" ht="15.75" x14ac:dyDescent="0.25">
      <c r="A442" s="2">
        <v>2245</v>
      </c>
      <c r="B442" s="2">
        <v>7101</v>
      </c>
      <c r="C442" s="2" t="s">
        <v>42</v>
      </c>
      <c r="D442" s="2" t="s">
        <v>20</v>
      </c>
      <c r="E442" s="2" t="s">
        <v>21</v>
      </c>
      <c r="F442" s="2" t="s">
        <v>15</v>
      </c>
      <c r="G442" s="2">
        <v>14</v>
      </c>
      <c r="H442" s="4" t="s">
        <v>37</v>
      </c>
      <c r="I442" s="2">
        <v>2214</v>
      </c>
      <c r="J442" s="3">
        <v>3.17</v>
      </c>
      <c r="K442" s="3">
        <v>51.94</v>
      </c>
      <c r="L442" s="3">
        <v>59.76</v>
      </c>
      <c r="M442" s="3">
        <v>847.07</v>
      </c>
    </row>
    <row r="443" spans="1:13" ht="15.75" x14ac:dyDescent="0.25">
      <c r="A443" s="2">
        <v>2245</v>
      </c>
      <c r="B443" s="2">
        <v>7101</v>
      </c>
      <c r="C443" s="2" t="s">
        <v>42</v>
      </c>
      <c r="D443" s="2" t="s">
        <v>20</v>
      </c>
      <c r="E443" s="2" t="s">
        <v>21</v>
      </c>
      <c r="F443" s="2" t="s">
        <v>15</v>
      </c>
      <c r="G443" s="2">
        <v>88</v>
      </c>
      <c r="H443" s="4" t="s">
        <v>37</v>
      </c>
      <c r="I443" s="2">
        <v>2214</v>
      </c>
      <c r="J443" s="3">
        <v>1.66</v>
      </c>
      <c r="K443" s="3">
        <v>1E-3</v>
      </c>
      <c r="L443" s="3">
        <v>43.09</v>
      </c>
      <c r="M443" s="3">
        <v>294.45999999999998</v>
      </c>
    </row>
    <row r="444" spans="1:13" ht="15.75" x14ac:dyDescent="0.25">
      <c r="A444" s="2">
        <v>2245</v>
      </c>
      <c r="B444" s="2">
        <v>7101</v>
      </c>
      <c r="C444" s="2" t="s">
        <v>42</v>
      </c>
      <c r="D444" s="2" t="s">
        <v>20</v>
      </c>
      <c r="E444" s="2" t="s">
        <v>21</v>
      </c>
      <c r="F444" s="2" t="s">
        <v>15</v>
      </c>
      <c r="G444" s="2">
        <v>60</v>
      </c>
      <c r="H444" s="4" t="s">
        <v>37</v>
      </c>
      <c r="I444" s="2">
        <v>2214</v>
      </c>
      <c r="J444" s="3">
        <v>1.08</v>
      </c>
      <c r="K444" s="3">
        <v>1E-3</v>
      </c>
      <c r="L444" s="3">
        <v>30.01</v>
      </c>
      <c r="M444" s="3">
        <v>482.55</v>
      </c>
    </row>
    <row r="445" spans="1:13" ht="15.75" x14ac:dyDescent="0.25">
      <c r="A445" s="2">
        <v>2245</v>
      </c>
      <c r="B445" s="2">
        <v>7101</v>
      </c>
      <c r="C445" s="2" t="s">
        <v>42</v>
      </c>
      <c r="D445" s="2" t="s">
        <v>20</v>
      </c>
      <c r="E445" s="2" t="s">
        <v>21</v>
      </c>
      <c r="F445" s="2" t="s">
        <v>15</v>
      </c>
      <c r="G445" s="2">
        <v>0</v>
      </c>
      <c r="H445" s="4" t="s">
        <v>37</v>
      </c>
      <c r="I445" s="2">
        <v>2214</v>
      </c>
      <c r="J445" s="2" t="s">
        <v>39</v>
      </c>
      <c r="K445" s="2" t="s">
        <v>39</v>
      </c>
      <c r="L445" s="2" t="s">
        <v>39</v>
      </c>
      <c r="M445" s="2" t="s">
        <v>39</v>
      </c>
    </row>
    <row r="446" spans="1:13" ht="15.75" x14ac:dyDescent="0.25">
      <c r="A446" s="2">
        <v>3003</v>
      </c>
      <c r="B446" s="2">
        <v>1109</v>
      </c>
      <c r="C446" s="2" t="s">
        <v>30</v>
      </c>
      <c r="D446" s="2" t="s">
        <v>20</v>
      </c>
      <c r="E446" s="2" t="s">
        <v>21</v>
      </c>
      <c r="F446" s="2" t="s">
        <v>15</v>
      </c>
      <c r="G446" s="2">
        <v>0</v>
      </c>
      <c r="H446" s="4" t="s">
        <v>37</v>
      </c>
      <c r="I446" s="2">
        <v>2311</v>
      </c>
      <c r="J446" s="2">
        <v>5.15</v>
      </c>
      <c r="K446" s="2">
        <v>271.31</v>
      </c>
      <c r="L446" s="2">
        <v>311.61</v>
      </c>
      <c r="M446" s="2">
        <v>124.32</v>
      </c>
    </row>
    <row r="447" spans="1:13" ht="15.75" x14ac:dyDescent="0.25">
      <c r="A447" s="2">
        <v>3003</v>
      </c>
      <c r="B447" s="2">
        <v>1109</v>
      </c>
      <c r="C447" s="2" t="s">
        <v>30</v>
      </c>
      <c r="D447" s="2" t="s">
        <v>20</v>
      </c>
      <c r="E447" s="2" t="s">
        <v>21</v>
      </c>
      <c r="F447" s="2" t="s">
        <v>15</v>
      </c>
      <c r="G447" s="2">
        <v>14</v>
      </c>
      <c r="H447" s="4" t="s">
        <v>37</v>
      </c>
      <c r="I447" s="2">
        <v>2311</v>
      </c>
      <c r="J447" s="2">
        <v>2.73</v>
      </c>
      <c r="K447" s="2">
        <v>47.9</v>
      </c>
      <c r="L447" s="2">
        <v>107.51</v>
      </c>
      <c r="M447" s="2">
        <v>75.97</v>
      </c>
    </row>
    <row r="448" spans="1:13" ht="15.75" x14ac:dyDescent="0.25">
      <c r="A448" s="2">
        <v>3003</v>
      </c>
      <c r="B448" s="2">
        <v>1109</v>
      </c>
      <c r="C448" s="2" t="s">
        <v>30</v>
      </c>
      <c r="D448" s="2" t="s">
        <v>20</v>
      </c>
      <c r="E448" s="2" t="s">
        <v>21</v>
      </c>
      <c r="F448" s="2" t="s">
        <v>15</v>
      </c>
      <c r="G448" s="2">
        <v>60</v>
      </c>
      <c r="H448" s="4" t="s">
        <v>37</v>
      </c>
      <c r="I448" s="2">
        <v>2311</v>
      </c>
      <c r="J448" s="2">
        <v>2.62</v>
      </c>
      <c r="K448" s="2">
        <v>78.53</v>
      </c>
      <c r="L448" s="2">
        <v>228.13</v>
      </c>
      <c r="M448" s="2">
        <v>1529.83</v>
      </c>
    </row>
    <row r="449" spans="1:13" ht="15.75" x14ac:dyDescent="0.25">
      <c r="A449" s="2">
        <v>3003</v>
      </c>
      <c r="B449" s="2">
        <v>1109</v>
      </c>
      <c r="C449" s="2" t="s">
        <v>30</v>
      </c>
      <c r="D449" s="2" t="s">
        <v>20</v>
      </c>
      <c r="E449" s="2" t="s">
        <v>21</v>
      </c>
      <c r="F449" s="2" t="s">
        <v>15</v>
      </c>
      <c r="G449" s="2">
        <v>88</v>
      </c>
      <c r="H449" s="4" t="s">
        <v>37</v>
      </c>
      <c r="I449" s="2">
        <v>2311</v>
      </c>
      <c r="J449" s="2">
        <v>5.04</v>
      </c>
      <c r="K449" s="2">
        <v>202.76</v>
      </c>
      <c r="L449" s="2">
        <v>1072.3599999999999</v>
      </c>
      <c r="M449" s="2">
        <v>13473.22</v>
      </c>
    </row>
    <row r="450" spans="1:13" ht="15.75" x14ac:dyDescent="0.25">
      <c r="A450" s="2">
        <v>3004</v>
      </c>
      <c r="B450" s="2">
        <v>1231</v>
      </c>
      <c r="C450" s="2" t="s">
        <v>25</v>
      </c>
      <c r="D450" s="2" t="s">
        <v>23</v>
      </c>
      <c r="E450" s="2" t="s">
        <v>21</v>
      </c>
      <c r="F450" s="2" t="s">
        <v>24</v>
      </c>
      <c r="G450" s="2">
        <v>0</v>
      </c>
      <c r="H450" s="4" t="s">
        <v>37</v>
      </c>
      <c r="I450" s="2">
        <v>2311</v>
      </c>
      <c r="J450" s="2">
        <v>10.16</v>
      </c>
      <c r="K450" s="2">
        <v>166.45</v>
      </c>
      <c r="L450" s="2">
        <v>318.38</v>
      </c>
      <c r="M450" s="2">
        <v>397.63</v>
      </c>
    </row>
    <row r="451" spans="1:13" ht="15.75" x14ac:dyDescent="0.25">
      <c r="A451" s="2">
        <v>3004</v>
      </c>
      <c r="B451" s="2">
        <v>1231</v>
      </c>
      <c r="C451" s="2" t="s">
        <v>25</v>
      </c>
      <c r="D451" s="2" t="s">
        <v>23</v>
      </c>
      <c r="E451" s="2" t="s">
        <v>21</v>
      </c>
      <c r="F451" s="2" t="s">
        <v>24</v>
      </c>
      <c r="G451" s="2">
        <v>14</v>
      </c>
      <c r="H451" s="4" t="s">
        <v>37</v>
      </c>
      <c r="I451" s="2">
        <v>2311</v>
      </c>
      <c r="J451" s="2">
        <v>7.17</v>
      </c>
      <c r="K451" s="2">
        <v>70.84</v>
      </c>
      <c r="L451" s="2">
        <v>324.36</v>
      </c>
      <c r="M451" s="2">
        <v>270.79000000000002</v>
      </c>
    </row>
    <row r="452" spans="1:13" ht="15.75" x14ac:dyDescent="0.25">
      <c r="A452" s="2">
        <v>3004</v>
      </c>
      <c r="B452" s="2">
        <v>1231</v>
      </c>
      <c r="C452" s="2" t="s">
        <v>25</v>
      </c>
      <c r="D452" s="2" t="s">
        <v>23</v>
      </c>
      <c r="E452" s="2" t="s">
        <v>21</v>
      </c>
      <c r="F452" s="2" t="s">
        <v>24</v>
      </c>
      <c r="G452" s="2">
        <v>60</v>
      </c>
      <c r="H452" s="4" t="s">
        <v>37</v>
      </c>
      <c r="I452" s="2">
        <v>2311</v>
      </c>
      <c r="J452" s="2">
        <v>4.46</v>
      </c>
      <c r="K452" s="2">
        <v>84.37</v>
      </c>
      <c r="L452" s="2">
        <v>169.26</v>
      </c>
      <c r="M452" s="2">
        <v>863.46</v>
      </c>
    </row>
    <row r="453" spans="1:13" ht="15.75" x14ac:dyDescent="0.25">
      <c r="A453" s="2">
        <v>3004</v>
      </c>
      <c r="B453" s="2">
        <v>1231</v>
      </c>
      <c r="C453" s="2" t="s">
        <v>25</v>
      </c>
      <c r="D453" s="2" t="s">
        <v>23</v>
      </c>
      <c r="E453" s="2" t="s">
        <v>21</v>
      </c>
      <c r="F453" s="2" t="s">
        <v>24</v>
      </c>
      <c r="G453" s="2">
        <v>88</v>
      </c>
      <c r="H453" s="4" t="s">
        <v>37</v>
      </c>
      <c r="I453" s="2">
        <v>2311</v>
      </c>
      <c r="J453" s="2">
        <v>7.46</v>
      </c>
      <c r="K453" s="2">
        <v>80.010000000000005</v>
      </c>
      <c r="L453" s="2">
        <v>398.63</v>
      </c>
      <c r="M453" s="2">
        <v>762.18</v>
      </c>
    </row>
    <row r="454" spans="1:13" ht="15.75" x14ac:dyDescent="0.25">
      <c r="A454" s="2">
        <v>3005</v>
      </c>
      <c r="B454" s="2">
        <v>1101</v>
      </c>
      <c r="C454" s="2" t="s">
        <v>25</v>
      </c>
      <c r="D454" s="2" t="s">
        <v>23</v>
      </c>
      <c r="E454" s="2" t="s">
        <v>21</v>
      </c>
      <c r="F454" s="2" t="s">
        <v>24</v>
      </c>
      <c r="G454" s="2">
        <v>0</v>
      </c>
      <c r="H454" s="4" t="s">
        <v>37</v>
      </c>
      <c r="I454" s="2">
        <v>2311</v>
      </c>
      <c r="J454" s="2">
        <v>3.08</v>
      </c>
      <c r="K454" s="2">
        <v>176.71</v>
      </c>
      <c r="L454" s="2">
        <v>317.55</v>
      </c>
      <c r="M454" s="2">
        <v>896.28</v>
      </c>
    </row>
    <row r="455" spans="1:13" ht="15.75" x14ac:dyDescent="0.25">
      <c r="A455" s="2">
        <v>3005</v>
      </c>
      <c r="B455" s="2">
        <v>1101</v>
      </c>
      <c r="C455" s="2" t="s">
        <v>25</v>
      </c>
      <c r="D455" s="2" t="s">
        <v>23</v>
      </c>
      <c r="E455" s="2" t="s">
        <v>21</v>
      </c>
      <c r="F455" s="2" t="s">
        <v>24</v>
      </c>
      <c r="G455" s="2">
        <v>14</v>
      </c>
      <c r="H455" s="4" t="s">
        <v>37</v>
      </c>
      <c r="I455" s="2">
        <v>2311</v>
      </c>
      <c r="J455" s="2">
        <v>10.37</v>
      </c>
      <c r="K455" s="2">
        <v>187.59</v>
      </c>
      <c r="L455" s="2">
        <v>295.95</v>
      </c>
      <c r="M455" s="2">
        <v>779.45</v>
      </c>
    </row>
    <row r="456" spans="1:13" ht="15.75" x14ac:dyDescent="0.25">
      <c r="A456" s="2">
        <v>3005</v>
      </c>
      <c r="B456" s="2">
        <v>1101</v>
      </c>
      <c r="C456" s="2" t="s">
        <v>25</v>
      </c>
      <c r="D456" s="2" t="s">
        <v>23</v>
      </c>
      <c r="E456" s="2" t="s">
        <v>21</v>
      </c>
      <c r="F456" s="2" t="s">
        <v>24</v>
      </c>
      <c r="G456" s="2">
        <v>60</v>
      </c>
      <c r="H456" s="4" t="s">
        <v>37</v>
      </c>
      <c r="I456" s="2">
        <v>2311</v>
      </c>
      <c r="J456" s="2">
        <v>9.11</v>
      </c>
      <c r="K456" s="2">
        <v>172.98</v>
      </c>
      <c r="L456" s="2">
        <v>183.62</v>
      </c>
      <c r="M456" s="2">
        <v>815.42</v>
      </c>
    </row>
    <row r="457" spans="1:13" ht="15.75" x14ac:dyDescent="0.25">
      <c r="A457" s="2">
        <v>3005</v>
      </c>
      <c r="B457" s="2">
        <v>1101</v>
      </c>
      <c r="C457" s="2" t="s">
        <v>25</v>
      </c>
      <c r="D457" s="2" t="s">
        <v>23</v>
      </c>
      <c r="E457" s="2" t="s">
        <v>21</v>
      </c>
      <c r="F457" s="2" t="s">
        <v>24</v>
      </c>
      <c r="G457" s="2">
        <v>88</v>
      </c>
      <c r="H457" s="4" t="s">
        <v>37</v>
      </c>
      <c r="I457" s="2">
        <v>2311</v>
      </c>
      <c r="J457" s="2">
        <v>3.35</v>
      </c>
      <c r="K457" s="2">
        <v>138.37</v>
      </c>
      <c r="L457" s="2">
        <v>387.8</v>
      </c>
      <c r="M457" s="2">
        <v>1272.5</v>
      </c>
    </row>
    <row r="458" spans="1:13" ht="15.75" x14ac:dyDescent="0.25">
      <c r="A458" s="2">
        <v>3007</v>
      </c>
      <c r="B458" s="2">
        <v>1001</v>
      </c>
      <c r="C458" s="2" t="s">
        <v>25</v>
      </c>
      <c r="D458" s="2" t="s">
        <v>23</v>
      </c>
      <c r="E458" s="2" t="s">
        <v>21</v>
      </c>
      <c r="F458" s="2" t="s">
        <v>24</v>
      </c>
      <c r="G458" s="2">
        <v>0</v>
      </c>
      <c r="H458" s="4" t="s">
        <v>37</v>
      </c>
      <c r="I458" s="2">
        <v>2311</v>
      </c>
      <c r="J458" s="2">
        <v>7.78</v>
      </c>
      <c r="K458" s="2">
        <v>159.4</v>
      </c>
      <c r="L458" s="2">
        <v>488.33</v>
      </c>
      <c r="M458" s="2">
        <v>5546.99</v>
      </c>
    </row>
    <row r="459" spans="1:13" ht="15.75" x14ac:dyDescent="0.25">
      <c r="A459" s="2">
        <v>3007</v>
      </c>
      <c r="B459" s="2">
        <v>1001</v>
      </c>
      <c r="C459" s="2" t="s">
        <v>25</v>
      </c>
      <c r="D459" s="2" t="s">
        <v>23</v>
      </c>
      <c r="E459" s="2" t="s">
        <v>21</v>
      </c>
      <c r="F459" s="2" t="s">
        <v>24</v>
      </c>
      <c r="G459" s="2">
        <v>14</v>
      </c>
      <c r="H459" s="4" t="s">
        <v>37</v>
      </c>
      <c r="I459" s="2">
        <v>2311</v>
      </c>
      <c r="J459" s="2">
        <v>6.1</v>
      </c>
      <c r="K459" s="2">
        <v>219.36</v>
      </c>
      <c r="L459" s="2">
        <v>252.67</v>
      </c>
      <c r="M459" s="2">
        <v>1111.47</v>
      </c>
    </row>
    <row r="460" spans="1:13" ht="15.75" x14ac:dyDescent="0.25">
      <c r="A460" s="2">
        <v>3007</v>
      </c>
      <c r="B460" s="2">
        <v>1001</v>
      </c>
      <c r="C460" s="2" t="s">
        <v>25</v>
      </c>
      <c r="D460" s="2" t="s">
        <v>23</v>
      </c>
      <c r="E460" s="2" t="s">
        <v>21</v>
      </c>
      <c r="F460" s="2" t="s">
        <v>24</v>
      </c>
      <c r="G460" s="2">
        <v>60</v>
      </c>
      <c r="H460" s="4" t="s">
        <v>37</v>
      </c>
      <c r="I460" s="2">
        <v>2311</v>
      </c>
      <c r="J460" s="2">
        <v>12.12</v>
      </c>
      <c r="K460" s="2">
        <v>185.81</v>
      </c>
      <c r="L460" s="2">
        <v>313.95</v>
      </c>
      <c r="M460" s="2">
        <v>1218.8499999999999</v>
      </c>
    </row>
    <row r="461" spans="1:13" ht="15.75" x14ac:dyDescent="0.25">
      <c r="A461" s="2">
        <v>3007</v>
      </c>
      <c r="B461" s="2">
        <v>1001</v>
      </c>
      <c r="C461" s="2" t="s">
        <v>25</v>
      </c>
      <c r="D461" s="2" t="s">
        <v>23</v>
      </c>
      <c r="E461" s="2" t="s">
        <v>21</v>
      </c>
      <c r="F461" s="2" t="s">
        <v>24</v>
      </c>
      <c r="G461" s="2">
        <v>88</v>
      </c>
      <c r="H461" s="4" t="s">
        <v>37</v>
      </c>
      <c r="I461" s="2">
        <v>2311</v>
      </c>
      <c r="J461" s="2">
        <v>10.25</v>
      </c>
      <c r="K461" s="2">
        <v>191.12</v>
      </c>
      <c r="L461" s="2">
        <v>454.71</v>
      </c>
      <c r="M461" s="2">
        <v>1869.74</v>
      </c>
    </row>
    <row r="462" spans="1:13" ht="15.75" x14ac:dyDescent="0.25">
      <c r="A462" s="2">
        <v>3010</v>
      </c>
      <c r="B462" s="2">
        <v>1220</v>
      </c>
      <c r="C462" s="2" t="s">
        <v>30</v>
      </c>
      <c r="D462" s="2" t="s">
        <v>20</v>
      </c>
      <c r="E462" s="2" t="s">
        <v>21</v>
      </c>
      <c r="F462" s="2" t="s">
        <v>15</v>
      </c>
      <c r="G462" s="2">
        <v>0</v>
      </c>
      <c r="H462" s="4" t="s">
        <v>37</v>
      </c>
      <c r="I462" s="2">
        <v>2311</v>
      </c>
      <c r="J462" s="2">
        <v>7.66</v>
      </c>
      <c r="K462" s="2">
        <v>21.25</v>
      </c>
      <c r="L462" s="2">
        <v>274.89</v>
      </c>
      <c r="M462" s="2">
        <v>557.44000000000005</v>
      </c>
    </row>
    <row r="463" spans="1:13" ht="15.75" x14ac:dyDescent="0.25">
      <c r="A463" s="2">
        <v>3010</v>
      </c>
      <c r="B463" s="2">
        <v>1220</v>
      </c>
      <c r="C463" s="2" t="s">
        <v>30</v>
      </c>
      <c r="D463" s="2" t="s">
        <v>20</v>
      </c>
      <c r="E463" s="2" t="s">
        <v>21</v>
      </c>
      <c r="F463" s="2" t="s">
        <v>15</v>
      </c>
      <c r="G463" s="2">
        <v>14</v>
      </c>
      <c r="H463" s="4" t="s">
        <v>37</v>
      </c>
      <c r="I463" s="2">
        <v>2311</v>
      </c>
      <c r="J463" s="2">
        <v>17.22</v>
      </c>
      <c r="K463" s="2">
        <v>1E-3</v>
      </c>
      <c r="L463" s="2">
        <v>319.43</v>
      </c>
      <c r="M463" s="2">
        <v>318.86</v>
      </c>
    </row>
    <row r="464" spans="1:13" ht="15.75" x14ac:dyDescent="0.25">
      <c r="A464" s="2">
        <v>3010</v>
      </c>
      <c r="B464" s="2">
        <v>1220</v>
      </c>
      <c r="C464" s="2" t="s">
        <v>30</v>
      </c>
      <c r="D464" s="2" t="s">
        <v>20</v>
      </c>
      <c r="E464" s="2" t="s">
        <v>21</v>
      </c>
      <c r="F464" s="2" t="s">
        <v>15</v>
      </c>
      <c r="G464" s="2">
        <v>60</v>
      </c>
      <c r="H464" s="4" t="s">
        <v>37</v>
      </c>
      <c r="I464" s="2">
        <v>2311</v>
      </c>
      <c r="J464" s="2">
        <v>12.01</v>
      </c>
      <c r="K464" s="2">
        <v>1E-3</v>
      </c>
      <c r="L464" s="2">
        <v>261.37</v>
      </c>
      <c r="M464" s="2">
        <v>2495.4499999999998</v>
      </c>
    </row>
    <row r="465" spans="1:13" ht="15.75" x14ac:dyDescent="0.25">
      <c r="A465" s="2">
        <v>3010</v>
      </c>
      <c r="B465" s="2">
        <v>1220</v>
      </c>
      <c r="C465" s="2" t="s">
        <v>30</v>
      </c>
      <c r="D465" s="2" t="s">
        <v>20</v>
      </c>
      <c r="E465" s="2" t="s">
        <v>21</v>
      </c>
      <c r="F465" s="2" t="s">
        <v>15</v>
      </c>
      <c r="G465" s="2">
        <v>88</v>
      </c>
      <c r="H465" s="4" t="s">
        <v>37</v>
      </c>
      <c r="I465" s="2">
        <v>2311</v>
      </c>
      <c r="J465" s="2">
        <v>8.8800000000000008</v>
      </c>
      <c r="K465" s="2">
        <v>1E-3</v>
      </c>
      <c r="L465" s="2">
        <v>341.85</v>
      </c>
      <c r="M465" s="2">
        <v>2669.79</v>
      </c>
    </row>
    <row r="466" spans="1:13" ht="15.75" x14ac:dyDescent="0.25">
      <c r="A466" s="2">
        <v>3013</v>
      </c>
      <c r="B466" s="2">
        <v>1143</v>
      </c>
      <c r="C466" s="2" t="s">
        <v>13</v>
      </c>
      <c r="D466" s="2" t="s">
        <v>14</v>
      </c>
      <c r="E466" s="2" t="s">
        <v>15</v>
      </c>
      <c r="F466" s="2" t="s">
        <v>15</v>
      </c>
      <c r="G466" s="2">
        <v>0</v>
      </c>
      <c r="H466" s="4" t="s">
        <v>37</v>
      </c>
      <c r="I466" s="2">
        <v>2311</v>
      </c>
      <c r="J466" s="2">
        <v>2.21</v>
      </c>
      <c r="K466" s="2">
        <v>302.81</v>
      </c>
      <c r="L466" s="2">
        <v>241.61</v>
      </c>
      <c r="M466" s="2">
        <v>607.98</v>
      </c>
    </row>
    <row r="467" spans="1:13" ht="15.75" x14ac:dyDescent="0.25">
      <c r="A467" s="2">
        <v>3013</v>
      </c>
      <c r="B467" s="2">
        <v>1143</v>
      </c>
      <c r="C467" s="2" t="s">
        <v>13</v>
      </c>
      <c r="D467" s="2" t="s">
        <v>14</v>
      </c>
      <c r="E467" s="2" t="s">
        <v>15</v>
      </c>
      <c r="F467" s="2" t="s">
        <v>15</v>
      </c>
      <c r="G467" s="2">
        <v>14</v>
      </c>
      <c r="H467" s="4" t="s">
        <v>37</v>
      </c>
      <c r="I467" s="2">
        <v>2311</v>
      </c>
      <c r="J467" s="2">
        <v>6</v>
      </c>
      <c r="K467" s="2">
        <v>145.31</v>
      </c>
      <c r="L467" s="2">
        <v>233.74</v>
      </c>
      <c r="M467" s="2">
        <v>336.97</v>
      </c>
    </row>
    <row r="468" spans="1:13" ht="15.75" x14ac:dyDescent="0.25">
      <c r="A468" s="2">
        <v>3013</v>
      </c>
      <c r="B468" s="2">
        <v>1143</v>
      </c>
      <c r="C468" s="2" t="s">
        <v>13</v>
      </c>
      <c r="D468" s="2" t="s">
        <v>14</v>
      </c>
      <c r="E468" s="2" t="s">
        <v>15</v>
      </c>
      <c r="F468" s="2" t="s">
        <v>15</v>
      </c>
      <c r="G468" s="2">
        <v>60</v>
      </c>
      <c r="H468" s="4" t="s">
        <v>37</v>
      </c>
      <c r="I468" s="2">
        <v>2311</v>
      </c>
      <c r="J468" s="2">
        <v>2.71</v>
      </c>
      <c r="K468" s="2">
        <v>1E-3</v>
      </c>
      <c r="L468" s="2">
        <v>171.67</v>
      </c>
      <c r="M468" s="2">
        <v>321.31</v>
      </c>
    </row>
    <row r="469" spans="1:13" ht="15.75" x14ac:dyDescent="0.25">
      <c r="A469" s="2">
        <v>3013</v>
      </c>
      <c r="B469" s="2">
        <v>1143</v>
      </c>
      <c r="C469" s="2" t="s">
        <v>13</v>
      </c>
      <c r="D469" s="2" t="s">
        <v>14</v>
      </c>
      <c r="E469" s="2" t="s">
        <v>15</v>
      </c>
      <c r="F469" s="2" t="s">
        <v>15</v>
      </c>
      <c r="G469" s="2">
        <v>88</v>
      </c>
      <c r="H469" s="4" t="s">
        <v>37</v>
      </c>
      <c r="I469" s="2">
        <v>2311</v>
      </c>
      <c r="J469" s="2">
        <v>3.69</v>
      </c>
      <c r="K469" s="2">
        <v>36.35</v>
      </c>
      <c r="L469" s="2">
        <v>417.56</v>
      </c>
      <c r="M469" s="2">
        <v>637.22</v>
      </c>
    </row>
    <row r="470" spans="1:13" ht="15.75" x14ac:dyDescent="0.25">
      <c r="A470" s="2">
        <v>3014</v>
      </c>
      <c r="B470" s="2">
        <v>1104</v>
      </c>
      <c r="C470" s="2" t="s">
        <v>25</v>
      </c>
      <c r="D470" s="2" t="s">
        <v>23</v>
      </c>
      <c r="E470" s="2" t="s">
        <v>21</v>
      </c>
      <c r="F470" s="2" t="s">
        <v>24</v>
      </c>
      <c r="G470" s="2">
        <v>0</v>
      </c>
      <c r="H470" s="4" t="s">
        <v>37</v>
      </c>
      <c r="I470" s="2">
        <v>2311</v>
      </c>
      <c r="J470" s="2">
        <v>7.65</v>
      </c>
      <c r="K470" s="2">
        <v>171.09</v>
      </c>
      <c r="L470" s="2">
        <v>228.24</v>
      </c>
      <c r="M470" s="2">
        <v>409.22</v>
      </c>
    </row>
    <row r="471" spans="1:13" ht="15.75" x14ac:dyDescent="0.25">
      <c r="A471" s="2">
        <v>3014</v>
      </c>
      <c r="B471" s="2">
        <v>1104</v>
      </c>
      <c r="C471" s="2" t="s">
        <v>25</v>
      </c>
      <c r="D471" s="2" t="s">
        <v>23</v>
      </c>
      <c r="E471" s="2" t="s">
        <v>21</v>
      </c>
      <c r="F471" s="2" t="s">
        <v>24</v>
      </c>
      <c r="G471" s="2">
        <v>14</v>
      </c>
      <c r="H471" s="4" t="s">
        <v>37</v>
      </c>
      <c r="I471" s="2">
        <v>2311</v>
      </c>
      <c r="J471" s="2">
        <v>7.59</v>
      </c>
      <c r="K471" s="2">
        <v>155.36000000000001</v>
      </c>
      <c r="L471" s="2">
        <v>231.86</v>
      </c>
      <c r="M471" s="2">
        <v>363.82</v>
      </c>
    </row>
    <row r="472" spans="1:13" ht="15.75" x14ac:dyDescent="0.25">
      <c r="A472" s="2">
        <v>3014</v>
      </c>
      <c r="B472" s="2">
        <v>1104</v>
      </c>
      <c r="C472" s="2" t="s">
        <v>25</v>
      </c>
      <c r="D472" s="2" t="s">
        <v>23</v>
      </c>
      <c r="E472" s="2" t="s">
        <v>21</v>
      </c>
      <c r="F472" s="2" t="s">
        <v>24</v>
      </c>
      <c r="G472" s="2">
        <v>60</v>
      </c>
      <c r="H472" s="4" t="s">
        <v>37</v>
      </c>
      <c r="I472" s="2">
        <v>2311</v>
      </c>
      <c r="J472" s="2">
        <v>1.62</v>
      </c>
      <c r="K472" s="2">
        <v>147.05000000000001</v>
      </c>
      <c r="L472" s="2">
        <v>92.87</v>
      </c>
      <c r="M472" s="2">
        <v>554.08000000000004</v>
      </c>
    </row>
    <row r="473" spans="1:13" ht="15.75" x14ac:dyDescent="0.25">
      <c r="A473" s="2">
        <v>3014</v>
      </c>
      <c r="B473" s="2">
        <v>1104</v>
      </c>
      <c r="C473" s="2" t="s">
        <v>25</v>
      </c>
      <c r="D473" s="2" t="s">
        <v>23</v>
      </c>
      <c r="E473" s="2" t="s">
        <v>21</v>
      </c>
      <c r="F473" s="2" t="s">
        <v>24</v>
      </c>
      <c r="G473" s="2">
        <v>88</v>
      </c>
      <c r="H473" s="4" t="s">
        <v>37</v>
      </c>
      <c r="I473" s="2">
        <v>2311</v>
      </c>
      <c r="J473" s="2">
        <v>7.2</v>
      </c>
      <c r="K473" s="2">
        <v>142.76</v>
      </c>
      <c r="L473" s="2">
        <v>165.71</v>
      </c>
      <c r="M473" s="2">
        <v>1021.88</v>
      </c>
    </row>
    <row r="474" spans="1:13" ht="15.75" x14ac:dyDescent="0.25">
      <c r="A474" s="2">
        <v>3015</v>
      </c>
      <c r="B474" s="2">
        <v>1119</v>
      </c>
      <c r="C474" s="2" t="s">
        <v>44</v>
      </c>
      <c r="D474" s="2" t="s">
        <v>20</v>
      </c>
      <c r="E474" s="2" t="s">
        <v>21</v>
      </c>
      <c r="F474" s="2" t="s">
        <v>15</v>
      </c>
      <c r="G474" s="2">
        <v>0</v>
      </c>
      <c r="H474" s="4" t="s">
        <v>37</v>
      </c>
      <c r="I474" s="2">
        <v>2311</v>
      </c>
      <c r="J474" s="2">
        <v>5.19</v>
      </c>
      <c r="K474" s="2">
        <v>13.54</v>
      </c>
      <c r="L474" s="2">
        <v>283.16000000000003</v>
      </c>
      <c r="M474" s="2">
        <v>1219.98</v>
      </c>
    </row>
    <row r="475" spans="1:13" ht="15.75" x14ac:dyDescent="0.25">
      <c r="A475" s="2">
        <v>3015</v>
      </c>
      <c r="B475" s="2">
        <v>1119</v>
      </c>
      <c r="C475" s="2" t="s">
        <v>44</v>
      </c>
      <c r="D475" s="2" t="s">
        <v>20</v>
      </c>
      <c r="E475" s="2" t="s">
        <v>21</v>
      </c>
      <c r="F475" s="2" t="s">
        <v>15</v>
      </c>
      <c r="G475" s="2">
        <v>14</v>
      </c>
      <c r="H475" s="4" t="s">
        <v>37</v>
      </c>
      <c r="I475" s="2">
        <v>2311</v>
      </c>
      <c r="J475" s="2">
        <v>6.16</v>
      </c>
      <c r="K475" s="2">
        <v>1E-3</v>
      </c>
      <c r="L475" s="2">
        <v>187.91</v>
      </c>
      <c r="M475" s="2">
        <v>369.28</v>
      </c>
    </row>
    <row r="476" spans="1:13" ht="15.75" x14ac:dyDescent="0.25">
      <c r="A476" s="2">
        <v>3015</v>
      </c>
      <c r="B476" s="2">
        <v>1119</v>
      </c>
      <c r="C476" s="2" t="s">
        <v>44</v>
      </c>
      <c r="D476" s="2" t="s">
        <v>20</v>
      </c>
      <c r="E476" s="2" t="s">
        <v>21</v>
      </c>
      <c r="F476" s="2" t="s">
        <v>15</v>
      </c>
      <c r="G476" s="2">
        <v>60</v>
      </c>
      <c r="H476" s="4" t="s">
        <v>37</v>
      </c>
      <c r="I476" s="2">
        <v>2311</v>
      </c>
      <c r="J476" s="2">
        <v>8</v>
      </c>
      <c r="K476" s="2">
        <v>116.03</v>
      </c>
      <c r="L476" s="2">
        <v>2291.92</v>
      </c>
      <c r="M476" s="2">
        <v>62421.88</v>
      </c>
    </row>
    <row r="477" spans="1:13" ht="15.75" x14ac:dyDescent="0.25">
      <c r="A477" s="2">
        <v>3015</v>
      </c>
      <c r="B477" s="2">
        <v>1119</v>
      </c>
      <c r="C477" s="2" t="s">
        <v>44</v>
      </c>
      <c r="D477" s="2" t="s">
        <v>20</v>
      </c>
      <c r="E477" s="2" t="s">
        <v>21</v>
      </c>
      <c r="F477" s="2" t="s">
        <v>15</v>
      </c>
      <c r="G477" s="2">
        <v>88</v>
      </c>
      <c r="H477" s="4" t="s">
        <v>37</v>
      </c>
      <c r="I477" s="2">
        <v>2311</v>
      </c>
      <c r="J477" s="2">
        <v>1.64</v>
      </c>
      <c r="K477" s="2">
        <v>13.54</v>
      </c>
      <c r="L477" s="2">
        <v>198.68</v>
      </c>
      <c r="M477" s="2">
        <v>1245.05</v>
      </c>
    </row>
    <row r="478" spans="1:13" ht="15.75" x14ac:dyDescent="0.25">
      <c r="A478" s="2">
        <v>3016</v>
      </c>
      <c r="B478" s="2">
        <v>1225</v>
      </c>
      <c r="C478" s="2" t="s">
        <v>18</v>
      </c>
      <c r="D478" s="2" t="s">
        <v>14</v>
      </c>
      <c r="E478" s="2" t="s">
        <v>15</v>
      </c>
      <c r="F478" s="2" t="s">
        <v>15</v>
      </c>
      <c r="G478" s="2">
        <v>0</v>
      </c>
      <c r="H478" s="4" t="s">
        <v>37</v>
      </c>
      <c r="I478" s="2">
        <v>2311</v>
      </c>
      <c r="J478" s="2">
        <v>5.3</v>
      </c>
      <c r="K478" s="2">
        <v>32.71</v>
      </c>
      <c r="L478" s="2">
        <v>378.02</v>
      </c>
      <c r="M478" s="2">
        <v>3627.28</v>
      </c>
    </row>
    <row r="479" spans="1:13" ht="15.75" x14ac:dyDescent="0.25">
      <c r="A479" s="2">
        <v>3016</v>
      </c>
      <c r="B479" s="2">
        <v>1225</v>
      </c>
      <c r="C479" s="2" t="s">
        <v>18</v>
      </c>
      <c r="D479" s="2" t="s">
        <v>14</v>
      </c>
      <c r="E479" s="2" t="s">
        <v>15</v>
      </c>
      <c r="F479" s="2" t="s">
        <v>15</v>
      </c>
      <c r="G479" s="2">
        <v>14</v>
      </c>
      <c r="H479" s="4" t="s">
        <v>37</v>
      </c>
      <c r="I479" s="2">
        <v>2311</v>
      </c>
      <c r="J479" s="2">
        <v>5.18</v>
      </c>
      <c r="K479" s="2">
        <v>1E-3</v>
      </c>
      <c r="L479" s="2">
        <v>256.13</v>
      </c>
      <c r="M479" s="2">
        <v>680.87</v>
      </c>
    </row>
    <row r="480" spans="1:13" ht="15.75" x14ac:dyDescent="0.25">
      <c r="A480" s="2">
        <v>3016</v>
      </c>
      <c r="B480" s="2">
        <v>1225</v>
      </c>
      <c r="C480" s="2" t="s">
        <v>18</v>
      </c>
      <c r="D480" s="2" t="s">
        <v>14</v>
      </c>
      <c r="E480" s="2" t="s">
        <v>15</v>
      </c>
      <c r="F480" s="2" t="s">
        <v>15</v>
      </c>
      <c r="G480" s="2">
        <v>60</v>
      </c>
      <c r="H480" s="4" t="s">
        <v>37</v>
      </c>
      <c r="I480" s="2">
        <v>2311</v>
      </c>
      <c r="J480" s="2">
        <v>7.16</v>
      </c>
      <c r="K480" s="2">
        <v>1E-3</v>
      </c>
      <c r="L480" s="2">
        <v>164.22</v>
      </c>
      <c r="M480" s="2">
        <v>549.09</v>
      </c>
    </row>
    <row r="481" spans="1:13" ht="15.75" x14ac:dyDescent="0.25">
      <c r="A481" s="2">
        <v>3016</v>
      </c>
      <c r="B481" s="2">
        <v>1225</v>
      </c>
      <c r="C481" s="2" t="s">
        <v>18</v>
      </c>
      <c r="D481" s="2" t="s">
        <v>14</v>
      </c>
      <c r="E481" s="2" t="s">
        <v>15</v>
      </c>
      <c r="F481" s="2" t="s">
        <v>15</v>
      </c>
      <c r="G481" s="2">
        <v>88</v>
      </c>
      <c r="H481" s="4" t="s">
        <v>37</v>
      </c>
      <c r="I481" s="2">
        <v>2311</v>
      </c>
      <c r="J481" s="2">
        <v>7.73</v>
      </c>
      <c r="K481" s="2">
        <v>1E-3</v>
      </c>
      <c r="L481" s="2">
        <v>273.17</v>
      </c>
      <c r="M481" s="2">
        <v>3025.69</v>
      </c>
    </row>
    <row r="482" spans="1:13" ht="15.75" x14ac:dyDescent="0.25">
      <c r="A482" s="2">
        <v>3017</v>
      </c>
      <c r="B482" s="2">
        <v>1221</v>
      </c>
      <c r="C482" s="2" t="s">
        <v>25</v>
      </c>
      <c r="D482" s="2" t="s">
        <v>23</v>
      </c>
      <c r="E482" s="2" t="s">
        <v>21</v>
      </c>
      <c r="F482" s="2" t="s">
        <v>24</v>
      </c>
      <c r="G482" s="2">
        <v>0</v>
      </c>
      <c r="H482" s="4" t="s">
        <v>37</v>
      </c>
      <c r="I482" s="2">
        <v>2311</v>
      </c>
      <c r="J482" s="2">
        <v>3</v>
      </c>
      <c r="K482" s="2">
        <v>245.15</v>
      </c>
      <c r="L482" s="2">
        <v>555.54999999999995</v>
      </c>
      <c r="M482" s="2">
        <v>2995.38</v>
      </c>
    </row>
    <row r="483" spans="1:13" ht="15.75" x14ac:dyDescent="0.25">
      <c r="A483" s="2">
        <v>3017</v>
      </c>
      <c r="B483" s="2">
        <v>1221</v>
      </c>
      <c r="C483" s="2" t="s">
        <v>25</v>
      </c>
      <c r="D483" s="2" t="s">
        <v>23</v>
      </c>
      <c r="E483" s="2" t="s">
        <v>21</v>
      </c>
      <c r="F483" s="2" t="s">
        <v>24</v>
      </c>
      <c r="G483" s="2">
        <v>14</v>
      </c>
      <c r="H483" s="4" t="s">
        <v>37</v>
      </c>
      <c r="I483" s="2">
        <v>2311</v>
      </c>
      <c r="J483" s="2">
        <v>2.15</v>
      </c>
      <c r="K483" s="2">
        <v>203.09</v>
      </c>
      <c r="L483" s="2">
        <v>212.35</v>
      </c>
      <c r="M483" s="2">
        <v>1021.88</v>
      </c>
    </row>
    <row r="484" spans="1:13" ht="15.75" x14ac:dyDescent="0.25">
      <c r="A484" s="2">
        <v>3017</v>
      </c>
      <c r="B484" s="2">
        <v>1221</v>
      </c>
      <c r="C484" s="2" t="s">
        <v>25</v>
      </c>
      <c r="D484" s="2" t="s">
        <v>23</v>
      </c>
      <c r="E484" s="2" t="s">
        <v>21</v>
      </c>
      <c r="F484" s="2" t="s">
        <v>24</v>
      </c>
      <c r="G484" s="2">
        <v>60</v>
      </c>
      <c r="H484" s="4" t="s">
        <v>37</v>
      </c>
      <c r="I484" s="2">
        <v>2311</v>
      </c>
      <c r="J484" s="2">
        <v>1.92</v>
      </c>
      <c r="K484" s="2">
        <v>252.37</v>
      </c>
      <c r="L484" s="2">
        <v>207.35</v>
      </c>
      <c r="M484" s="2">
        <v>878.32</v>
      </c>
    </row>
    <row r="485" spans="1:13" ht="15.75" x14ac:dyDescent="0.25">
      <c r="A485" s="2">
        <v>3017</v>
      </c>
      <c r="B485" s="2">
        <v>1221</v>
      </c>
      <c r="C485" s="2" t="s">
        <v>25</v>
      </c>
      <c r="D485" s="2" t="s">
        <v>23</v>
      </c>
      <c r="E485" s="2" t="s">
        <v>21</v>
      </c>
      <c r="F485" s="2" t="s">
        <v>24</v>
      </c>
      <c r="G485" s="2">
        <v>88</v>
      </c>
      <c r="H485" s="4" t="s">
        <v>37</v>
      </c>
      <c r="I485" s="2">
        <v>2311</v>
      </c>
      <c r="J485" s="2">
        <v>1.77</v>
      </c>
      <c r="K485" s="2">
        <v>422.94</v>
      </c>
      <c r="L485" s="2">
        <v>493.79</v>
      </c>
      <c r="M485" s="2">
        <v>932.19</v>
      </c>
    </row>
    <row r="486" spans="1:13" ht="15.75" x14ac:dyDescent="0.25">
      <c r="A486" s="2">
        <v>3018</v>
      </c>
      <c r="B486" s="2">
        <v>1131</v>
      </c>
      <c r="C486" s="2" t="s">
        <v>18</v>
      </c>
      <c r="D486" s="2" t="s">
        <v>14</v>
      </c>
      <c r="E486" s="2" t="s">
        <v>15</v>
      </c>
      <c r="F486" s="2" t="s">
        <v>15</v>
      </c>
      <c r="G486" s="2">
        <v>0</v>
      </c>
      <c r="H486" s="4" t="s">
        <v>37</v>
      </c>
      <c r="I486" s="2">
        <v>2311</v>
      </c>
      <c r="J486" s="2">
        <v>6.29</v>
      </c>
      <c r="K486" s="2">
        <v>52.47</v>
      </c>
      <c r="L486" s="2">
        <v>291.91000000000003</v>
      </c>
      <c r="M486" s="2">
        <v>1843.42</v>
      </c>
    </row>
    <row r="487" spans="1:13" ht="15.75" x14ac:dyDescent="0.25">
      <c r="A487" s="2">
        <v>3018</v>
      </c>
      <c r="B487" s="2">
        <v>1131</v>
      </c>
      <c r="C487" s="2" t="s">
        <v>18</v>
      </c>
      <c r="D487" s="2" t="s">
        <v>14</v>
      </c>
      <c r="E487" s="2" t="s">
        <v>15</v>
      </c>
      <c r="F487" s="2" t="s">
        <v>15</v>
      </c>
      <c r="G487" s="2">
        <v>14</v>
      </c>
      <c r="H487" s="4" t="s">
        <v>37</v>
      </c>
      <c r="I487" s="2">
        <v>2311</v>
      </c>
      <c r="J487" s="2">
        <v>2.59</v>
      </c>
      <c r="K487" s="2">
        <v>1E-3</v>
      </c>
      <c r="L487" s="2">
        <v>114.02</v>
      </c>
      <c r="M487" s="2">
        <v>268.27</v>
      </c>
    </row>
    <row r="488" spans="1:13" ht="15.75" x14ac:dyDescent="0.25">
      <c r="A488" s="2">
        <v>3018</v>
      </c>
      <c r="B488" s="2">
        <v>1131</v>
      </c>
      <c r="C488" s="2" t="s">
        <v>18</v>
      </c>
      <c r="D488" s="2" t="s">
        <v>14</v>
      </c>
      <c r="E488" s="2" t="s">
        <v>15</v>
      </c>
      <c r="F488" s="2" t="s">
        <v>15</v>
      </c>
      <c r="G488" s="2">
        <v>60</v>
      </c>
      <c r="H488" s="4" t="s">
        <v>37</v>
      </c>
      <c r="I488" s="2">
        <v>2311</v>
      </c>
      <c r="J488" s="2">
        <v>3.46</v>
      </c>
      <c r="K488" s="2">
        <v>155.5</v>
      </c>
      <c r="L488" s="2">
        <v>134.66999999999999</v>
      </c>
      <c r="M488" s="2">
        <v>982.23</v>
      </c>
    </row>
    <row r="489" spans="1:13" ht="15.75" x14ac:dyDescent="0.25">
      <c r="A489" s="2">
        <v>3018</v>
      </c>
      <c r="B489" s="2">
        <v>1131</v>
      </c>
      <c r="C489" s="2" t="s">
        <v>18</v>
      </c>
      <c r="D489" s="2" t="s">
        <v>14</v>
      </c>
      <c r="E489" s="2" t="s">
        <v>15</v>
      </c>
      <c r="F489" s="2" t="s">
        <v>15</v>
      </c>
      <c r="G489" s="2">
        <v>88</v>
      </c>
      <c r="H489" s="4" t="s">
        <v>37</v>
      </c>
      <c r="I489" s="2">
        <v>2311</v>
      </c>
      <c r="J489" s="2">
        <v>3.26</v>
      </c>
      <c r="K489" s="2">
        <v>32.97</v>
      </c>
      <c r="L489" s="2">
        <v>245.64</v>
      </c>
      <c r="M489" s="2">
        <v>268.27</v>
      </c>
    </row>
    <row r="490" spans="1:13" ht="15.75" x14ac:dyDescent="0.25">
      <c r="A490" s="2">
        <v>3019</v>
      </c>
      <c r="B490" s="2">
        <v>1117</v>
      </c>
      <c r="C490" s="2" t="s">
        <v>45</v>
      </c>
      <c r="D490" s="2" t="s">
        <v>14</v>
      </c>
      <c r="E490" s="2" t="s">
        <v>15</v>
      </c>
      <c r="F490" s="2" t="s">
        <v>15</v>
      </c>
      <c r="G490" s="2">
        <v>0</v>
      </c>
      <c r="H490" s="4" t="s">
        <v>37</v>
      </c>
      <c r="I490" s="2">
        <v>2311</v>
      </c>
      <c r="J490" s="2">
        <v>15.2</v>
      </c>
      <c r="K490" s="2">
        <v>1E-3</v>
      </c>
      <c r="L490" s="2">
        <v>559.66999999999996</v>
      </c>
      <c r="M490" s="2">
        <v>3086.34</v>
      </c>
    </row>
    <row r="491" spans="1:13" ht="15.75" x14ac:dyDescent="0.25">
      <c r="A491" s="2">
        <v>3019</v>
      </c>
      <c r="B491" s="2">
        <v>1117</v>
      </c>
      <c r="C491" s="2" t="s">
        <v>45</v>
      </c>
      <c r="D491" s="2" t="s">
        <v>14</v>
      </c>
      <c r="E491" s="2" t="s">
        <v>15</v>
      </c>
      <c r="F491" s="2" t="s">
        <v>15</v>
      </c>
      <c r="G491" s="2">
        <v>14</v>
      </c>
      <c r="H491" s="4" t="s">
        <v>37</v>
      </c>
      <c r="I491" s="2">
        <v>2311</v>
      </c>
      <c r="J491" s="2">
        <v>31.41</v>
      </c>
      <c r="K491" s="2">
        <v>27.5</v>
      </c>
      <c r="L491" s="2">
        <v>782.82</v>
      </c>
      <c r="M491" s="2">
        <v>5893.97</v>
      </c>
    </row>
    <row r="492" spans="1:13" ht="15.75" x14ac:dyDescent="0.25">
      <c r="A492" s="2">
        <v>3019</v>
      </c>
      <c r="B492" s="2">
        <v>1117</v>
      </c>
      <c r="C492" s="2" t="s">
        <v>45</v>
      </c>
      <c r="D492" s="2" t="s">
        <v>14</v>
      </c>
      <c r="E492" s="2" t="s">
        <v>15</v>
      </c>
      <c r="F492" s="2" t="s">
        <v>15</v>
      </c>
      <c r="G492" s="2">
        <v>60</v>
      </c>
      <c r="H492" s="4" t="s">
        <v>37</v>
      </c>
      <c r="I492" s="2">
        <v>2311</v>
      </c>
      <c r="J492" s="2">
        <v>6.69</v>
      </c>
      <c r="K492" s="2">
        <v>17.66</v>
      </c>
      <c r="L492" s="2">
        <v>1465.97</v>
      </c>
      <c r="M492" s="2">
        <v>24980.81</v>
      </c>
    </row>
    <row r="493" spans="1:13" ht="15.75" x14ac:dyDescent="0.25">
      <c r="A493" s="2">
        <v>3019</v>
      </c>
      <c r="B493" s="2">
        <v>1117</v>
      </c>
      <c r="C493" s="2" t="s">
        <v>45</v>
      </c>
      <c r="D493" s="2" t="s">
        <v>14</v>
      </c>
      <c r="E493" s="2" t="s">
        <v>15</v>
      </c>
      <c r="F493" s="2" t="s">
        <v>15</v>
      </c>
      <c r="G493" s="2">
        <v>88</v>
      </c>
      <c r="H493" s="4" t="s">
        <v>37</v>
      </c>
      <c r="I493" s="2">
        <v>2311</v>
      </c>
      <c r="J493" s="2">
        <v>9.76</v>
      </c>
      <c r="K493" s="2">
        <v>1E-3</v>
      </c>
      <c r="L493" s="2">
        <v>1064.1099999999999</v>
      </c>
      <c r="M493" s="2">
        <v>14330.04</v>
      </c>
    </row>
    <row r="494" spans="1:13" ht="15.75" x14ac:dyDescent="0.25">
      <c r="A494" s="2">
        <v>3021</v>
      </c>
      <c r="B494" s="2">
        <v>1120</v>
      </c>
      <c r="C494" s="2" t="s">
        <v>25</v>
      </c>
      <c r="D494" s="2" t="s">
        <v>23</v>
      </c>
      <c r="E494" s="2" t="s">
        <v>21</v>
      </c>
      <c r="F494" s="2" t="s">
        <v>24</v>
      </c>
      <c r="G494" s="2">
        <v>0</v>
      </c>
      <c r="H494" s="4" t="s">
        <v>37</v>
      </c>
      <c r="I494" s="2">
        <v>2311</v>
      </c>
      <c r="J494" s="2">
        <v>10.37</v>
      </c>
      <c r="K494" s="2">
        <v>129.26</v>
      </c>
      <c r="L494" s="2">
        <v>481.5</v>
      </c>
      <c r="M494" s="2">
        <v>536</v>
      </c>
    </row>
    <row r="495" spans="1:13" ht="15.75" x14ac:dyDescent="0.25">
      <c r="A495" s="2">
        <v>3021</v>
      </c>
      <c r="B495" s="2">
        <v>1120</v>
      </c>
      <c r="C495" s="2" t="s">
        <v>25</v>
      </c>
      <c r="D495" s="2" t="s">
        <v>23</v>
      </c>
      <c r="E495" s="2" t="s">
        <v>21</v>
      </c>
      <c r="F495" s="2" t="s">
        <v>24</v>
      </c>
      <c r="G495" s="2">
        <v>14</v>
      </c>
      <c r="H495" s="4" t="s">
        <v>37</v>
      </c>
      <c r="I495" s="2">
        <v>2311</v>
      </c>
      <c r="J495" s="2">
        <v>4.8499999999999996</v>
      </c>
      <c r="K495" s="2">
        <v>142.76</v>
      </c>
      <c r="L495" s="2">
        <v>189.11</v>
      </c>
      <c r="M495" s="2">
        <v>734.45</v>
      </c>
    </row>
    <row r="496" spans="1:13" ht="15.75" x14ac:dyDescent="0.25">
      <c r="A496" s="2">
        <v>3021</v>
      </c>
      <c r="B496" s="2">
        <v>1120</v>
      </c>
      <c r="C496" s="2" t="s">
        <v>25</v>
      </c>
      <c r="D496" s="2" t="s">
        <v>23</v>
      </c>
      <c r="E496" s="2" t="s">
        <v>21</v>
      </c>
      <c r="F496" s="2" t="s">
        <v>24</v>
      </c>
      <c r="G496" s="2">
        <v>60</v>
      </c>
      <c r="H496" s="4" t="s">
        <v>37</v>
      </c>
      <c r="I496" s="2">
        <v>2311</v>
      </c>
      <c r="J496" s="2">
        <v>14.72</v>
      </c>
      <c r="K496" s="2">
        <v>136.13</v>
      </c>
      <c r="L496" s="2">
        <v>208.72</v>
      </c>
      <c r="M496" s="2">
        <v>2056.37</v>
      </c>
    </row>
    <row r="497" spans="1:13" ht="15.75" x14ac:dyDescent="0.25">
      <c r="A497" s="2">
        <v>3021</v>
      </c>
      <c r="B497" s="2">
        <v>1120</v>
      </c>
      <c r="C497" s="2" t="s">
        <v>25</v>
      </c>
      <c r="D497" s="2" t="s">
        <v>23</v>
      </c>
      <c r="E497" s="2" t="s">
        <v>21</v>
      </c>
      <c r="F497" s="2" t="s">
        <v>24</v>
      </c>
      <c r="G497" s="2">
        <v>88</v>
      </c>
      <c r="H497" s="4" t="s">
        <v>37</v>
      </c>
      <c r="I497" s="2">
        <v>2311</v>
      </c>
      <c r="J497" s="2">
        <v>10.37</v>
      </c>
      <c r="K497" s="2">
        <v>124.53</v>
      </c>
      <c r="L497" s="2">
        <v>339.6</v>
      </c>
      <c r="M497" s="2">
        <v>797.44</v>
      </c>
    </row>
    <row r="498" spans="1:13" ht="15.75" x14ac:dyDescent="0.25">
      <c r="A498" s="2">
        <v>3022</v>
      </c>
      <c r="B498" s="2">
        <v>1112</v>
      </c>
      <c r="C498" s="2" t="s">
        <v>44</v>
      </c>
      <c r="D498" s="2" t="s">
        <v>20</v>
      </c>
      <c r="E498" s="2" t="s">
        <v>21</v>
      </c>
      <c r="F498" s="2" t="s">
        <v>15</v>
      </c>
      <c r="G498" s="2">
        <v>0</v>
      </c>
      <c r="H498" s="4" t="s">
        <v>37</v>
      </c>
      <c r="I498" s="2">
        <v>2311</v>
      </c>
      <c r="J498" s="2">
        <v>3.26</v>
      </c>
      <c r="K498" s="2">
        <v>8.43</v>
      </c>
      <c r="L498" s="2">
        <v>559.28</v>
      </c>
      <c r="M498" s="2">
        <v>6962.01</v>
      </c>
    </row>
    <row r="499" spans="1:13" ht="15.75" x14ac:dyDescent="0.25">
      <c r="A499" s="2">
        <v>3022</v>
      </c>
      <c r="B499" s="2">
        <v>1112</v>
      </c>
      <c r="C499" s="2" t="s">
        <v>44</v>
      </c>
      <c r="D499" s="2" t="s">
        <v>20</v>
      </c>
      <c r="E499" s="2" t="s">
        <v>21</v>
      </c>
      <c r="F499" s="2" t="s">
        <v>15</v>
      </c>
      <c r="G499" s="2">
        <v>14</v>
      </c>
      <c r="H499" s="4" t="s">
        <v>37</v>
      </c>
      <c r="I499" s="2">
        <v>2311</v>
      </c>
      <c r="J499" s="2">
        <v>8.1</v>
      </c>
      <c r="K499" s="2">
        <v>1E-3</v>
      </c>
      <c r="L499" s="2">
        <v>473.08</v>
      </c>
      <c r="M499" s="2">
        <v>7419.63</v>
      </c>
    </row>
    <row r="500" spans="1:13" ht="15.75" x14ac:dyDescent="0.25">
      <c r="A500" s="2">
        <v>3022</v>
      </c>
      <c r="B500" s="2">
        <v>1112</v>
      </c>
      <c r="C500" s="2" t="s">
        <v>44</v>
      </c>
      <c r="D500" s="2" t="s">
        <v>20</v>
      </c>
      <c r="E500" s="2" t="s">
        <v>21</v>
      </c>
      <c r="F500" s="2" t="s">
        <v>15</v>
      </c>
      <c r="G500" s="2">
        <v>60</v>
      </c>
      <c r="H500" s="4" t="s">
        <v>37</v>
      </c>
      <c r="I500" s="2">
        <v>2311</v>
      </c>
      <c r="J500" s="2">
        <v>1.59</v>
      </c>
      <c r="K500" s="2">
        <v>1E-3</v>
      </c>
      <c r="L500" s="2">
        <v>207.97</v>
      </c>
      <c r="M500" s="2">
        <v>994.73</v>
      </c>
    </row>
    <row r="501" spans="1:13" ht="15.75" x14ac:dyDescent="0.25">
      <c r="A501" s="2">
        <v>3022</v>
      </c>
      <c r="B501" s="2">
        <v>1112</v>
      </c>
      <c r="C501" s="2" t="s">
        <v>44</v>
      </c>
      <c r="D501" s="2" t="s">
        <v>20</v>
      </c>
      <c r="E501" s="2" t="s">
        <v>21</v>
      </c>
      <c r="F501" s="2" t="s">
        <v>15</v>
      </c>
      <c r="G501" s="2">
        <v>88</v>
      </c>
      <c r="H501" s="4" t="s">
        <v>37</v>
      </c>
      <c r="I501" s="2">
        <v>2311</v>
      </c>
      <c r="J501" s="2">
        <v>4.42</v>
      </c>
      <c r="K501" s="2">
        <v>1E-3</v>
      </c>
      <c r="L501" s="2">
        <v>698.13</v>
      </c>
      <c r="M501" s="2">
        <v>1025.98</v>
      </c>
    </row>
    <row r="502" spans="1:13" ht="15.75" x14ac:dyDescent="0.25">
      <c r="A502" s="2">
        <v>3112</v>
      </c>
      <c r="B502" s="2">
        <v>213</v>
      </c>
      <c r="C502" s="2" t="s">
        <v>30</v>
      </c>
      <c r="D502" s="2" t="s">
        <v>20</v>
      </c>
      <c r="E502" s="2" t="s">
        <v>21</v>
      </c>
      <c r="F502" s="2" t="s">
        <v>15</v>
      </c>
      <c r="G502" s="2">
        <v>0</v>
      </c>
      <c r="H502" s="4" t="s">
        <v>37</v>
      </c>
      <c r="I502" s="2">
        <v>2311</v>
      </c>
      <c r="J502" s="2">
        <v>5.58</v>
      </c>
      <c r="K502" s="2">
        <v>1E-3</v>
      </c>
      <c r="L502" s="2">
        <v>150.91</v>
      </c>
      <c r="M502" s="2">
        <v>62.4</v>
      </c>
    </row>
    <row r="503" spans="1:13" ht="15.75" x14ac:dyDescent="0.25">
      <c r="A503" s="2">
        <v>3112</v>
      </c>
      <c r="B503" s="2">
        <v>213</v>
      </c>
      <c r="C503" s="2" t="s">
        <v>30</v>
      </c>
      <c r="D503" s="2" t="s">
        <v>20</v>
      </c>
      <c r="E503" s="2" t="s">
        <v>21</v>
      </c>
      <c r="F503" s="2" t="s">
        <v>15</v>
      </c>
      <c r="G503" s="2">
        <v>14</v>
      </c>
      <c r="H503" s="4" t="s">
        <v>37</v>
      </c>
      <c r="I503" s="2">
        <v>2311</v>
      </c>
      <c r="J503" s="2">
        <v>18.46</v>
      </c>
      <c r="K503" s="2">
        <v>27.5</v>
      </c>
      <c r="L503" s="2">
        <v>164.21</v>
      </c>
      <c r="M503" s="2">
        <v>211.08</v>
      </c>
    </row>
    <row r="504" spans="1:13" ht="15.75" x14ac:dyDescent="0.25">
      <c r="A504" s="2">
        <v>3112</v>
      </c>
      <c r="B504" s="2">
        <v>213</v>
      </c>
      <c r="C504" s="2" t="s">
        <v>30</v>
      </c>
      <c r="D504" s="2" t="s">
        <v>20</v>
      </c>
      <c r="E504" s="2" t="s">
        <v>21</v>
      </c>
      <c r="F504" s="2" t="s">
        <v>15</v>
      </c>
      <c r="G504" s="2">
        <v>60</v>
      </c>
      <c r="H504" s="4" t="s">
        <v>37</v>
      </c>
      <c r="I504" s="2">
        <v>2311</v>
      </c>
      <c r="J504" s="2">
        <v>5</v>
      </c>
      <c r="K504" s="2">
        <v>13.54</v>
      </c>
      <c r="L504" s="2">
        <v>132.09</v>
      </c>
      <c r="M504" s="2">
        <v>1345.42</v>
      </c>
    </row>
    <row r="505" spans="1:13" ht="15.75" x14ac:dyDescent="0.25">
      <c r="A505" s="2">
        <v>3112</v>
      </c>
      <c r="B505" s="2">
        <v>213</v>
      </c>
      <c r="C505" s="2" t="s">
        <v>30</v>
      </c>
      <c r="D505" s="2" t="s">
        <v>20</v>
      </c>
      <c r="E505" s="2" t="s">
        <v>21</v>
      </c>
      <c r="F505" s="2" t="s">
        <v>15</v>
      </c>
      <c r="G505" s="2">
        <v>88</v>
      </c>
      <c r="H505" s="4" t="s">
        <v>37</v>
      </c>
      <c r="I505" s="2">
        <v>2311</v>
      </c>
      <c r="J505" s="2">
        <v>8.39</v>
      </c>
      <c r="K505" s="2">
        <v>32.97</v>
      </c>
      <c r="L505" s="2">
        <v>262.49</v>
      </c>
      <c r="M505" s="2">
        <v>153.47999999999999</v>
      </c>
    </row>
    <row r="506" spans="1:13" ht="15.75" x14ac:dyDescent="0.25">
      <c r="A506" s="2">
        <v>3113</v>
      </c>
      <c r="B506" s="2">
        <v>104</v>
      </c>
      <c r="C506" s="2" t="s">
        <v>45</v>
      </c>
      <c r="D506" s="2" t="s">
        <v>14</v>
      </c>
      <c r="E506" s="2" t="s">
        <v>15</v>
      </c>
      <c r="F506" s="2" t="s">
        <v>15</v>
      </c>
      <c r="G506" s="2">
        <v>0</v>
      </c>
      <c r="H506" s="4" t="s">
        <v>37</v>
      </c>
      <c r="I506" s="2">
        <v>2311</v>
      </c>
      <c r="J506" s="2">
        <v>1.83</v>
      </c>
      <c r="K506" s="2">
        <v>56.68</v>
      </c>
      <c r="L506" s="2">
        <v>245.26</v>
      </c>
      <c r="M506" s="2">
        <v>293.58999999999997</v>
      </c>
    </row>
    <row r="507" spans="1:13" ht="15.75" x14ac:dyDescent="0.25">
      <c r="A507" s="2">
        <v>3113</v>
      </c>
      <c r="B507" s="2">
        <v>104</v>
      </c>
      <c r="C507" s="2" t="s">
        <v>45</v>
      </c>
      <c r="D507" s="2" t="s">
        <v>14</v>
      </c>
      <c r="E507" s="2" t="s">
        <v>15</v>
      </c>
      <c r="F507" s="2" t="s">
        <v>15</v>
      </c>
      <c r="G507" s="2">
        <v>14</v>
      </c>
      <c r="H507" s="4" t="s">
        <v>37</v>
      </c>
      <c r="I507" s="2">
        <v>2311</v>
      </c>
      <c r="J507" s="2">
        <v>6.4</v>
      </c>
      <c r="K507" s="2">
        <v>27.5</v>
      </c>
      <c r="L507" s="2">
        <v>152.75</v>
      </c>
      <c r="M507" s="2">
        <v>274.60000000000002</v>
      </c>
    </row>
    <row r="508" spans="1:13" ht="15.75" x14ac:dyDescent="0.25">
      <c r="A508" s="2">
        <v>3113</v>
      </c>
      <c r="B508" s="2">
        <v>104</v>
      </c>
      <c r="C508" s="2" t="s">
        <v>45</v>
      </c>
      <c r="D508" s="2" t="s">
        <v>14</v>
      </c>
      <c r="E508" s="2" t="s">
        <v>15</v>
      </c>
      <c r="F508" s="2" t="s">
        <v>15</v>
      </c>
      <c r="G508" s="2">
        <v>60</v>
      </c>
      <c r="H508" s="4" t="s">
        <v>37</v>
      </c>
      <c r="I508" s="2">
        <v>2311</v>
      </c>
      <c r="J508" s="2">
        <v>2.4500000000000002</v>
      </c>
      <c r="K508" s="2">
        <v>27.5</v>
      </c>
      <c r="L508" s="2">
        <v>232.56</v>
      </c>
      <c r="M508" s="2">
        <v>607.47</v>
      </c>
    </row>
    <row r="509" spans="1:13" ht="15.75" x14ac:dyDescent="0.25">
      <c r="A509" s="2">
        <v>3113</v>
      </c>
      <c r="B509" s="2">
        <v>104</v>
      </c>
      <c r="C509" s="2" t="s">
        <v>45</v>
      </c>
      <c r="D509" s="2" t="s">
        <v>14</v>
      </c>
      <c r="E509" s="2" t="s">
        <v>15</v>
      </c>
      <c r="F509" s="2" t="s">
        <v>15</v>
      </c>
      <c r="G509" s="2">
        <v>88</v>
      </c>
      <c r="H509" s="4" t="s">
        <v>37</v>
      </c>
      <c r="I509" s="2">
        <v>2311</v>
      </c>
      <c r="J509" s="2">
        <v>17.809999999999999</v>
      </c>
      <c r="K509" s="2">
        <v>1E-3</v>
      </c>
      <c r="L509" s="2">
        <v>421.69</v>
      </c>
      <c r="M509" s="2">
        <v>191.93</v>
      </c>
    </row>
    <row r="510" spans="1:13" ht="15.75" x14ac:dyDescent="0.25">
      <c r="A510" s="2">
        <v>3114</v>
      </c>
      <c r="B510" s="2">
        <v>8125</v>
      </c>
      <c r="C510" s="2" t="s">
        <v>46</v>
      </c>
      <c r="D510" s="2" t="s">
        <v>23</v>
      </c>
      <c r="E510" s="2" t="s">
        <v>21</v>
      </c>
      <c r="F510" s="2" t="s">
        <v>24</v>
      </c>
      <c r="G510" s="2">
        <v>0</v>
      </c>
      <c r="H510" s="4" t="s">
        <v>37</v>
      </c>
      <c r="I510" s="2">
        <v>2311</v>
      </c>
      <c r="J510" s="2">
        <v>16.5</v>
      </c>
      <c r="K510" s="2">
        <v>167.26</v>
      </c>
      <c r="L510" s="2">
        <v>168.01</v>
      </c>
      <c r="M510" s="2">
        <v>644.35</v>
      </c>
    </row>
    <row r="511" spans="1:13" ht="15.75" x14ac:dyDescent="0.25">
      <c r="A511" s="2">
        <v>3114</v>
      </c>
      <c r="B511" s="2">
        <v>8125</v>
      </c>
      <c r="C511" s="2" t="s">
        <v>46</v>
      </c>
      <c r="D511" s="2" t="s">
        <v>23</v>
      </c>
      <c r="E511" s="2" t="s">
        <v>21</v>
      </c>
      <c r="F511" s="2" t="s">
        <v>24</v>
      </c>
      <c r="G511" s="2">
        <v>14</v>
      </c>
      <c r="H511" s="4" t="s">
        <v>37</v>
      </c>
      <c r="I511" s="2">
        <v>2311</v>
      </c>
      <c r="J511" s="2">
        <v>41.86</v>
      </c>
      <c r="K511" s="2">
        <v>189.36</v>
      </c>
      <c r="L511" s="2">
        <v>658.87</v>
      </c>
      <c r="M511" s="2">
        <v>590.21</v>
      </c>
    </row>
    <row r="512" spans="1:13" ht="15.75" x14ac:dyDescent="0.25">
      <c r="A512" s="2">
        <v>3114</v>
      </c>
      <c r="B512" s="2">
        <v>8125</v>
      </c>
      <c r="C512" s="2" t="s">
        <v>46</v>
      </c>
      <c r="D512" s="2" t="s">
        <v>23</v>
      </c>
      <c r="E512" s="2" t="s">
        <v>21</v>
      </c>
      <c r="F512" s="2" t="s">
        <v>24</v>
      </c>
      <c r="G512" s="2">
        <v>60</v>
      </c>
      <c r="H512" s="4" t="s">
        <v>37</v>
      </c>
      <c r="I512" s="2">
        <v>2311</v>
      </c>
      <c r="J512" s="2">
        <v>7.71</v>
      </c>
      <c r="K512" s="2">
        <v>142.76</v>
      </c>
      <c r="L512" s="2">
        <v>79.739999999999995</v>
      </c>
      <c r="M512" s="2">
        <v>445.49</v>
      </c>
    </row>
    <row r="513" spans="1:13" ht="15.75" x14ac:dyDescent="0.25">
      <c r="A513" s="2">
        <v>3114</v>
      </c>
      <c r="B513" s="2">
        <v>8125</v>
      </c>
      <c r="C513" s="2" t="s">
        <v>46</v>
      </c>
      <c r="D513" s="2" t="s">
        <v>23</v>
      </c>
      <c r="E513" s="2" t="s">
        <v>21</v>
      </c>
      <c r="F513" s="2" t="s">
        <v>24</v>
      </c>
      <c r="G513" s="2">
        <v>88</v>
      </c>
      <c r="H513" s="4" t="s">
        <v>37</v>
      </c>
      <c r="I513" s="2">
        <v>2311</v>
      </c>
      <c r="J513" s="2">
        <v>2.0699999999999998</v>
      </c>
      <c r="K513" s="2">
        <v>151.25</v>
      </c>
      <c r="L513" s="2">
        <v>92.39</v>
      </c>
      <c r="M513" s="2">
        <v>409.22</v>
      </c>
    </row>
    <row r="514" spans="1:13" ht="15.75" x14ac:dyDescent="0.25">
      <c r="A514" s="2">
        <v>3115</v>
      </c>
      <c r="B514" s="2">
        <v>112</v>
      </c>
      <c r="C514" s="2" t="s">
        <v>30</v>
      </c>
      <c r="D514" s="2" t="s">
        <v>20</v>
      </c>
      <c r="E514" s="2" t="s">
        <v>21</v>
      </c>
      <c r="F514" s="2" t="s">
        <v>15</v>
      </c>
      <c r="G514" s="2">
        <v>0</v>
      </c>
      <c r="H514" s="4" t="s">
        <v>37</v>
      </c>
      <c r="I514" s="2">
        <v>2311</v>
      </c>
      <c r="J514" s="2">
        <v>8</v>
      </c>
      <c r="K514" s="2">
        <v>32.97</v>
      </c>
      <c r="L514" s="2">
        <v>85.66</v>
      </c>
      <c r="M514" s="2">
        <v>344.09</v>
      </c>
    </row>
    <row r="515" spans="1:13" ht="15.75" x14ac:dyDescent="0.25">
      <c r="A515" s="2">
        <v>3115</v>
      </c>
      <c r="B515" s="2">
        <v>112</v>
      </c>
      <c r="C515" s="2" t="s">
        <v>30</v>
      </c>
      <c r="D515" s="2" t="s">
        <v>20</v>
      </c>
      <c r="E515" s="2" t="s">
        <v>21</v>
      </c>
      <c r="F515" s="2" t="s">
        <v>15</v>
      </c>
      <c r="G515" s="2">
        <v>14</v>
      </c>
      <c r="H515" s="4" t="s">
        <v>37</v>
      </c>
      <c r="I515" s="2">
        <v>2311</v>
      </c>
      <c r="J515" s="2">
        <v>11.22</v>
      </c>
      <c r="K515" s="2">
        <v>27.5</v>
      </c>
      <c r="L515" s="2">
        <v>99.29</v>
      </c>
      <c r="M515" s="2">
        <v>394.44</v>
      </c>
    </row>
    <row r="516" spans="1:13" ht="15.75" x14ac:dyDescent="0.25">
      <c r="A516" s="2">
        <v>3115</v>
      </c>
      <c r="B516" s="2">
        <v>112</v>
      </c>
      <c r="C516" s="2" t="s">
        <v>30</v>
      </c>
      <c r="D516" s="2" t="s">
        <v>20</v>
      </c>
      <c r="E516" s="2" t="s">
        <v>21</v>
      </c>
      <c r="F516" s="2" t="s">
        <v>15</v>
      </c>
      <c r="G516" s="2">
        <v>60</v>
      </c>
      <c r="H516" s="4" t="s">
        <v>37</v>
      </c>
      <c r="I516" s="2">
        <v>2311</v>
      </c>
      <c r="J516" s="2">
        <v>9.76</v>
      </c>
      <c r="K516" s="2">
        <v>21.25</v>
      </c>
      <c r="L516" s="2">
        <v>80.87</v>
      </c>
      <c r="M516" s="2">
        <v>306.23</v>
      </c>
    </row>
    <row r="517" spans="1:13" ht="15.75" x14ac:dyDescent="0.25">
      <c r="A517" s="2">
        <v>3115</v>
      </c>
      <c r="B517" s="2">
        <v>112</v>
      </c>
      <c r="C517" s="2" t="s">
        <v>30</v>
      </c>
      <c r="D517" s="2" t="s">
        <v>20</v>
      </c>
      <c r="E517" s="2" t="s">
        <v>21</v>
      </c>
      <c r="F517" s="2" t="s">
        <v>15</v>
      </c>
      <c r="G517" s="2">
        <v>88</v>
      </c>
      <c r="H517" s="4" t="s">
        <v>37</v>
      </c>
      <c r="I517" s="2">
        <v>2311</v>
      </c>
      <c r="J517" s="2">
        <v>18.8</v>
      </c>
      <c r="K517" s="2">
        <v>1E-3</v>
      </c>
      <c r="L517" s="2">
        <v>127.66</v>
      </c>
      <c r="M517" s="2">
        <v>166.33</v>
      </c>
    </row>
    <row r="518" spans="1:13" ht="15.75" x14ac:dyDescent="0.25">
      <c r="A518" s="2">
        <v>3116</v>
      </c>
      <c r="B518" s="2">
        <v>103</v>
      </c>
      <c r="C518" s="2" t="s">
        <v>25</v>
      </c>
      <c r="D518" s="2" t="s">
        <v>23</v>
      </c>
      <c r="E518" s="2" t="s">
        <v>21</v>
      </c>
      <c r="F518" s="2" t="s">
        <v>24</v>
      </c>
      <c r="G518" s="2">
        <v>0</v>
      </c>
      <c r="H518" s="4" t="s">
        <v>37</v>
      </c>
      <c r="I518" s="2">
        <v>2311</v>
      </c>
      <c r="J518" s="2">
        <v>6.16</v>
      </c>
      <c r="K518" s="2">
        <v>172.98</v>
      </c>
      <c r="L518" s="2">
        <v>130.88</v>
      </c>
      <c r="M518" s="2">
        <v>517.91</v>
      </c>
    </row>
    <row r="519" spans="1:13" ht="15.75" x14ac:dyDescent="0.25">
      <c r="A519" s="2">
        <v>3116</v>
      </c>
      <c r="B519" s="2">
        <v>103</v>
      </c>
      <c r="C519" s="2" t="s">
        <v>25</v>
      </c>
      <c r="D519" s="2" t="s">
        <v>23</v>
      </c>
      <c r="E519" s="2" t="s">
        <v>21</v>
      </c>
      <c r="F519" s="2" t="s">
        <v>24</v>
      </c>
      <c r="G519" s="2">
        <v>14</v>
      </c>
      <c r="H519" s="4" t="s">
        <v>37</v>
      </c>
      <c r="I519" s="2">
        <v>2311</v>
      </c>
      <c r="J519" s="2">
        <v>12.87</v>
      </c>
      <c r="K519" s="2">
        <v>182.21</v>
      </c>
      <c r="L519" s="2">
        <v>456.52</v>
      </c>
      <c r="M519" s="2">
        <v>743.45</v>
      </c>
    </row>
    <row r="520" spans="1:13" ht="15.75" x14ac:dyDescent="0.25">
      <c r="A520" s="2">
        <v>3116</v>
      </c>
      <c r="B520" s="2">
        <v>103</v>
      </c>
      <c r="C520" s="2" t="s">
        <v>25</v>
      </c>
      <c r="D520" s="2" t="s">
        <v>23</v>
      </c>
      <c r="E520" s="2" t="s">
        <v>21</v>
      </c>
      <c r="F520" s="2" t="s">
        <v>24</v>
      </c>
      <c r="G520" s="2">
        <v>60</v>
      </c>
      <c r="H520" s="4" t="s">
        <v>37</v>
      </c>
      <c r="I520" s="2">
        <v>2311</v>
      </c>
      <c r="J520" s="2">
        <v>6.55</v>
      </c>
      <c r="K520" s="2">
        <v>151.25</v>
      </c>
      <c r="L520" s="2">
        <v>140.22999999999999</v>
      </c>
      <c r="M520" s="2">
        <v>824.41</v>
      </c>
    </row>
    <row r="521" spans="1:13" ht="15.75" x14ac:dyDescent="0.25">
      <c r="A521" s="2">
        <v>3116</v>
      </c>
      <c r="B521" s="2">
        <v>103</v>
      </c>
      <c r="C521" s="2" t="s">
        <v>25</v>
      </c>
      <c r="D521" s="2" t="s">
        <v>23</v>
      </c>
      <c r="E521" s="2" t="s">
        <v>21</v>
      </c>
      <c r="F521" s="2" t="s">
        <v>24</v>
      </c>
      <c r="G521" s="2">
        <v>88</v>
      </c>
      <c r="H521" s="4" t="s">
        <v>37</v>
      </c>
      <c r="I521" s="2">
        <v>2311</v>
      </c>
      <c r="J521" s="2">
        <v>6.75</v>
      </c>
      <c r="K521" s="2">
        <v>206.42</v>
      </c>
      <c r="L521" s="2">
        <v>223.71</v>
      </c>
      <c r="M521" s="2">
        <v>1611.6</v>
      </c>
    </row>
    <row r="522" spans="1:13" ht="15.75" x14ac:dyDescent="0.25">
      <c r="A522" s="2">
        <v>3117</v>
      </c>
      <c r="B522" s="2">
        <v>9211</v>
      </c>
      <c r="C522" s="2" t="s">
        <v>17</v>
      </c>
      <c r="D522" s="2" t="s">
        <v>14</v>
      </c>
      <c r="E522" s="2" t="s">
        <v>15</v>
      </c>
      <c r="F522" s="2" t="s">
        <v>15</v>
      </c>
      <c r="G522" s="2">
        <v>0</v>
      </c>
      <c r="H522" s="4" t="s">
        <v>37</v>
      </c>
      <c r="I522" s="2">
        <v>2311</v>
      </c>
      <c r="J522" s="2">
        <v>3.89</v>
      </c>
      <c r="K522" s="2">
        <v>1E-3</v>
      </c>
      <c r="L522" s="2">
        <v>233.68</v>
      </c>
      <c r="M522" s="2">
        <v>217.45</v>
      </c>
    </row>
    <row r="523" spans="1:13" ht="15.75" x14ac:dyDescent="0.25">
      <c r="A523" s="2">
        <v>3117</v>
      </c>
      <c r="B523" s="2">
        <v>9211</v>
      </c>
      <c r="C523" s="2" t="s">
        <v>17</v>
      </c>
      <c r="D523" s="2" t="s">
        <v>14</v>
      </c>
      <c r="E523" s="2" t="s">
        <v>15</v>
      </c>
      <c r="F523" s="2" t="s">
        <v>15</v>
      </c>
      <c r="G523" s="2">
        <v>14</v>
      </c>
      <c r="H523" s="4" t="s">
        <v>37</v>
      </c>
      <c r="I523" s="2">
        <v>2311</v>
      </c>
      <c r="J523" s="2">
        <v>11.61</v>
      </c>
      <c r="K523" s="2">
        <v>13.54</v>
      </c>
      <c r="L523" s="2">
        <v>281.27999999999997</v>
      </c>
      <c r="M523" s="2">
        <v>381.86</v>
      </c>
    </row>
    <row r="524" spans="1:13" ht="15.75" x14ac:dyDescent="0.25">
      <c r="A524" s="2">
        <v>3117</v>
      </c>
      <c r="B524" s="2">
        <v>9211</v>
      </c>
      <c r="C524" s="2" t="s">
        <v>17</v>
      </c>
      <c r="D524" s="2" t="s">
        <v>14</v>
      </c>
      <c r="E524" s="2" t="s">
        <v>15</v>
      </c>
      <c r="F524" s="2" t="s">
        <v>15</v>
      </c>
      <c r="G524" s="2">
        <v>60</v>
      </c>
      <c r="H524" s="4" t="s">
        <v>37</v>
      </c>
      <c r="I524" s="2">
        <v>2311</v>
      </c>
      <c r="J524" s="2">
        <v>8</v>
      </c>
      <c r="K524" s="2">
        <v>8.43</v>
      </c>
      <c r="L524" s="2">
        <v>143.52000000000001</v>
      </c>
      <c r="M524" s="2">
        <v>121.22</v>
      </c>
    </row>
    <row r="525" spans="1:13" ht="15.75" x14ac:dyDescent="0.25">
      <c r="A525" s="2">
        <v>3117</v>
      </c>
      <c r="B525" s="2">
        <v>9211</v>
      </c>
      <c r="C525" s="2" t="s">
        <v>17</v>
      </c>
      <c r="D525" s="2" t="s">
        <v>14</v>
      </c>
      <c r="E525" s="2" t="s">
        <v>15</v>
      </c>
      <c r="F525" s="2" t="s">
        <v>15</v>
      </c>
      <c r="G525" s="2">
        <v>88</v>
      </c>
      <c r="H525" s="4" t="s">
        <v>37</v>
      </c>
      <c r="I525" s="2">
        <v>2311</v>
      </c>
      <c r="J525" s="2">
        <v>1.69</v>
      </c>
      <c r="K525" s="2">
        <v>1E-3</v>
      </c>
      <c r="L525" s="2">
        <v>136.13999999999999</v>
      </c>
      <c r="M525" s="2">
        <v>230.18</v>
      </c>
    </row>
    <row r="526" spans="1:13" ht="15.75" x14ac:dyDescent="0.25">
      <c r="A526" s="2">
        <v>3118</v>
      </c>
      <c r="B526" s="2">
        <v>9017</v>
      </c>
      <c r="C526" s="2" t="s">
        <v>30</v>
      </c>
      <c r="D526" s="2" t="s">
        <v>20</v>
      </c>
      <c r="E526" s="2" t="s">
        <v>21</v>
      </c>
      <c r="F526" s="2" t="s">
        <v>15</v>
      </c>
      <c r="G526" s="2">
        <v>0</v>
      </c>
      <c r="H526" s="4" t="s">
        <v>37</v>
      </c>
      <c r="I526" s="2">
        <v>2311</v>
      </c>
      <c r="J526" s="2">
        <v>4.13</v>
      </c>
      <c r="K526" s="2">
        <v>35.51</v>
      </c>
      <c r="L526" s="2">
        <v>114.39</v>
      </c>
      <c r="M526" s="2">
        <v>166.33</v>
      </c>
    </row>
    <row r="527" spans="1:13" ht="15.75" x14ac:dyDescent="0.25">
      <c r="A527" s="2">
        <v>3118</v>
      </c>
      <c r="B527" s="2">
        <v>9017</v>
      </c>
      <c r="C527" s="2" t="s">
        <v>30</v>
      </c>
      <c r="D527" s="2" t="s">
        <v>20</v>
      </c>
      <c r="E527" s="2" t="s">
        <v>21</v>
      </c>
      <c r="F527" s="2" t="s">
        <v>15</v>
      </c>
      <c r="G527" s="2">
        <v>14</v>
      </c>
      <c r="H527" s="4" t="s">
        <v>37</v>
      </c>
      <c r="I527" s="2">
        <v>2311</v>
      </c>
      <c r="J527" s="2">
        <v>7.33</v>
      </c>
      <c r="K527" s="2">
        <v>189.36</v>
      </c>
      <c r="L527" s="2">
        <v>178.12</v>
      </c>
      <c r="M527" s="2">
        <v>1165.18</v>
      </c>
    </row>
    <row r="528" spans="1:13" ht="15.75" x14ac:dyDescent="0.25">
      <c r="A528" s="2">
        <v>3118</v>
      </c>
      <c r="B528" s="2">
        <v>9017</v>
      </c>
      <c r="C528" s="2" t="s">
        <v>30</v>
      </c>
      <c r="D528" s="2" t="s">
        <v>20</v>
      </c>
      <c r="E528" s="2" t="s">
        <v>21</v>
      </c>
      <c r="F528" s="2" t="s">
        <v>15</v>
      </c>
      <c r="G528" s="2">
        <v>60</v>
      </c>
      <c r="H528" s="4" t="s">
        <v>37</v>
      </c>
      <c r="I528" s="2">
        <v>2311</v>
      </c>
      <c r="J528" s="2">
        <v>10.25</v>
      </c>
      <c r="K528" s="2">
        <v>138.37</v>
      </c>
      <c r="L528" s="2">
        <v>103.92</v>
      </c>
      <c r="M528" s="2">
        <v>617.28</v>
      </c>
    </row>
    <row r="529" spans="1:13" ht="15.75" x14ac:dyDescent="0.25">
      <c r="A529" s="2">
        <v>3118</v>
      </c>
      <c r="B529" s="2">
        <v>9017</v>
      </c>
      <c r="C529" s="2" t="s">
        <v>30</v>
      </c>
      <c r="D529" s="2" t="s">
        <v>20</v>
      </c>
      <c r="E529" s="2" t="s">
        <v>21</v>
      </c>
      <c r="F529" s="2" t="s">
        <v>15</v>
      </c>
      <c r="G529" s="2">
        <v>88</v>
      </c>
      <c r="H529" s="4" t="s">
        <v>37</v>
      </c>
      <c r="I529" s="2">
        <v>2311</v>
      </c>
      <c r="J529" s="2">
        <v>49.59</v>
      </c>
      <c r="K529" s="2">
        <v>169.18</v>
      </c>
      <c r="L529" s="2">
        <v>525.75</v>
      </c>
      <c r="M529" s="2">
        <v>725.45</v>
      </c>
    </row>
    <row r="530" spans="1:13" ht="15.75" x14ac:dyDescent="0.25">
      <c r="A530" s="2">
        <v>3119</v>
      </c>
      <c r="B530" s="2">
        <v>8019</v>
      </c>
      <c r="C530" s="2" t="s">
        <v>30</v>
      </c>
      <c r="D530" s="2" t="s">
        <v>20</v>
      </c>
      <c r="E530" s="2" t="s">
        <v>21</v>
      </c>
      <c r="F530" s="2" t="s">
        <v>15</v>
      </c>
      <c r="G530" s="2">
        <v>0</v>
      </c>
      <c r="H530" s="4" t="s">
        <v>37</v>
      </c>
      <c r="I530" s="2">
        <v>2311</v>
      </c>
      <c r="J530" s="2">
        <v>8.16</v>
      </c>
      <c r="K530" s="2">
        <v>147.05000000000001</v>
      </c>
      <c r="L530" s="2">
        <v>208.26</v>
      </c>
      <c r="M530" s="2">
        <v>463.61</v>
      </c>
    </row>
    <row r="531" spans="1:13" ht="15.75" x14ac:dyDescent="0.25">
      <c r="A531" s="2">
        <v>3119</v>
      </c>
      <c r="B531" s="2">
        <v>8019</v>
      </c>
      <c r="C531" s="2" t="s">
        <v>30</v>
      </c>
      <c r="D531" s="2" t="s">
        <v>20</v>
      </c>
      <c r="E531" s="2" t="s">
        <v>21</v>
      </c>
      <c r="F531" s="2" t="s">
        <v>15</v>
      </c>
      <c r="G531" s="2">
        <v>14</v>
      </c>
      <c r="H531" s="4" t="s">
        <v>37</v>
      </c>
      <c r="I531" s="2">
        <v>2311</v>
      </c>
      <c r="J531" s="2">
        <v>5.58</v>
      </c>
      <c r="K531" s="2">
        <v>140.57</v>
      </c>
      <c r="L531" s="2">
        <v>164.32</v>
      </c>
      <c r="M531" s="2">
        <v>572.14</v>
      </c>
    </row>
    <row r="532" spans="1:13" ht="15.75" x14ac:dyDescent="0.25">
      <c r="A532" s="2">
        <v>3119</v>
      </c>
      <c r="B532" s="2">
        <v>8019</v>
      </c>
      <c r="C532" s="2" t="s">
        <v>30</v>
      </c>
      <c r="D532" s="2" t="s">
        <v>20</v>
      </c>
      <c r="E532" s="2" t="s">
        <v>21</v>
      </c>
      <c r="F532" s="2" t="s">
        <v>15</v>
      </c>
      <c r="G532" s="2">
        <v>60</v>
      </c>
      <c r="H532" s="4" t="s">
        <v>37</v>
      </c>
      <c r="I532" s="2">
        <v>2311</v>
      </c>
      <c r="J532" s="2">
        <v>6.49</v>
      </c>
      <c r="K532" s="2">
        <v>151.25</v>
      </c>
      <c r="L532" s="2">
        <v>285.14</v>
      </c>
      <c r="M532" s="2">
        <v>517.91</v>
      </c>
    </row>
    <row r="533" spans="1:13" ht="15.75" x14ac:dyDescent="0.25">
      <c r="A533" s="2">
        <v>3119</v>
      </c>
      <c r="B533" s="2">
        <v>8019</v>
      </c>
      <c r="C533" s="2" t="s">
        <v>30</v>
      </c>
      <c r="D533" s="2" t="s">
        <v>20</v>
      </c>
      <c r="E533" s="2" t="s">
        <v>21</v>
      </c>
      <c r="F533" s="2" t="s">
        <v>15</v>
      </c>
      <c r="G533" s="2">
        <v>88</v>
      </c>
      <c r="H533" s="4" t="s">
        <v>37</v>
      </c>
      <c r="I533" s="2">
        <v>2311</v>
      </c>
      <c r="J533" s="2">
        <v>5.9</v>
      </c>
      <c r="K533" s="2">
        <v>147.05000000000001</v>
      </c>
      <c r="L533" s="2">
        <v>250.86</v>
      </c>
      <c r="M533" s="2">
        <v>554.08000000000004</v>
      </c>
    </row>
    <row r="534" spans="1:13" ht="15.75" x14ac:dyDescent="0.25">
      <c r="A534" s="2">
        <v>3129</v>
      </c>
      <c r="B534" s="2">
        <v>8136</v>
      </c>
      <c r="C534" s="2" t="s">
        <v>17</v>
      </c>
      <c r="D534" s="2" t="s">
        <v>14</v>
      </c>
      <c r="E534" s="2" t="s">
        <v>15</v>
      </c>
      <c r="F534" s="2" t="s">
        <v>15</v>
      </c>
      <c r="G534" s="2">
        <v>0</v>
      </c>
      <c r="H534" s="4" t="s">
        <v>37</v>
      </c>
      <c r="I534" s="2">
        <v>2311</v>
      </c>
      <c r="J534" s="2">
        <v>5.99</v>
      </c>
      <c r="K534" s="2">
        <v>124.81</v>
      </c>
      <c r="L534" s="2">
        <v>1531.91</v>
      </c>
      <c r="M534" s="2">
        <v>27780.7</v>
      </c>
    </row>
    <row r="535" spans="1:13" ht="15.75" x14ac:dyDescent="0.25">
      <c r="A535" s="2">
        <v>3129</v>
      </c>
      <c r="B535" s="2">
        <v>8136</v>
      </c>
      <c r="C535" s="2" t="s">
        <v>17</v>
      </c>
      <c r="D535" s="2" t="s">
        <v>14</v>
      </c>
      <c r="E535" s="2" t="s">
        <v>15</v>
      </c>
      <c r="F535" s="2" t="s">
        <v>15</v>
      </c>
      <c r="G535" s="2">
        <v>14</v>
      </c>
      <c r="H535" s="4" t="s">
        <v>37</v>
      </c>
      <c r="I535" s="2">
        <v>2311</v>
      </c>
      <c r="J535" s="2">
        <v>12.13</v>
      </c>
      <c r="K535" s="2">
        <v>53.7</v>
      </c>
      <c r="L535" s="2">
        <v>1640.42</v>
      </c>
      <c r="M535" s="2">
        <v>25658.44</v>
      </c>
    </row>
    <row r="536" spans="1:13" ht="15.75" x14ac:dyDescent="0.25">
      <c r="A536" s="2">
        <v>3129</v>
      </c>
      <c r="B536" s="2">
        <v>8136</v>
      </c>
      <c r="C536" s="2" t="s">
        <v>17</v>
      </c>
      <c r="D536" s="2" t="s">
        <v>14</v>
      </c>
      <c r="E536" s="2" t="s">
        <v>15</v>
      </c>
      <c r="F536" s="2" t="s">
        <v>15</v>
      </c>
      <c r="G536" s="2">
        <v>60</v>
      </c>
      <c r="H536" s="4" t="s">
        <v>37</v>
      </c>
      <c r="I536" s="2">
        <v>2311</v>
      </c>
      <c r="J536" s="2">
        <v>12.54</v>
      </c>
      <c r="K536" s="2">
        <v>24.07</v>
      </c>
      <c r="L536" s="2">
        <v>1374.9</v>
      </c>
      <c r="M536" s="2">
        <v>18203.18</v>
      </c>
    </row>
    <row r="537" spans="1:13" ht="15.75" x14ac:dyDescent="0.25">
      <c r="A537" s="2">
        <v>3129</v>
      </c>
      <c r="B537" s="2">
        <v>8136</v>
      </c>
      <c r="C537" s="2" t="s">
        <v>17</v>
      </c>
      <c r="D537" s="2" t="s">
        <v>14</v>
      </c>
      <c r="E537" s="2" t="s">
        <v>15</v>
      </c>
      <c r="F537" s="2" t="s">
        <v>15</v>
      </c>
      <c r="G537" s="2">
        <v>88</v>
      </c>
      <c r="H537" s="4" t="s">
        <v>37</v>
      </c>
      <c r="I537" s="2">
        <v>2311</v>
      </c>
      <c r="J537" s="2">
        <v>13.14</v>
      </c>
      <c r="K537" s="5">
        <v>1E-3</v>
      </c>
      <c r="L537" s="2">
        <v>1426.03</v>
      </c>
      <c r="M537" s="2">
        <v>20969.87</v>
      </c>
    </row>
    <row r="538" spans="1:13" ht="15.75" x14ac:dyDescent="0.25">
      <c r="A538" s="2">
        <v>3130</v>
      </c>
      <c r="B538" s="2">
        <v>105</v>
      </c>
      <c r="C538" s="2" t="s">
        <v>13</v>
      </c>
      <c r="D538" s="2" t="s">
        <v>14</v>
      </c>
      <c r="E538" s="2" t="s">
        <v>15</v>
      </c>
      <c r="F538" s="2" t="s">
        <v>15</v>
      </c>
      <c r="G538" s="2">
        <v>0</v>
      </c>
      <c r="H538" s="4" t="s">
        <v>37</v>
      </c>
      <c r="I538" s="2">
        <v>2311</v>
      </c>
      <c r="J538" s="2">
        <v>3.07</v>
      </c>
      <c r="K538" s="2">
        <v>62.11</v>
      </c>
      <c r="L538" s="2">
        <v>370.87</v>
      </c>
      <c r="M538" s="2">
        <v>832.32</v>
      </c>
    </row>
    <row r="539" spans="1:13" ht="15.75" x14ac:dyDescent="0.25">
      <c r="A539" s="2">
        <v>3130</v>
      </c>
      <c r="B539" s="2">
        <v>105</v>
      </c>
      <c r="C539" s="2" t="s">
        <v>13</v>
      </c>
      <c r="D539" s="2" t="s">
        <v>14</v>
      </c>
      <c r="E539" s="2" t="s">
        <v>15</v>
      </c>
      <c r="F539" s="2" t="s">
        <v>15</v>
      </c>
      <c r="G539" s="2">
        <v>14</v>
      </c>
      <c r="H539" s="4" t="s">
        <v>37</v>
      </c>
      <c r="I539" s="2">
        <v>2311</v>
      </c>
      <c r="J539" s="2">
        <v>3.6</v>
      </c>
      <c r="K539" s="2">
        <v>72.180000000000007</v>
      </c>
      <c r="L539" s="2">
        <v>159.03</v>
      </c>
      <c r="M539" s="2">
        <v>1119.8</v>
      </c>
    </row>
    <row r="540" spans="1:13" ht="15.75" x14ac:dyDescent="0.25">
      <c r="A540" s="2">
        <v>3130</v>
      </c>
      <c r="B540" s="2">
        <v>105</v>
      </c>
      <c r="C540" s="2" t="s">
        <v>13</v>
      </c>
      <c r="D540" s="2" t="s">
        <v>14</v>
      </c>
      <c r="E540" s="2" t="s">
        <v>15</v>
      </c>
      <c r="F540" s="2" t="s">
        <v>15</v>
      </c>
      <c r="G540" s="2">
        <v>60</v>
      </c>
      <c r="H540" s="4" t="s">
        <v>37</v>
      </c>
      <c r="I540" s="2">
        <v>2311</v>
      </c>
      <c r="J540" s="2">
        <v>3.55</v>
      </c>
      <c r="K540" s="2">
        <v>88.73</v>
      </c>
      <c r="L540" s="2">
        <v>200.53</v>
      </c>
      <c r="M540" s="2">
        <v>607.47</v>
      </c>
    </row>
    <row r="541" spans="1:13" ht="15.75" x14ac:dyDescent="0.25">
      <c r="A541" s="2">
        <v>3130</v>
      </c>
      <c r="B541" s="2">
        <v>105</v>
      </c>
      <c r="C541" s="2" t="s">
        <v>13</v>
      </c>
      <c r="D541" s="2" t="s">
        <v>14</v>
      </c>
      <c r="E541" s="2" t="s">
        <v>15</v>
      </c>
      <c r="F541" s="2" t="s">
        <v>15</v>
      </c>
      <c r="G541" s="2">
        <v>88</v>
      </c>
      <c r="H541" s="4" t="s">
        <v>37</v>
      </c>
      <c r="I541" s="2">
        <v>2311</v>
      </c>
      <c r="J541" s="2">
        <v>2.35</v>
      </c>
      <c r="K541" s="2">
        <v>63.85</v>
      </c>
      <c r="L541" s="2">
        <v>601.82000000000005</v>
      </c>
      <c r="M541" s="2">
        <v>394.44</v>
      </c>
    </row>
    <row r="542" spans="1:13" ht="15.75" x14ac:dyDescent="0.25">
      <c r="A542" s="2">
        <v>3131</v>
      </c>
      <c r="B542" s="2">
        <v>8166</v>
      </c>
      <c r="C542" s="2" t="s">
        <v>13</v>
      </c>
      <c r="D542" s="2" t="s">
        <v>14</v>
      </c>
      <c r="E542" s="2" t="s">
        <v>15</v>
      </c>
      <c r="F542" s="2" t="s">
        <v>15</v>
      </c>
      <c r="G542" s="2">
        <v>0</v>
      </c>
      <c r="H542" s="4" t="s">
        <v>37</v>
      </c>
      <c r="I542" s="2">
        <v>2311</v>
      </c>
      <c r="J542" s="2">
        <v>1.36</v>
      </c>
      <c r="K542" s="2">
        <v>67.260000000000005</v>
      </c>
      <c r="L542" s="2">
        <v>500.57</v>
      </c>
      <c r="M542" s="2">
        <v>3640.49</v>
      </c>
    </row>
    <row r="543" spans="1:13" ht="15.75" x14ac:dyDescent="0.25">
      <c r="A543" s="2">
        <v>3131</v>
      </c>
      <c r="B543" s="2">
        <v>8166</v>
      </c>
      <c r="C543" s="2" t="s">
        <v>13</v>
      </c>
      <c r="D543" s="2" t="s">
        <v>14</v>
      </c>
      <c r="E543" s="2" t="s">
        <v>15</v>
      </c>
      <c r="F543" s="2" t="s">
        <v>15</v>
      </c>
      <c r="G543" s="2">
        <v>14</v>
      </c>
      <c r="H543" s="4" t="s">
        <v>37</v>
      </c>
      <c r="I543" s="2">
        <v>2311</v>
      </c>
      <c r="J543" s="2">
        <v>1.93</v>
      </c>
      <c r="K543" s="2">
        <v>8.43</v>
      </c>
      <c r="L543" s="2">
        <v>189.03</v>
      </c>
      <c r="M543" s="2">
        <v>2168.27</v>
      </c>
    </row>
    <row r="544" spans="1:13" ht="15.75" x14ac:dyDescent="0.25">
      <c r="A544" s="2">
        <v>3131</v>
      </c>
      <c r="B544" s="2">
        <v>8166</v>
      </c>
      <c r="C544" s="2" t="s">
        <v>13</v>
      </c>
      <c r="D544" s="2" t="s">
        <v>14</v>
      </c>
      <c r="E544" s="2" t="s">
        <v>15</v>
      </c>
      <c r="F544" s="2" t="s">
        <v>15</v>
      </c>
      <c r="G544" s="2">
        <v>60</v>
      </c>
      <c r="H544" s="4" t="s">
        <v>37</v>
      </c>
      <c r="I544" s="2">
        <v>2311</v>
      </c>
      <c r="J544" s="2">
        <v>2.21</v>
      </c>
      <c r="K544" s="2">
        <v>35.51</v>
      </c>
      <c r="L544" s="2">
        <v>130.24</v>
      </c>
      <c r="M544" s="2">
        <v>907.26</v>
      </c>
    </row>
    <row r="545" spans="1:13" ht="15.75" x14ac:dyDescent="0.25">
      <c r="A545" s="2">
        <v>3131</v>
      </c>
      <c r="B545" s="2">
        <v>8166</v>
      </c>
      <c r="C545" s="2" t="s">
        <v>13</v>
      </c>
      <c r="D545" s="2" t="s">
        <v>14</v>
      </c>
      <c r="E545" s="2" t="s">
        <v>15</v>
      </c>
      <c r="F545" s="2" t="s">
        <v>15</v>
      </c>
      <c r="G545" s="2">
        <v>88</v>
      </c>
      <c r="H545" s="4" t="s">
        <v>37</v>
      </c>
      <c r="I545" s="2">
        <v>2311</v>
      </c>
      <c r="J545" s="2">
        <v>1.26</v>
      </c>
      <c r="K545" s="2">
        <v>50.91</v>
      </c>
      <c r="L545" s="2">
        <v>88.24</v>
      </c>
      <c r="M545" s="2">
        <v>217.45</v>
      </c>
    </row>
    <row r="546" spans="1:13" ht="15.75" x14ac:dyDescent="0.25">
      <c r="A546" s="2">
        <v>3132</v>
      </c>
      <c r="B546" s="2">
        <v>9101</v>
      </c>
      <c r="C546" s="2" t="s">
        <v>26</v>
      </c>
      <c r="D546" s="2" t="s">
        <v>27</v>
      </c>
      <c r="E546" s="2" t="s">
        <v>15</v>
      </c>
      <c r="F546" s="2" t="s">
        <v>24</v>
      </c>
      <c r="G546" s="2">
        <v>0</v>
      </c>
      <c r="H546" s="4" t="s">
        <v>37</v>
      </c>
      <c r="I546" s="2">
        <v>2311</v>
      </c>
      <c r="J546" s="2">
        <v>7.81</v>
      </c>
      <c r="K546" s="2">
        <v>174.99</v>
      </c>
      <c r="L546" s="2">
        <v>283.16000000000003</v>
      </c>
      <c r="M546" s="2">
        <v>242.89</v>
      </c>
    </row>
    <row r="547" spans="1:13" ht="15.75" x14ac:dyDescent="0.25">
      <c r="A547" s="2">
        <v>3132</v>
      </c>
      <c r="B547" s="2">
        <v>9101</v>
      </c>
      <c r="C547" s="2" t="s">
        <v>26</v>
      </c>
      <c r="D547" s="2" t="s">
        <v>27</v>
      </c>
      <c r="E547" s="2" t="s">
        <v>15</v>
      </c>
      <c r="F547" s="2" t="s">
        <v>24</v>
      </c>
      <c r="G547" s="2">
        <v>14</v>
      </c>
      <c r="H547" s="4" t="s">
        <v>37</v>
      </c>
      <c r="I547" s="2">
        <v>2311</v>
      </c>
      <c r="J547" s="2">
        <v>10.83</v>
      </c>
      <c r="K547" s="2">
        <v>54.8</v>
      </c>
      <c r="L547" s="2">
        <v>244.89</v>
      </c>
      <c r="M547" s="2">
        <v>594.96</v>
      </c>
    </row>
    <row r="548" spans="1:13" ht="15.75" x14ac:dyDescent="0.25">
      <c r="A548" s="2">
        <v>3132</v>
      </c>
      <c r="B548" s="2">
        <v>9101</v>
      </c>
      <c r="C548" s="2" t="s">
        <v>26</v>
      </c>
      <c r="D548" s="2" t="s">
        <v>27</v>
      </c>
      <c r="E548" s="2" t="s">
        <v>15</v>
      </c>
      <c r="F548" s="2" t="s">
        <v>24</v>
      </c>
      <c r="G548" s="2">
        <v>60</v>
      </c>
      <c r="H548" s="4" t="s">
        <v>37</v>
      </c>
      <c r="I548" s="2">
        <v>2311</v>
      </c>
      <c r="J548" s="2">
        <v>31.76</v>
      </c>
      <c r="K548" s="2">
        <v>161.5</v>
      </c>
      <c r="L548" s="2">
        <v>259.12</v>
      </c>
      <c r="M548" s="2">
        <v>938.49</v>
      </c>
    </row>
    <row r="549" spans="1:13" ht="15.75" x14ac:dyDescent="0.25">
      <c r="A549" s="2">
        <v>3132</v>
      </c>
      <c r="B549" s="2">
        <v>9101</v>
      </c>
      <c r="C549" s="2" t="s">
        <v>26</v>
      </c>
      <c r="D549" s="2" t="s">
        <v>27</v>
      </c>
      <c r="E549" s="2" t="s">
        <v>15</v>
      </c>
      <c r="F549" s="2" t="s">
        <v>24</v>
      </c>
      <c r="G549" s="2">
        <v>88</v>
      </c>
      <c r="H549" s="4" t="s">
        <v>37</v>
      </c>
      <c r="I549" s="2">
        <v>2311</v>
      </c>
      <c r="J549" s="2">
        <v>5.82</v>
      </c>
      <c r="K549" s="2">
        <v>1E-3</v>
      </c>
      <c r="L549" s="2">
        <v>444.98</v>
      </c>
      <c r="M549" s="2">
        <v>172.74</v>
      </c>
    </row>
    <row r="550" spans="1:13" ht="15.75" x14ac:dyDescent="0.25">
      <c r="A550" s="2">
        <v>3137</v>
      </c>
      <c r="B550" s="2">
        <v>215</v>
      </c>
      <c r="C550" s="2" t="s">
        <v>46</v>
      </c>
      <c r="D550" s="2" t="s">
        <v>23</v>
      </c>
      <c r="E550" s="2" t="s">
        <v>21</v>
      </c>
      <c r="F550" s="2" t="s">
        <v>24</v>
      </c>
      <c r="G550" s="2">
        <v>0</v>
      </c>
      <c r="H550" s="4" t="s">
        <v>37</v>
      </c>
      <c r="I550" s="2">
        <v>2311</v>
      </c>
      <c r="J550" s="2">
        <v>4.45</v>
      </c>
      <c r="K550" s="2">
        <v>171.09</v>
      </c>
      <c r="L550" s="2">
        <v>258.99</v>
      </c>
      <c r="M550" s="2">
        <v>1549.21</v>
      </c>
    </row>
    <row r="551" spans="1:13" ht="15.75" x14ac:dyDescent="0.25">
      <c r="A551" s="2">
        <v>3137</v>
      </c>
      <c r="B551" s="2">
        <v>215</v>
      </c>
      <c r="C551" s="2" t="s">
        <v>46</v>
      </c>
      <c r="D551" s="2" t="s">
        <v>23</v>
      </c>
      <c r="E551" s="2" t="s">
        <v>21</v>
      </c>
      <c r="F551" s="2" t="s">
        <v>24</v>
      </c>
      <c r="G551" s="2">
        <v>14</v>
      </c>
      <c r="H551" s="4" t="s">
        <v>37</v>
      </c>
      <c r="I551" s="2">
        <v>2311</v>
      </c>
      <c r="J551" s="2">
        <v>6.81</v>
      </c>
      <c r="K551" s="2">
        <v>73.150000000000006</v>
      </c>
      <c r="L551" s="2">
        <v>48.08</v>
      </c>
      <c r="M551" s="2">
        <v>463.61</v>
      </c>
    </row>
    <row r="552" spans="1:13" ht="15.75" x14ac:dyDescent="0.25">
      <c r="A552" s="2">
        <v>3137</v>
      </c>
      <c r="B552" s="2">
        <v>215</v>
      </c>
      <c r="C552" s="2" t="s">
        <v>46</v>
      </c>
      <c r="D552" s="2" t="s">
        <v>23</v>
      </c>
      <c r="E552" s="2" t="s">
        <v>21</v>
      </c>
      <c r="F552" s="2" t="s">
        <v>24</v>
      </c>
      <c r="G552" s="2">
        <v>60</v>
      </c>
      <c r="H552" s="4" t="s">
        <v>37</v>
      </c>
      <c r="I552" s="2">
        <v>2311</v>
      </c>
      <c r="J552" s="2">
        <v>8.73</v>
      </c>
      <c r="K552" s="2">
        <v>212.96</v>
      </c>
      <c r="L552" s="2">
        <v>93.84</v>
      </c>
      <c r="M552" s="2">
        <v>581.17999999999995</v>
      </c>
    </row>
    <row r="553" spans="1:13" ht="15.75" x14ac:dyDescent="0.25">
      <c r="A553" s="2">
        <v>3137</v>
      </c>
      <c r="B553" s="2">
        <v>215</v>
      </c>
      <c r="C553" s="2" t="s">
        <v>46</v>
      </c>
      <c r="D553" s="2" t="s">
        <v>23</v>
      </c>
      <c r="E553" s="2" t="s">
        <v>21</v>
      </c>
      <c r="F553" s="2" t="s">
        <v>24</v>
      </c>
      <c r="G553" s="2">
        <v>88</v>
      </c>
      <c r="H553" s="4" t="s">
        <v>37</v>
      </c>
      <c r="I553" s="2">
        <v>2311</v>
      </c>
      <c r="J553" s="2">
        <v>15.95</v>
      </c>
      <c r="K553" s="2">
        <v>153.32</v>
      </c>
      <c r="L553" s="2">
        <v>349.06</v>
      </c>
      <c r="M553" s="2">
        <v>427.36</v>
      </c>
    </row>
    <row r="554" spans="1:13" ht="15.75" x14ac:dyDescent="0.25">
      <c r="A554" s="2">
        <v>3143</v>
      </c>
      <c r="B554" s="2">
        <v>127</v>
      </c>
      <c r="C554" s="2" t="s">
        <v>30</v>
      </c>
      <c r="D554" s="2" t="s">
        <v>20</v>
      </c>
      <c r="E554" s="2" t="s">
        <v>21</v>
      </c>
      <c r="F554" s="2" t="s">
        <v>15</v>
      </c>
      <c r="G554" s="2">
        <v>0</v>
      </c>
      <c r="H554" s="4" t="s">
        <v>37</v>
      </c>
      <c r="I554" s="2">
        <v>2311</v>
      </c>
      <c r="J554" s="2">
        <v>4.9000000000000004</v>
      </c>
      <c r="K554" s="2">
        <v>59.14</v>
      </c>
      <c r="L554" s="2">
        <v>412.75</v>
      </c>
      <c r="M554" s="2">
        <v>1284.55</v>
      </c>
    </row>
    <row r="555" spans="1:13" ht="15.75" x14ac:dyDescent="0.25">
      <c r="A555" s="2">
        <v>3143</v>
      </c>
      <c r="B555" s="2">
        <v>127</v>
      </c>
      <c r="C555" s="2" t="s">
        <v>30</v>
      </c>
      <c r="D555" s="2" t="s">
        <v>20</v>
      </c>
      <c r="E555" s="2" t="s">
        <v>21</v>
      </c>
      <c r="F555" s="2" t="s">
        <v>15</v>
      </c>
      <c r="G555" s="2">
        <v>14</v>
      </c>
      <c r="H555" s="4" t="s">
        <v>37</v>
      </c>
      <c r="I555" s="2">
        <v>2311</v>
      </c>
      <c r="J555" s="2">
        <v>2.08</v>
      </c>
      <c r="K555" s="2">
        <v>41.65</v>
      </c>
      <c r="L555" s="2">
        <v>167.97</v>
      </c>
      <c r="M555" s="2">
        <v>787.45</v>
      </c>
    </row>
    <row r="556" spans="1:13" ht="15.75" x14ac:dyDescent="0.25">
      <c r="A556" s="2">
        <v>3143</v>
      </c>
      <c r="B556" s="2">
        <v>127</v>
      </c>
      <c r="C556" s="2" t="s">
        <v>30</v>
      </c>
      <c r="D556" s="2" t="s">
        <v>20</v>
      </c>
      <c r="E556" s="2" t="s">
        <v>21</v>
      </c>
      <c r="F556" s="2" t="s">
        <v>15</v>
      </c>
      <c r="G556" s="2">
        <v>60</v>
      </c>
      <c r="H556" s="4" t="s">
        <v>37</v>
      </c>
      <c r="I556" s="2">
        <v>2311</v>
      </c>
      <c r="J556" s="2">
        <v>6.58</v>
      </c>
      <c r="K556" s="2">
        <v>65.98</v>
      </c>
      <c r="L556" s="2">
        <v>105.5</v>
      </c>
      <c r="M556" s="2">
        <v>228.76</v>
      </c>
    </row>
    <row r="557" spans="1:13" ht="15.75" x14ac:dyDescent="0.25">
      <c r="A557" s="2">
        <v>3143</v>
      </c>
      <c r="B557" s="2">
        <v>127</v>
      </c>
      <c r="C557" s="2" t="s">
        <v>30</v>
      </c>
      <c r="D557" s="2" t="s">
        <v>20</v>
      </c>
      <c r="E557" s="2" t="s">
        <v>21</v>
      </c>
      <c r="F557" s="2" t="s">
        <v>15</v>
      </c>
      <c r="G557" s="2">
        <v>88</v>
      </c>
      <c r="H557" s="4" t="s">
        <v>37</v>
      </c>
      <c r="I557" s="2">
        <v>2311</v>
      </c>
      <c r="J557" s="2">
        <v>8.1999999999999993</v>
      </c>
      <c r="K557" s="2">
        <v>47.9</v>
      </c>
      <c r="L557" s="2">
        <v>184.58</v>
      </c>
      <c r="M557" s="2">
        <v>711.72</v>
      </c>
    </row>
    <row r="558" spans="1:13" ht="15.75" x14ac:dyDescent="0.25">
      <c r="A558" s="2">
        <v>3144</v>
      </c>
      <c r="B558" s="2">
        <v>9021</v>
      </c>
      <c r="C558" s="2" t="s">
        <v>46</v>
      </c>
      <c r="D558" s="2" t="s">
        <v>23</v>
      </c>
      <c r="E558" s="2" t="s">
        <v>21</v>
      </c>
      <c r="F558" s="2" t="s">
        <v>24</v>
      </c>
      <c r="G558" s="2">
        <v>0</v>
      </c>
      <c r="H558" s="4" t="s">
        <v>37</v>
      </c>
      <c r="I558" s="2">
        <v>2311</v>
      </c>
      <c r="J558" s="2">
        <v>13.86</v>
      </c>
      <c r="K558" s="2">
        <v>153.32</v>
      </c>
      <c r="L558" s="2">
        <v>395.01</v>
      </c>
      <c r="M558" s="2">
        <v>2375.81</v>
      </c>
    </row>
    <row r="559" spans="1:13" ht="15.75" x14ac:dyDescent="0.25">
      <c r="A559" s="2">
        <v>3144</v>
      </c>
      <c r="B559" s="2">
        <v>9021</v>
      </c>
      <c r="C559" s="2" t="s">
        <v>46</v>
      </c>
      <c r="D559" s="2" t="s">
        <v>23</v>
      </c>
      <c r="E559" s="2" t="s">
        <v>21</v>
      </c>
      <c r="F559" s="2" t="s">
        <v>24</v>
      </c>
      <c r="G559" s="2">
        <v>14</v>
      </c>
      <c r="H559" s="4" t="s">
        <v>37</v>
      </c>
      <c r="I559" s="2">
        <v>2311</v>
      </c>
      <c r="J559" s="2">
        <v>4.9800000000000004</v>
      </c>
      <c r="K559" s="2">
        <v>142.76</v>
      </c>
      <c r="L559" s="2">
        <v>173.53</v>
      </c>
      <c r="M559" s="2">
        <v>878.32</v>
      </c>
    </row>
    <row r="560" spans="1:13" ht="15.75" x14ac:dyDescent="0.25">
      <c r="A560" s="2">
        <v>3144</v>
      </c>
      <c r="B560" s="2">
        <v>9021</v>
      </c>
      <c r="C560" s="2" t="s">
        <v>46</v>
      </c>
      <c r="D560" s="2" t="s">
        <v>23</v>
      </c>
      <c r="E560" s="2" t="s">
        <v>21</v>
      </c>
      <c r="F560" s="2" t="s">
        <v>24</v>
      </c>
      <c r="G560" s="2">
        <v>60</v>
      </c>
      <c r="H560" s="4" t="s">
        <v>37</v>
      </c>
      <c r="I560" s="2">
        <v>2311</v>
      </c>
      <c r="J560" s="2">
        <v>1.85</v>
      </c>
      <c r="K560" s="2">
        <v>142.76</v>
      </c>
      <c r="L560" s="2">
        <v>228.69</v>
      </c>
      <c r="M560" s="2">
        <v>635.33000000000004</v>
      </c>
    </row>
    <row r="561" spans="1:13" ht="15.75" x14ac:dyDescent="0.25">
      <c r="A561" s="2">
        <v>3144</v>
      </c>
      <c r="B561" s="2">
        <v>9021</v>
      </c>
      <c r="C561" s="2" t="s">
        <v>46</v>
      </c>
      <c r="D561" s="2" t="s">
        <v>23</v>
      </c>
      <c r="E561" s="2" t="s">
        <v>21</v>
      </c>
      <c r="F561" s="2" t="s">
        <v>24</v>
      </c>
      <c r="G561" s="2">
        <v>88</v>
      </c>
      <c r="H561" s="4" t="s">
        <v>37</v>
      </c>
      <c r="I561" s="2">
        <v>2311</v>
      </c>
      <c r="J561" s="2">
        <v>4.71</v>
      </c>
      <c r="K561" s="2">
        <v>157.38999999999999</v>
      </c>
      <c r="L561" s="2">
        <v>238.2</v>
      </c>
      <c r="M561" s="2">
        <v>2162.92</v>
      </c>
    </row>
    <row r="562" spans="1:13" ht="15.75" x14ac:dyDescent="0.25">
      <c r="A562" s="2">
        <v>3201</v>
      </c>
      <c r="B562" s="2">
        <v>5042</v>
      </c>
      <c r="C562" s="2" t="s">
        <v>17</v>
      </c>
      <c r="D562" s="2" t="s">
        <v>14</v>
      </c>
      <c r="E562" s="2" t="s">
        <v>15</v>
      </c>
      <c r="F562" s="2" t="s">
        <v>15</v>
      </c>
      <c r="G562" s="2">
        <v>0</v>
      </c>
      <c r="H562" s="4" t="s">
        <v>37</v>
      </c>
      <c r="I562" s="2">
        <v>2311</v>
      </c>
      <c r="J562" s="2">
        <v>100.64</v>
      </c>
      <c r="K562" s="2">
        <v>979.54</v>
      </c>
      <c r="L562" s="2">
        <v>1765.58</v>
      </c>
      <c r="M562" s="2">
        <v>25074.91</v>
      </c>
    </row>
    <row r="563" spans="1:13" ht="15.75" x14ac:dyDescent="0.25">
      <c r="A563" s="2">
        <v>3201</v>
      </c>
      <c r="B563" s="2">
        <v>5042</v>
      </c>
      <c r="C563" s="2" t="s">
        <v>17</v>
      </c>
      <c r="D563" s="2" t="s">
        <v>14</v>
      </c>
      <c r="E563" s="2" t="s">
        <v>15</v>
      </c>
      <c r="F563" s="2" t="s">
        <v>15</v>
      </c>
      <c r="G563" s="2">
        <v>14</v>
      </c>
      <c r="H563" s="4" t="s">
        <v>37</v>
      </c>
      <c r="I563" s="2">
        <v>2311</v>
      </c>
      <c r="J563" s="2">
        <v>27.85</v>
      </c>
      <c r="K563" s="2">
        <v>297.66000000000003</v>
      </c>
      <c r="L563" s="2">
        <v>606.66</v>
      </c>
      <c r="M563" s="2">
        <v>3760.38</v>
      </c>
    </row>
    <row r="564" spans="1:13" ht="15.75" x14ac:dyDescent="0.25">
      <c r="A564" s="2">
        <v>3201</v>
      </c>
      <c r="B564" s="2">
        <v>5042</v>
      </c>
      <c r="C564" s="2" t="s">
        <v>17</v>
      </c>
      <c r="D564" s="2" t="s">
        <v>14</v>
      </c>
      <c r="E564" s="2" t="s">
        <v>15</v>
      </c>
      <c r="F564" s="2" t="s">
        <v>15</v>
      </c>
      <c r="G564" s="2">
        <v>60</v>
      </c>
      <c r="H564" s="4" t="s">
        <v>37</v>
      </c>
      <c r="I564" s="2">
        <v>2311</v>
      </c>
      <c r="J564" s="2">
        <v>8.68</v>
      </c>
      <c r="K564" s="2">
        <v>92.92</v>
      </c>
      <c r="L564" s="2">
        <v>141.31</v>
      </c>
      <c r="M564" s="2">
        <v>926</v>
      </c>
    </row>
    <row r="565" spans="1:13" ht="15.75" x14ac:dyDescent="0.25">
      <c r="A565" s="2">
        <v>3201</v>
      </c>
      <c r="B565" s="2">
        <v>5042</v>
      </c>
      <c r="C565" s="2" t="s">
        <v>17</v>
      </c>
      <c r="D565" s="2" t="s">
        <v>14</v>
      </c>
      <c r="E565" s="2" t="s">
        <v>15</v>
      </c>
      <c r="F565" s="2" t="s">
        <v>15</v>
      </c>
      <c r="G565" s="2">
        <v>88</v>
      </c>
      <c r="H565" s="4" t="s">
        <v>37</v>
      </c>
      <c r="I565" s="2">
        <v>2311</v>
      </c>
      <c r="J565" s="2">
        <v>18.510000000000002</v>
      </c>
      <c r="K565" s="2">
        <v>17.66</v>
      </c>
      <c r="L565" s="2">
        <v>354.81</v>
      </c>
      <c r="M565" s="2">
        <v>185.54</v>
      </c>
    </row>
    <row r="566" spans="1:13" ht="15.75" x14ac:dyDescent="0.25">
      <c r="A566" s="2">
        <v>3205</v>
      </c>
      <c r="B566" s="2">
        <v>6011</v>
      </c>
      <c r="C566" s="2" t="s">
        <v>17</v>
      </c>
      <c r="D566" s="2" t="s">
        <v>14</v>
      </c>
      <c r="E566" s="2" t="s">
        <v>15</v>
      </c>
      <c r="F566" s="2" t="s">
        <v>15</v>
      </c>
      <c r="G566" s="2">
        <v>0</v>
      </c>
      <c r="H566" s="4" t="s">
        <v>37</v>
      </c>
      <c r="I566" s="2">
        <v>2311</v>
      </c>
      <c r="J566" s="2">
        <v>13.53</v>
      </c>
      <c r="K566" s="2">
        <v>40.270000000000003</v>
      </c>
      <c r="L566" s="2">
        <v>184.95</v>
      </c>
      <c r="M566" s="2">
        <v>140.6</v>
      </c>
    </row>
    <row r="567" spans="1:13" ht="15.75" x14ac:dyDescent="0.25">
      <c r="A567" s="2">
        <v>3205</v>
      </c>
      <c r="B567" s="2">
        <v>6011</v>
      </c>
      <c r="C567" s="2" t="s">
        <v>17</v>
      </c>
      <c r="D567" s="2" t="s">
        <v>14</v>
      </c>
      <c r="E567" s="2" t="s">
        <v>15</v>
      </c>
      <c r="F567" s="2" t="s">
        <v>15</v>
      </c>
      <c r="G567" s="2">
        <v>14</v>
      </c>
      <c r="H567" s="4" t="s">
        <v>37</v>
      </c>
      <c r="I567" s="2">
        <v>2311</v>
      </c>
      <c r="J567" s="2">
        <v>19.25</v>
      </c>
      <c r="K567" s="2">
        <v>37.94</v>
      </c>
      <c r="L567" s="2">
        <v>211.32</v>
      </c>
      <c r="M567" s="2">
        <v>255.59</v>
      </c>
    </row>
    <row r="568" spans="1:13" ht="15.75" x14ac:dyDescent="0.25">
      <c r="A568" s="2">
        <v>3205</v>
      </c>
      <c r="B568" s="2">
        <v>6011</v>
      </c>
      <c r="C568" s="2" t="s">
        <v>17</v>
      </c>
      <c r="D568" s="2" t="s">
        <v>14</v>
      </c>
      <c r="E568" s="2" t="s">
        <v>15</v>
      </c>
      <c r="F568" s="2" t="s">
        <v>15</v>
      </c>
      <c r="G568" s="2">
        <v>60</v>
      </c>
      <c r="H568" s="4" t="s">
        <v>37</v>
      </c>
      <c r="I568" s="2">
        <v>2311</v>
      </c>
      <c r="J568" s="2">
        <v>15.64</v>
      </c>
      <c r="K568" s="2">
        <v>37.94</v>
      </c>
      <c r="L568" s="2">
        <v>222.86</v>
      </c>
      <c r="M568" s="2">
        <v>153.47999999999999</v>
      </c>
    </row>
    <row r="569" spans="1:13" ht="15.75" x14ac:dyDescent="0.25">
      <c r="A569" s="2">
        <v>3205</v>
      </c>
      <c r="B569" s="2">
        <v>6011</v>
      </c>
      <c r="C569" s="2" t="s">
        <v>17</v>
      </c>
      <c r="D569" s="2" t="s">
        <v>14</v>
      </c>
      <c r="E569" s="2" t="s">
        <v>15</v>
      </c>
      <c r="F569" s="2" t="s">
        <v>15</v>
      </c>
      <c r="G569" s="2">
        <v>88</v>
      </c>
      <c r="H569" s="4" t="s">
        <v>37</v>
      </c>
      <c r="I569" s="2">
        <v>2311</v>
      </c>
      <c r="J569" s="2">
        <v>10.73</v>
      </c>
      <c r="K569" s="2">
        <v>50.91</v>
      </c>
      <c r="L569" s="2">
        <v>389.29</v>
      </c>
      <c r="M569" s="2">
        <v>261.93</v>
      </c>
    </row>
    <row r="570" spans="1:13" ht="15.75" x14ac:dyDescent="0.25">
      <c r="A570" s="2">
        <v>3210</v>
      </c>
      <c r="B570" s="2">
        <v>7103</v>
      </c>
      <c r="C570" s="2" t="s">
        <v>30</v>
      </c>
      <c r="D570" s="2" t="s">
        <v>20</v>
      </c>
      <c r="E570" s="2" t="s">
        <v>21</v>
      </c>
      <c r="F570" s="2" t="s">
        <v>15</v>
      </c>
      <c r="G570" s="2">
        <v>0</v>
      </c>
      <c r="H570" s="4" t="s">
        <v>37</v>
      </c>
      <c r="I570" s="2">
        <v>2311</v>
      </c>
      <c r="J570" s="2">
        <v>3</v>
      </c>
      <c r="K570" s="2">
        <v>157.38999999999999</v>
      </c>
      <c r="L570" s="2">
        <v>379.68</v>
      </c>
      <c r="M570" s="2">
        <v>4862.6000000000004</v>
      </c>
    </row>
    <row r="571" spans="1:13" ht="15.75" x14ac:dyDescent="0.25">
      <c r="A571" s="2">
        <v>3210</v>
      </c>
      <c r="B571" s="2">
        <v>7103</v>
      </c>
      <c r="C571" s="2" t="s">
        <v>30</v>
      </c>
      <c r="D571" s="2" t="s">
        <v>20</v>
      </c>
      <c r="E571" s="2" t="s">
        <v>21</v>
      </c>
      <c r="F571" s="2" t="s">
        <v>15</v>
      </c>
      <c r="G571" s="2">
        <v>14</v>
      </c>
      <c r="H571" s="4" t="s">
        <v>37</v>
      </c>
      <c r="I571" s="2">
        <v>2311</v>
      </c>
      <c r="J571" s="2">
        <v>5.25</v>
      </c>
      <c r="K571" s="2">
        <v>167.26</v>
      </c>
      <c r="L571" s="2">
        <v>270.72000000000003</v>
      </c>
      <c r="M571" s="2">
        <v>3092.58</v>
      </c>
    </row>
    <row r="572" spans="1:13" ht="15.75" x14ac:dyDescent="0.25">
      <c r="A572" s="2">
        <v>3210</v>
      </c>
      <c r="B572" s="2">
        <v>7103</v>
      </c>
      <c r="C572" s="2" t="s">
        <v>30</v>
      </c>
      <c r="D572" s="2" t="s">
        <v>20</v>
      </c>
      <c r="E572" s="2" t="s">
        <v>21</v>
      </c>
      <c r="F572" s="2" t="s">
        <v>15</v>
      </c>
      <c r="G572" s="2">
        <v>60</v>
      </c>
      <c r="H572" s="4" t="s">
        <v>37</v>
      </c>
      <c r="I572" s="2">
        <v>2311</v>
      </c>
      <c r="J572" s="2">
        <v>4.71</v>
      </c>
      <c r="K572" s="2">
        <v>155.36000000000001</v>
      </c>
      <c r="L572" s="2">
        <v>183.62</v>
      </c>
      <c r="M572" s="2">
        <v>2198.42</v>
      </c>
    </row>
    <row r="573" spans="1:13" ht="15.75" x14ac:dyDescent="0.25">
      <c r="A573" s="2">
        <v>3210</v>
      </c>
      <c r="B573" s="2">
        <v>7103</v>
      </c>
      <c r="C573" s="2" t="s">
        <v>30</v>
      </c>
      <c r="D573" s="2" t="s">
        <v>20</v>
      </c>
      <c r="E573" s="2" t="s">
        <v>21</v>
      </c>
      <c r="F573" s="2" t="s">
        <v>15</v>
      </c>
      <c r="G573" s="2">
        <v>88</v>
      </c>
      <c r="H573" s="4" t="s">
        <v>37</v>
      </c>
      <c r="I573" s="2">
        <v>2311</v>
      </c>
      <c r="J573" s="2">
        <v>6.23</v>
      </c>
      <c r="K573" s="2">
        <v>174.85</v>
      </c>
      <c r="L573" s="2">
        <v>1170.92</v>
      </c>
      <c r="M573" s="2">
        <v>22964.5</v>
      </c>
    </row>
    <row r="574" spans="1:13" ht="15.75" x14ac:dyDescent="0.25">
      <c r="A574" s="2">
        <v>3211</v>
      </c>
      <c r="B574" s="2">
        <v>6017</v>
      </c>
      <c r="C574" s="2" t="s">
        <v>26</v>
      </c>
      <c r="D574" s="2" t="s">
        <v>27</v>
      </c>
      <c r="E574" s="2" t="s">
        <v>15</v>
      </c>
      <c r="F574" s="2" t="s">
        <v>24</v>
      </c>
      <c r="G574" s="2">
        <v>0</v>
      </c>
      <c r="H574" s="4" t="s">
        <v>37</v>
      </c>
      <c r="I574" s="2">
        <v>2311</v>
      </c>
      <c r="J574" s="2">
        <v>10.24</v>
      </c>
      <c r="K574" s="2">
        <v>1E-3</v>
      </c>
      <c r="L574" s="2">
        <v>260.99</v>
      </c>
      <c r="M574" s="2">
        <v>738.66</v>
      </c>
    </row>
    <row r="575" spans="1:13" ht="15.75" x14ac:dyDescent="0.25">
      <c r="A575" s="2">
        <v>3211</v>
      </c>
      <c r="B575" s="2">
        <v>6017</v>
      </c>
      <c r="C575" s="2" t="s">
        <v>26</v>
      </c>
      <c r="D575" s="2" t="s">
        <v>27</v>
      </c>
      <c r="E575" s="2" t="s">
        <v>15</v>
      </c>
      <c r="F575" s="2" t="s">
        <v>24</v>
      </c>
      <c r="G575" s="2">
        <v>14</v>
      </c>
      <c r="H575" s="4" t="s">
        <v>37</v>
      </c>
      <c r="I575" s="2">
        <v>2311</v>
      </c>
      <c r="J575" s="2">
        <v>5.87</v>
      </c>
      <c r="K575" s="2">
        <v>54.8</v>
      </c>
      <c r="L575" s="2">
        <v>614.75</v>
      </c>
      <c r="M575" s="2">
        <v>101.75</v>
      </c>
    </row>
    <row r="576" spans="1:13" ht="15.75" x14ac:dyDescent="0.25">
      <c r="A576" s="2">
        <v>3211</v>
      </c>
      <c r="B576" s="2">
        <v>6017</v>
      </c>
      <c r="C576" s="2" t="s">
        <v>26</v>
      </c>
      <c r="D576" s="2" t="s">
        <v>27</v>
      </c>
      <c r="E576" s="2" t="s">
        <v>15</v>
      </c>
      <c r="F576" s="2" t="s">
        <v>24</v>
      </c>
      <c r="G576" s="2">
        <v>60</v>
      </c>
      <c r="H576" s="4" t="s">
        <v>37</v>
      </c>
      <c r="I576" s="2">
        <v>2311</v>
      </c>
      <c r="J576" s="2">
        <v>3.22</v>
      </c>
      <c r="K576" s="2">
        <v>13.54</v>
      </c>
      <c r="L576" s="2">
        <v>86.77</v>
      </c>
      <c r="M576" s="2">
        <v>179.14</v>
      </c>
    </row>
    <row r="577" spans="1:13" ht="15.75" x14ac:dyDescent="0.25">
      <c r="A577" s="2">
        <v>3211</v>
      </c>
      <c r="B577" s="2">
        <v>6017</v>
      </c>
      <c r="C577" s="2" t="s">
        <v>26</v>
      </c>
      <c r="D577" s="2" t="s">
        <v>27</v>
      </c>
      <c r="E577" s="2" t="s">
        <v>15</v>
      </c>
      <c r="F577" s="2" t="s">
        <v>24</v>
      </c>
      <c r="G577" s="2">
        <v>88</v>
      </c>
      <c r="H577" s="4" t="s">
        <v>37</v>
      </c>
      <c r="I577" s="2">
        <v>2311</v>
      </c>
      <c r="J577" s="2">
        <v>7.13</v>
      </c>
      <c r="K577" s="2">
        <v>1E-3</v>
      </c>
      <c r="L577" s="2">
        <v>304.67</v>
      </c>
      <c r="M577" s="2">
        <v>35.71</v>
      </c>
    </row>
    <row r="578" spans="1:13" ht="15.75" x14ac:dyDescent="0.25">
      <c r="A578" s="2">
        <v>3214</v>
      </c>
      <c r="B578" s="2">
        <v>7006</v>
      </c>
      <c r="C578" s="2" t="s">
        <v>44</v>
      </c>
      <c r="D578" s="2" t="s">
        <v>20</v>
      </c>
      <c r="E578" s="2" t="s">
        <v>21</v>
      </c>
      <c r="F578" s="2" t="s">
        <v>15</v>
      </c>
      <c r="G578" s="2">
        <v>0</v>
      </c>
      <c r="H578" s="4" t="s">
        <v>37</v>
      </c>
      <c r="I578" s="2">
        <v>2311</v>
      </c>
      <c r="J578" s="2">
        <v>4.04</v>
      </c>
      <c r="K578" s="2">
        <v>196.31</v>
      </c>
      <c r="L578" s="2">
        <v>429.34</v>
      </c>
      <c r="M578" s="2">
        <v>1558.12</v>
      </c>
    </row>
    <row r="579" spans="1:13" ht="15.75" x14ac:dyDescent="0.25">
      <c r="A579" s="2">
        <v>3214</v>
      </c>
      <c r="B579" s="2">
        <v>7006</v>
      </c>
      <c r="C579" s="2" t="s">
        <v>44</v>
      </c>
      <c r="D579" s="2" t="s">
        <v>20</v>
      </c>
      <c r="E579" s="2" t="s">
        <v>21</v>
      </c>
      <c r="F579" s="2" t="s">
        <v>15</v>
      </c>
      <c r="G579" s="2">
        <v>14</v>
      </c>
      <c r="H579" s="4" t="s">
        <v>37</v>
      </c>
      <c r="I579" s="2">
        <v>2311</v>
      </c>
      <c r="J579" s="2">
        <v>2.79</v>
      </c>
      <c r="K579" s="2">
        <v>171.09</v>
      </c>
      <c r="L579" s="2">
        <v>275.68</v>
      </c>
      <c r="M579" s="2">
        <v>680.41</v>
      </c>
    </row>
    <row r="580" spans="1:13" ht="15.75" x14ac:dyDescent="0.25">
      <c r="A580" s="2">
        <v>3214</v>
      </c>
      <c r="B580" s="2">
        <v>7006</v>
      </c>
      <c r="C580" s="2" t="s">
        <v>44</v>
      </c>
      <c r="D580" s="2" t="s">
        <v>20</v>
      </c>
      <c r="E580" s="2" t="s">
        <v>21</v>
      </c>
      <c r="F580" s="2" t="s">
        <v>15</v>
      </c>
      <c r="G580" s="2">
        <v>60</v>
      </c>
      <c r="H580" s="4" t="s">
        <v>37</v>
      </c>
      <c r="I580" s="2">
        <v>2311</v>
      </c>
      <c r="J580" s="2">
        <v>2.36</v>
      </c>
      <c r="K580" s="2">
        <v>142.76</v>
      </c>
      <c r="L580" s="2">
        <v>129.94</v>
      </c>
      <c r="M580" s="2">
        <v>309.25</v>
      </c>
    </row>
    <row r="581" spans="1:13" ht="15.75" x14ac:dyDescent="0.25">
      <c r="A581" s="2">
        <v>3214</v>
      </c>
      <c r="B581" s="2">
        <v>7006</v>
      </c>
      <c r="C581" s="2" t="s">
        <v>44</v>
      </c>
      <c r="D581" s="2" t="s">
        <v>20</v>
      </c>
      <c r="E581" s="2" t="s">
        <v>21</v>
      </c>
      <c r="F581" s="2" t="s">
        <v>15</v>
      </c>
      <c r="G581" s="2">
        <v>88</v>
      </c>
      <c r="H581" s="4" t="s">
        <v>37</v>
      </c>
      <c r="I581" s="2">
        <v>2311</v>
      </c>
      <c r="J581" s="2">
        <v>11.25</v>
      </c>
      <c r="K581" s="2">
        <v>199.72</v>
      </c>
      <c r="L581" s="2">
        <v>405.39</v>
      </c>
      <c r="M581" s="2">
        <v>517.91</v>
      </c>
    </row>
    <row r="582" spans="1:13" ht="15.75" x14ac:dyDescent="0.25">
      <c r="A582" s="2">
        <v>3215</v>
      </c>
      <c r="B582" s="2">
        <v>5156</v>
      </c>
      <c r="C582" s="2" t="s">
        <v>45</v>
      </c>
      <c r="D582" s="2" t="s">
        <v>14</v>
      </c>
      <c r="E582" s="2" t="s">
        <v>15</v>
      </c>
      <c r="F582" s="2" t="s">
        <v>15</v>
      </c>
      <c r="G582" s="2">
        <v>0</v>
      </c>
      <c r="H582" s="4" t="s">
        <v>37</v>
      </c>
      <c r="I582" s="2">
        <v>2311</v>
      </c>
      <c r="J582" s="2">
        <v>7.42</v>
      </c>
      <c r="K582" s="2">
        <v>1E-3</v>
      </c>
      <c r="L582" s="2">
        <v>184.21</v>
      </c>
      <c r="M582" s="2">
        <v>919.75</v>
      </c>
    </row>
    <row r="583" spans="1:13" ht="15.75" x14ac:dyDescent="0.25">
      <c r="A583" s="2">
        <v>3215</v>
      </c>
      <c r="B583" s="2">
        <v>5156</v>
      </c>
      <c r="C583" s="2" t="s">
        <v>45</v>
      </c>
      <c r="D583" s="2" t="s">
        <v>14</v>
      </c>
      <c r="E583" s="2" t="s">
        <v>15</v>
      </c>
      <c r="F583" s="2" t="s">
        <v>15</v>
      </c>
      <c r="G583" s="2">
        <v>14</v>
      </c>
      <c r="H583" s="4" t="s">
        <v>37</v>
      </c>
      <c r="I583" s="2">
        <v>2311</v>
      </c>
      <c r="J583" s="2">
        <v>7.71</v>
      </c>
      <c r="K583" s="2">
        <v>50.91</v>
      </c>
      <c r="L583" s="2">
        <v>374.7</v>
      </c>
      <c r="M583" s="2">
        <v>2110.81</v>
      </c>
    </row>
    <row r="584" spans="1:13" ht="15.75" x14ac:dyDescent="0.25">
      <c r="A584" s="2">
        <v>3215</v>
      </c>
      <c r="B584" s="2">
        <v>5156</v>
      </c>
      <c r="C584" s="2" t="s">
        <v>45</v>
      </c>
      <c r="D584" s="2" t="s">
        <v>14</v>
      </c>
      <c r="E584" s="2" t="s">
        <v>15</v>
      </c>
      <c r="F584" s="2" t="s">
        <v>15</v>
      </c>
      <c r="G584" s="2">
        <v>60</v>
      </c>
      <c r="H584" s="4" t="s">
        <v>37</v>
      </c>
      <c r="I584" s="2">
        <v>2311</v>
      </c>
      <c r="J584" s="2">
        <v>6.06</v>
      </c>
      <c r="K584" s="2">
        <v>220.55</v>
      </c>
      <c r="L584" s="2">
        <v>150.91</v>
      </c>
      <c r="M584" s="2">
        <v>607.47</v>
      </c>
    </row>
    <row r="585" spans="1:13" ht="15.75" x14ac:dyDescent="0.25">
      <c r="A585" s="2">
        <v>3215</v>
      </c>
      <c r="B585" s="2">
        <v>5156</v>
      </c>
      <c r="C585" s="2" t="s">
        <v>45</v>
      </c>
      <c r="D585" s="2" t="s">
        <v>14</v>
      </c>
      <c r="E585" s="2" t="s">
        <v>15</v>
      </c>
      <c r="F585" s="2" t="s">
        <v>15</v>
      </c>
      <c r="G585" s="2">
        <v>88</v>
      </c>
      <c r="H585" s="4" t="s">
        <v>37</v>
      </c>
      <c r="I585" s="2">
        <v>2311</v>
      </c>
      <c r="J585" s="2">
        <v>8.1999999999999993</v>
      </c>
      <c r="K585" s="2">
        <v>32.97</v>
      </c>
      <c r="L585" s="2">
        <v>368.19</v>
      </c>
      <c r="M585" s="2">
        <v>2450.38</v>
      </c>
    </row>
    <row r="586" spans="1:13" ht="15.75" x14ac:dyDescent="0.25">
      <c r="A586" s="2">
        <v>3216</v>
      </c>
      <c r="B586" s="2">
        <v>5105</v>
      </c>
      <c r="C586" s="2" t="s">
        <v>25</v>
      </c>
      <c r="D586" s="2" t="s">
        <v>23</v>
      </c>
      <c r="E586" s="2" t="s">
        <v>21</v>
      </c>
      <c r="F586" s="2" t="s">
        <v>24</v>
      </c>
      <c r="G586" s="2">
        <v>0</v>
      </c>
      <c r="H586" s="4" t="s">
        <v>37</v>
      </c>
      <c r="I586" s="2">
        <v>2311</v>
      </c>
      <c r="J586" s="2">
        <v>12.37</v>
      </c>
      <c r="K586" s="2">
        <v>159.4</v>
      </c>
      <c r="L586" s="2">
        <v>518.42999999999995</v>
      </c>
      <c r="M586" s="2">
        <v>590.21</v>
      </c>
    </row>
    <row r="587" spans="1:13" ht="15.75" x14ac:dyDescent="0.25">
      <c r="A587" s="2">
        <v>3216</v>
      </c>
      <c r="B587" s="2">
        <v>5105</v>
      </c>
      <c r="C587" s="2" t="s">
        <v>25</v>
      </c>
      <c r="D587" s="2" t="s">
        <v>23</v>
      </c>
      <c r="E587" s="2" t="s">
        <v>21</v>
      </c>
      <c r="F587" s="2" t="s">
        <v>24</v>
      </c>
      <c r="G587" s="2">
        <v>14</v>
      </c>
      <c r="H587" s="4" t="s">
        <v>37</v>
      </c>
      <c r="I587" s="2">
        <v>2311</v>
      </c>
      <c r="J587" s="2">
        <v>9.75</v>
      </c>
      <c r="K587" s="2">
        <v>157.38999999999999</v>
      </c>
      <c r="L587" s="2">
        <v>221.44</v>
      </c>
      <c r="M587" s="2">
        <v>590.21</v>
      </c>
    </row>
    <row r="588" spans="1:13" ht="15.75" x14ac:dyDescent="0.25">
      <c r="A588" s="2">
        <v>3216</v>
      </c>
      <c r="B588" s="2">
        <v>5105</v>
      </c>
      <c r="C588" s="2" t="s">
        <v>25</v>
      </c>
      <c r="D588" s="2" t="s">
        <v>23</v>
      </c>
      <c r="E588" s="2" t="s">
        <v>21</v>
      </c>
      <c r="F588" s="2" t="s">
        <v>24</v>
      </c>
      <c r="G588" s="2">
        <v>60</v>
      </c>
      <c r="H588" s="4" t="s">
        <v>37</v>
      </c>
      <c r="I588" s="2">
        <v>2311</v>
      </c>
      <c r="J588" s="2">
        <v>2.65</v>
      </c>
      <c r="K588" s="2">
        <v>153.32</v>
      </c>
      <c r="L588" s="2">
        <v>164.79</v>
      </c>
      <c r="M588" s="2">
        <v>363.82</v>
      </c>
    </row>
    <row r="589" spans="1:13" ht="15.75" x14ac:dyDescent="0.25">
      <c r="A589" s="2">
        <v>3216</v>
      </c>
      <c r="B589" s="2">
        <v>5105</v>
      </c>
      <c r="C589" s="2" t="s">
        <v>25</v>
      </c>
      <c r="D589" s="2" t="s">
        <v>23</v>
      </c>
      <c r="E589" s="2" t="s">
        <v>21</v>
      </c>
      <c r="F589" s="2" t="s">
        <v>24</v>
      </c>
      <c r="G589" s="2">
        <v>88</v>
      </c>
      <c r="H589" s="4" t="s">
        <v>37</v>
      </c>
      <c r="I589" s="2">
        <v>2311</v>
      </c>
      <c r="J589" s="2">
        <v>3.9</v>
      </c>
      <c r="K589" s="2">
        <v>172.98</v>
      </c>
      <c r="L589" s="2">
        <v>125.72</v>
      </c>
      <c r="M589" s="2">
        <v>454.55</v>
      </c>
    </row>
    <row r="590" spans="1:13" ht="15.75" x14ac:dyDescent="0.25">
      <c r="A590" s="2">
        <v>3217</v>
      </c>
      <c r="B590" s="2">
        <v>6121</v>
      </c>
      <c r="C590" s="2" t="s">
        <v>13</v>
      </c>
      <c r="D590" s="2" t="s">
        <v>14</v>
      </c>
      <c r="E590" s="2" t="s">
        <v>15</v>
      </c>
      <c r="F590" s="2" t="s">
        <v>15</v>
      </c>
      <c r="G590" s="2">
        <v>0</v>
      </c>
      <c r="H590" s="4" t="s">
        <v>37</v>
      </c>
      <c r="I590" s="2">
        <v>2311</v>
      </c>
      <c r="J590" s="2">
        <v>7.09</v>
      </c>
      <c r="K590" s="2">
        <v>37.15</v>
      </c>
      <c r="L590" s="2">
        <v>288.67</v>
      </c>
      <c r="M590" s="2">
        <v>2354.48</v>
      </c>
    </row>
    <row r="591" spans="1:13" ht="15.75" x14ac:dyDescent="0.25">
      <c r="A591" s="2">
        <v>3217</v>
      </c>
      <c r="B591" s="2">
        <v>6121</v>
      </c>
      <c r="C591" s="2" t="s">
        <v>13</v>
      </c>
      <c r="D591" s="2" t="s">
        <v>14</v>
      </c>
      <c r="E591" s="2" t="s">
        <v>15</v>
      </c>
      <c r="F591" s="2" t="s">
        <v>15</v>
      </c>
      <c r="G591" s="2">
        <v>14</v>
      </c>
      <c r="H591" s="4" t="s">
        <v>37</v>
      </c>
      <c r="I591" s="2">
        <v>2311</v>
      </c>
      <c r="J591" s="2">
        <v>23.98</v>
      </c>
      <c r="K591" s="2">
        <v>47.9</v>
      </c>
      <c r="L591" s="2">
        <v>267.48</v>
      </c>
      <c r="M591" s="2">
        <v>618.37</v>
      </c>
    </row>
    <row r="592" spans="1:13" ht="15.75" x14ac:dyDescent="0.25">
      <c r="A592" s="2">
        <v>3217</v>
      </c>
      <c r="B592" s="2">
        <v>6121</v>
      </c>
      <c r="C592" s="2" t="s">
        <v>13</v>
      </c>
      <c r="D592" s="2" t="s">
        <v>14</v>
      </c>
      <c r="E592" s="2" t="s">
        <v>15</v>
      </c>
      <c r="F592" s="2" t="s">
        <v>15</v>
      </c>
      <c r="G592" s="2">
        <v>60</v>
      </c>
      <c r="H592" s="4" t="s">
        <v>37</v>
      </c>
      <c r="I592" s="2">
        <v>2311</v>
      </c>
      <c r="J592" s="2">
        <v>0.67</v>
      </c>
      <c r="K592" s="2">
        <v>8.7899999999999991</v>
      </c>
      <c r="L592" s="2">
        <v>105</v>
      </c>
      <c r="M592" s="2">
        <v>372.89</v>
      </c>
    </row>
    <row r="593" spans="1:13" ht="15.75" x14ac:dyDescent="0.25">
      <c r="A593" s="2">
        <v>3217</v>
      </c>
      <c r="B593" s="2">
        <v>6121</v>
      </c>
      <c r="C593" s="2" t="s">
        <v>13</v>
      </c>
      <c r="D593" s="2" t="s">
        <v>14</v>
      </c>
      <c r="E593" s="2" t="s">
        <v>15</v>
      </c>
      <c r="F593" s="2" t="s">
        <v>15</v>
      </c>
      <c r="G593" s="2">
        <v>88</v>
      </c>
      <c r="H593" s="4" t="s">
        <v>37</v>
      </c>
      <c r="I593" s="2">
        <v>2311</v>
      </c>
      <c r="J593" s="2">
        <v>2.0099999999999998</v>
      </c>
      <c r="K593" s="2">
        <v>20.93</v>
      </c>
      <c r="L593" s="2">
        <v>138.41</v>
      </c>
      <c r="M593" s="2">
        <v>298.89</v>
      </c>
    </row>
    <row r="594" spans="1:13" ht="15.75" x14ac:dyDescent="0.25">
      <c r="A594" s="2">
        <v>3221</v>
      </c>
      <c r="B594" s="2">
        <v>7141</v>
      </c>
      <c r="C594" s="2" t="s">
        <v>44</v>
      </c>
      <c r="D594" s="2" t="s">
        <v>20</v>
      </c>
      <c r="E594" s="2" t="s">
        <v>21</v>
      </c>
      <c r="F594" s="2" t="s">
        <v>15</v>
      </c>
      <c r="G594" s="2">
        <v>0</v>
      </c>
      <c r="H594" s="4" t="s">
        <v>37</v>
      </c>
      <c r="I594" s="2">
        <v>2311</v>
      </c>
      <c r="J594" s="2">
        <v>18.760000000000002</v>
      </c>
      <c r="K594" s="2">
        <v>248.06</v>
      </c>
      <c r="L594" s="2">
        <v>263.5</v>
      </c>
      <c r="M594" s="2">
        <v>1780.78</v>
      </c>
    </row>
    <row r="595" spans="1:13" ht="15.75" x14ac:dyDescent="0.25">
      <c r="A595" s="2">
        <v>3221</v>
      </c>
      <c r="B595" s="2">
        <v>7141</v>
      </c>
      <c r="C595" s="2" t="s">
        <v>44</v>
      </c>
      <c r="D595" s="2" t="s">
        <v>20</v>
      </c>
      <c r="E595" s="2" t="s">
        <v>21</v>
      </c>
      <c r="F595" s="2" t="s">
        <v>15</v>
      </c>
      <c r="G595" s="2">
        <v>14</v>
      </c>
      <c r="H595" s="4" t="s">
        <v>37</v>
      </c>
      <c r="I595" s="2">
        <v>2311</v>
      </c>
      <c r="J595" s="2">
        <v>6.81</v>
      </c>
      <c r="K595" s="2">
        <v>185.81</v>
      </c>
      <c r="L595" s="2">
        <v>112.97</v>
      </c>
      <c r="M595" s="2">
        <v>572.14</v>
      </c>
    </row>
    <row r="596" spans="1:13" ht="15.75" x14ac:dyDescent="0.25">
      <c r="A596" s="2">
        <v>3221</v>
      </c>
      <c r="B596" s="2">
        <v>7141</v>
      </c>
      <c r="C596" s="2" t="s">
        <v>44</v>
      </c>
      <c r="D596" s="2" t="s">
        <v>20</v>
      </c>
      <c r="E596" s="2" t="s">
        <v>21</v>
      </c>
      <c r="F596" s="2" t="s">
        <v>15</v>
      </c>
      <c r="G596" s="2">
        <v>60</v>
      </c>
      <c r="H596" s="4" t="s">
        <v>37</v>
      </c>
      <c r="I596" s="2">
        <v>2311</v>
      </c>
      <c r="J596" s="2">
        <v>7.39</v>
      </c>
      <c r="K596" s="2">
        <v>159.4</v>
      </c>
      <c r="L596" s="2">
        <v>172.61</v>
      </c>
      <c r="M596" s="2">
        <v>1611.6</v>
      </c>
    </row>
    <row r="597" spans="1:13" ht="15.75" x14ac:dyDescent="0.25">
      <c r="A597" s="2">
        <v>3221</v>
      </c>
      <c r="B597" s="2">
        <v>7141</v>
      </c>
      <c r="C597" s="2" t="s">
        <v>44</v>
      </c>
      <c r="D597" s="2" t="s">
        <v>20</v>
      </c>
      <c r="E597" s="2" t="s">
        <v>21</v>
      </c>
      <c r="F597" s="2" t="s">
        <v>15</v>
      </c>
      <c r="G597" s="2">
        <v>88</v>
      </c>
      <c r="H597" s="4" t="s">
        <v>37</v>
      </c>
      <c r="I597" s="2">
        <v>2311</v>
      </c>
      <c r="J597" s="2">
        <v>13.61</v>
      </c>
      <c r="K597" s="2">
        <v>178.56</v>
      </c>
      <c r="L597" s="2">
        <v>329.25</v>
      </c>
      <c r="M597" s="2">
        <v>2216.17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DC0F-E53D-4EF2-9C4E-C0554D5E0548}">
  <dimension ref="A1:X124"/>
  <sheetViews>
    <sheetView topLeftCell="A28" workbookViewId="0">
      <selection activeCell="X10" sqref="X8:X10"/>
    </sheetView>
  </sheetViews>
  <sheetFormatPr defaultRowHeight="15" x14ac:dyDescent="0.25"/>
  <sheetData>
    <row r="1" spans="1:24" x14ac:dyDescent="0.25">
      <c r="A1" s="6" t="s">
        <v>0</v>
      </c>
      <c r="B1" s="6" t="s">
        <v>6</v>
      </c>
      <c r="C1" s="6" t="s">
        <v>47</v>
      </c>
      <c r="D1" s="6" t="s">
        <v>2</v>
      </c>
      <c r="E1" s="6" t="s">
        <v>7</v>
      </c>
      <c r="F1" s="6" t="s">
        <v>48</v>
      </c>
      <c r="G1" s="6" t="s">
        <v>49</v>
      </c>
      <c r="H1" s="6" t="s">
        <v>50</v>
      </c>
      <c r="I1" s="6" t="s">
        <v>52</v>
      </c>
    </row>
    <row r="2" spans="1:24" x14ac:dyDescent="0.25">
      <c r="A2" s="6">
        <v>3501</v>
      </c>
      <c r="B2" s="6">
        <v>0</v>
      </c>
      <c r="C2" s="6">
        <v>2404</v>
      </c>
      <c r="D2" s="6" t="s">
        <v>13</v>
      </c>
      <c r="E2" s="6" t="s">
        <v>16</v>
      </c>
      <c r="F2" s="6" t="s">
        <v>14</v>
      </c>
      <c r="G2" s="6" t="s">
        <v>15</v>
      </c>
      <c r="H2" s="6" t="s">
        <v>15</v>
      </c>
      <c r="I2" s="6">
        <v>0.14699999999999999</v>
      </c>
    </row>
    <row r="3" spans="1:24" x14ac:dyDescent="0.25">
      <c r="A3" s="6">
        <v>3507</v>
      </c>
      <c r="B3" s="6">
        <v>0</v>
      </c>
      <c r="C3" s="6">
        <v>2404</v>
      </c>
      <c r="D3" s="6" t="s">
        <v>13</v>
      </c>
      <c r="E3" s="6" t="s">
        <v>16</v>
      </c>
      <c r="F3" s="6" t="s">
        <v>14</v>
      </c>
      <c r="G3" s="6" t="s">
        <v>15</v>
      </c>
      <c r="H3" s="6" t="s">
        <v>15</v>
      </c>
      <c r="I3" s="6">
        <v>1.2E-2</v>
      </c>
    </row>
    <row r="4" spans="1:24" x14ac:dyDescent="0.25">
      <c r="A4" s="6">
        <v>3511</v>
      </c>
      <c r="B4" s="6">
        <v>0</v>
      </c>
      <c r="C4" s="6">
        <v>2404</v>
      </c>
      <c r="D4" s="6" t="s">
        <v>17</v>
      </c>
      <c r="E4" s="6" t="s">
        <v>16</v>
      </c>
      <c r="F4" s="6" t="s">
        <v>14</v>
      </c>
      <c r="G4" s="6" t="s">
        <v>15</v>
      </c>
      <c r="H4" s="6" t="s">
        <v>15</v>
      </c>
      <c r="I4" s="6">
        <v>0.1565</v>
      </c>
    </row>
    <row r="5" spans="1:24" x14ac:dyDescent="0.25">
      <c r="A5" s="6">
        <v>3511</v>
      </c>
      <c r="B5" s="6">
        <v>0</v>
      </c>
      <c r="C5" s="6">
        <v>2404</v>
      </c>
      <c r="D5" s="6" t="s">
        <v>17</v>
      </c>
      <c r="E5" s="6" t="s">
        <v>16</v>
      </c>
      <c r="F5" s="6" t="s">
        <v>14</v>
      </c>
      <c r="G5" s="6" t="s">
        <v>15</v>
      </c>
      <c r="H5" s="6" t="s">
        <v>15</v>
      </c>
      <c r="I5" s="6">
        <v>7.4999999999999997E-2</v>
      </c>
      <c r="O5" t="s">
        <v>49</v>
      </c>
      <c r="P5" t="s">
        <v>56</v>
      </c>
      <c r="S5" t="s">
        <v>57</v>
      </c>
      <c r="U5" t="s">
        <v>59</v>
      </c>
      <c r="X5" t="s">
        <v>60</v>
      </c>
    </row>
    <row r="6" spans="1:24" x14ac:dyDescent="0.25">
      <c r="A6" s="6">
        <v>3517</v>
      </c>
      <c r="B6" s="6">
        <v>0</v>
      </c>
      <c r="C6" s="6">
        <v>2404</v>
      </c>
      <c r="D6" s="6" t="s">
        <v>30</v>
      </c>
      <c r="E6" s="6" t="s">
        <v>16</v>
      </c>
      <c r="F6" s="6" t="s">
        <v>20</v>
      </c>
      <c r="G6" s="6" t="s">
        <v>21</v>
      </c>
      <c r="H6" s="6" t="s">
        <v>15</v>
      </c>
      <c r="I6" s="6">
        <v>5.8000000000000003E-2</v>
      </c>
      <c r="O6" t="s">
        <v>15</v>
      </c>
      <c r="P6">
        <v>-0.93600000000000005</v>
      </c>
      <c r="S6">
        <v>8.9929999999999996E-2</v>
      </c>
      <c r="U6">
        <f>10^P6</f>
        <v>0.11587773561551258</v>
      </c>
      <c r="X6">
        <f>10^S6</f>
        <v>1.2300704908950408</v>
      </c>
    </row>
    <row r="7" spans="1:24" x14ac:dyDescent="0.25">
      <c r="A7" s="6">
        <v>3523</v>
      </c>
      <c r="B7" s="6">
        <v>0</v>
      </c>
      <c r="C7" s="6">
        <v>2404</v>
      </c>
      <c r="D7" s="6" t="s">
        <v>42</v>
      </c>
      <c r="E7" s="6" t="s">
        <v>16</v>
      </c>
      <c r="F7" s="6" t="s">
        <v>20</v>
      </c>
      <c r="G7" s="6" t="s">
        <v>21</v>
      </c>
      <c r="H7" s="6" t="s">
        <v>15</v>
      </c>
      <c r="I7" s="6">
        <v>0.10249999999999999</v>
      </c>
      <c r="O7" t="s">
        <v>21</v>
      </c>
      <c r="P7">
        <v>-0.91839999999999999</v>
      </c>
      <c r="S7">
        <v>7.911E-2</v>
      </c>
      <c r="U7">
        <f t="shared" ref="U7:U17" si="0">10^P7</f>
        <v>0.12067019095932749</v>
      </c>
      <c r="X7">
        <f t="shared" ref="X7:X17" si="1">10^S7</f>
        <v>1.1998031560419409</v>
      </c>
    </row>
    <row r="8" spans="1:24" x14ac:dyDescent="0.25">
      <c r="A8" s="6">
        <v>3534</v>
      </c>
      <c r="B8" s="6">
        <v>0</v>
      </c>
      <c r="C8" s="6">
        <v>2404</v>
      </c>
      <c r="D8" s="6" t="s">
        <v>42</v>
      </c>
      <c r="E8" s="6" t="s">
        <v>16</v>
      </c>
      <c r="F8" s="6" t="s">
        <v>20</v>
      </c>
      <c r="G8" s="6" t="s">
        <v>21</v>
      </c>
      <c r="H8" s="6" t="s">
        <v>15</v>
      </c>
      <c r="I8" s="6">
        <v>0.27200000000000002</v>
      </c>
    </row>
    <row r="9" spans="1:24" x14ac:dyDescent="0.25">
      <c r="A9" s="6">
        <v>3538</v>
      </c>
      <c r="B9" s="6">
        <v>0</v>
      </c>
      <c r="C9" s="6">
        <v>2404</v>
      </c>
      <c r="D9" s="6" t="s">
        <v>13</v>
      </c>
      <c r="E9" s="6" t="s">
        <v>16</v>
      </c>
      <c r="F9" s="6" t="s">
        <v>14</v>
      </c>
      <c r="G9" s="6" t="s">
        <v>15</v>
      </c>
      <c r="H9" s="6" t="s">
        <v>15</v>
      </c>
      <c r="I9" s="6">
        <v>0.13300000000000001</v>
      </c>
    </row>
    <row r="10" spans="1:24" x14ac:dyDescent="0.25">
      <c r="A10" s="6">
        <v>3546</v>
      </c>
      <c r="B10" s="6">
        <v>0</v>
      </c>
      <c r="C10" s="6">
        <v>2404</v>
      </c>
      <c r="D10" s="6" t="s">
        <v>25</v>
      </c>
      <c r="E10" s="6" t="s">
        <v>16</v>
      </c>
      <c r="F10" s="6" t="s">
        <v>23</v>
      </c>
      <c r="G10" s="6" t="s">
        <v>21</v>
      </c>
      <c r="H10" s="6" t="s">
        <v>24</v>
      </c>
      <c r="I10" s="6">
        <v>0.13100000000000001</v>
      </c>
      <c r="O10" t="s">
        <v>53</v>
      </c>
    </row>
    <row r="11" spans="1:24" x14ac:dyDescent="0.25">
      <c r="A11" s="6">
        <v>3553</v>
      </c>
      <c r="B11" s="6">
        <v>0</v>
      </c>
      <c r="C11" s="6">
        <v>2404</v>
      </c>
      <c r="D11" s="6" t="s">
        <v>25</v>
      </c>
      <c r="E11" s="6" t="s">
        <v>16</v>
      </c>
      <c r="F11" s="6" t="s">
        <v>23</v>
      </c>
      <c r="G11" s="6" t="s">
        <v>21</v>
      </c>
      <c r="H11" s="6" t="s">
        <v>24</v>
      </c>
      <c r="I11" s="6">
        <v>7.6666666999999994E-2</v>
      </c>
      <c r="O11" t="s">
        <v>54</v>
      </c>
      <c r="P11">
        <v>-0.89359999999999995</v>
      </c>
      <c r="S11">
        <v>7.1620000000000003E-2</v>
      </c>
      <c r="U11">
        <f t="shared" si="0"/>
        <v>0.12776149939707948</v>
      </c>
      <c r="X11">
        <f t="shared" si="1"/>
        <v>1.1792883276369992</v>
      </c>
    </row>
    <row r="12" spans="1:24" x14ac:dyDescent="0.25">
      <c r="A12" s="6">
        <v>3558</v>
      </c>
      <c r="B12" s="6">
        <v>0</v>
      </c>
      <c r="C12" s="6">
        <v>2404</v>
      </c>
      <c r="D12" s="6" t="s">
        <v>17</v>
      </c>
      <c r="E12" s="6" t="s">
        <v>16</v>
      </c>
      <c r="F12" s="6" t="s">
        <v>14</v>
      </c>
      <c r="G12" s="6" t="s">
        <v>15</v>
      </c>
      <c r="H12" s="6" t="s">
        <v>15</v>
      </c>
      <c r="I12" s="6">
        <v>2.4E-2</v>
      </c>
      <c r="O12" t="s">
        <v>24</v>
      </c>
      <c r="P12">
        <v>-0.96079999999999999</v>
      </c>
      <c r="S12">
        <v>9.6000000000000002E-2</v>
      </c>
      <c r="U12">
        <f t="shared" si="0"/>
        <v>0.10944602678150792</v>
      </c>
      <c r="X12">
        <f t="shared" si="1"/>
        <v>1.247383514242943</v>
      </c>
    </row>
    <row r="13" spans="1:24" x14ac:dyDescent="0.25">
      <c r="A13" s="6">
        <v>3570</v>
      </c>
      <c r="B13" s="6">
        <v>0</v>
      </c>
      <c r="C13" s="6">
        <v>2404</v>
      </c>
      <c r="D13" s="6" t="s">
        <v>32</v>
      </c>
      <c r="E13" s="6" t="s">
        <v>16</v>
      </c>
      <c r="F13" s="6" t="s">
        <v>23</v>
      </c>
      <c r="G13" s="6" t="s">
        <v>21</v>
      </c>
      <c r="H13" s="6" t="s">
        <v>24</v>
      </c>
      <c r="I13" s="6">
        <v>4.4499999999999998E-2</v>
      </c>
    </row>
    <row r="14" spans="1:24" x14ac:dyDescent="0.25">
      <c r="A14" s="6">
        <v>3587</v>
      </c>
      <c r="B14" s="6">
        <v>0</v>
      </c>
      <c r="C14" s="6">
        <v>2404</v>
      </c>
      <c r="D14" s="6" t="s">
        <v>26</v>
      </c>
      <c r="E14" s="6" t="s">
        <v>16</v>
      </c>
      <c r="F14" s="6" t="s">
        <v>27</v>
      </c>
      <c r="G14" s="6" t="s">
        <v>15</v>
      </c>
      <c r="H14" s="6" t="s">
        <v>24</v>
      </c>
      <c r="I14" s="6">
        <v>0.44750000000000001</v>
      </c>
    </row>
    <row r="15" spans="1:24" x14ac:dyDescent="0.25">
      <c r="A15" s="6">
        <v>3591</v>
      </c>
      <c r="B15" s="6">
        <v>0</v>
      </c>
      <c r="C15" s="6">
        <v>2404</v>
      </c>
      <c r="D15" s="6" t="s">
        <v>13</v>
      </c>
      <c r="E15" s="6" t="s">
        <v>16</v>
      </c>
      <c r="F15" s="6" t="s">
        <v>14</v>
      </c>
      <c r="G15" s="6" t="s">
        <v>15</v>
      </c>
      <c r="H15" s="6" t="s">
        <v>15</v>
      </c>
      <c r="I15" s="6">
        <v>0.36499999999999999</v>
      </c>
      <c r="O15" t="s">
        <v>7</v>
      </c>
    </row>
    <row r="16" spans="1:24" x14ac:dyDescent="0.25">
      <c r="A16" s="6">
        <v>3602</v>
      </c>
      <c r="B16" s="6">
        <v>0</v>
      </c>
      <c r="C16" s="6">
        <v>2404</v>
      </c>
      <c r="D16" s="6" t="s">
        <v>26</v>
      </c>
      <c r="E16" s="6" t="s">
        <v>16</v>
      </c>
      <c r="F16" s="6" t="s">
        <v>27</v>
      </c>
      <c r="G16" s="6" t="s">
        <v>15</v>
      </c>
      <c r="H16" s="6" t="s">
        <v>24</v>
      </c>
      <c r="I16" s="6">
        <v>2.4E-2</v>
      </c>
      <c r="O16" t="s">
        <v>55</v>
      </c>
      <c r="P16">
        <v>-0.98880000000000001</v>
      </c>
      <c r="S16">
        <v>7.9600000000000004E-2</v>
      </c>
      <c r="U16">
        <f t="shared" si="0"/>
        <v>0.10261243651933417</v>
      </c>
      <c r="X16">
        <f t="shared" si="1"/>
        <v>1.2011576179375787</v>
      </c>
    </row>
    <row r="17" spans="1:24" x14ac:dyDescent="0.25">
      <c r="A17" s="6">
        <v>3607</v>
      </c>
      <c r="B17" s="6">
        <v>0</v>
      </c>
      <c r="C17" s="6">
        <v>2404</v>
      </c>
      <c r="D17" s="6" t="s">
        <v>30</v>
      </c>
      <c r="E17" s="6" t="s">
        <v>16</v>
      </c>
      <c r="F17" s="6" t="s">
        <v>20</v>
      </c>
      <c r="G17" s="6" t="s">
        <v>21</v>
      </c>
      <c r="H17" s="6" t="s">
        <v>15</v>
      </c>
      <c r="I17" s="6">
        <v>8.3000000000000004E-2</v>
      </c>
      <c r="O17" t="s">
        <v>58</v>
      </c>
      <c r="P17">
        <v>-0.86550000000000005</v>
      </c>
      <c r="S17">
        <v>8.9499999999999996E-2</v>
      </c>
      <c r="U17">
        <f t="shared" si="0"/>
        <v>0.13630130062078269</v>
      </c>
      <c r="X17">
        <f t="shared" si="1"/>
        <v>1.228853186578506</v>
      </c>
    </row>
    <row r="18" spans="1:24" x14ac:dyDescent="0.25">
      <c r="A18" s="6">
        <v>3609</v>
      </c>
      <c r="B18" s="6">
        <v>0</v>
      </c>
      <c r="C18" s="6">
        <v>2404</v>
      </c>
      <c r="D18" s="6" t="s">
        <v>42</v>
      </c>
      <c r="E18" s="6" t="s">
        <v>16</v>
      </c>
      <c r="F18" s="6" t="s">
        <v>20</v>
      </c>
      <c r="G18" s="6" t="s">
        <v>21</v>
      </c>
      <c r="H18" s="6" t="s">
        <v>15</v>
      </c>
      <c r="I18" s="6">
        <v>0.108</v>
      </c>
    </row>
    <row r="19" spans="1:24" x14ac:dyDescent="0.25">
      <c r="A19" s="6">
        <v>3623</v>
      </c>
      <c r="B19" s="6">
        <v>0</v>
      </c>
      <c r="C19" s="6">
        <v>2404</v>
      </c>
      <c r="D19" s="6" t="s">
        <v>30</v>
      </c>
      <c r="E19" s="6" t="s">
        <v>16</v>
      </c>
      <c r="F19" s="6" t="s">
        <v>20</v>
      </c>
      <c r="G19" s="6" t="s">
        <v>21</v>
      </c>
      <c r="H19" s="6" t="s">
        <v>15</v>
      </c>
      <c r="I19" s="6">
        <v>0.114</v>
      </c>
    </row>
    <row r="20" spans="1:24" x14ac:dyDescent="0.25">
      <c r="A20" s="6">
        <v>3629</v>
      </c>
      <c r="B20" s="6">
        <v>0</v>
      </c>
      <c r="C20" s="6">
        <v>2404</v>
      </c>
      <c r="D20" s="6" t="s">
        <v>33</v>
      </c>
      <c r="E20" s="6" t="s">
        <v>16</v>
      </c>
      <c r="F20" s="6" t="s">
        <v>27</v>
      </c>
      <c r="G20" s="6" t="s">
        <v>15</v>
      </c>
      <c r="H20" s="6" t="s">
        <v>24</v>
      </c>
      <c r="I20" s="6">
        <v>0.251</v>
      </c>
    </row>
    <row r="21" spans="1:24" x14ac:dyDescent="0.25">
      <c r="A21" s="6">
        <v>3636</v>
      </c>
      <c r="B21" s="6">
        <v>0</v>
      </c>
      <c r="C21" s="6">
        <v>2404</v>
      </c>
      <c r="D21" s="6" t="s">
        <v>26</v>
      </c>
      <c r="E21" s="6" t="s">
        <v>16</v>
      </c>
      <c r="F21" s="6" t="s">
        <v>27</v>
      </c>
      <c r="G21" s="6" t="s">
        <v>15</v>
      </c>
      <c r="H21" s="6" t="s">
        <v>24</v>
      </c>
      <c r="I21" s="6">
        <v>6.0000000000000001E-3</v>
      </c>
    </row>
    <row r="22" spans="1:24" x14ac:dyDescent="0.25">
      <c r="A22" s="6">
        <v>3639</v>
      </c>
      <c r="B22" s="6">
        <v>0</v>
      </c>
      <c r="C22" s="6">
        <v>2404</v>
      </c>
      <c r="D22" s="6" t="s">
        <v>34</v>
      </c>
      <c r="E22" s="6" t="s">
        <v>16</v>
      </c>
      <c r="F22" s="6" t="s">
        <v>14</v>
      </c>
      <c r="G22" s="6" t="s">
        <v>15</v>
      </c>
      <c r="H22" s="6" t="s">
        <v>15</v>
      </c>
      <c r="I22" s="6">
        <v>0.154</v>
      </c>
    </row>
    <row r="23" spans="1:24" x14ac:dyDescent="0.25">
      <c r="A23" s="6">
        <v>3651</v>
      </c>
      <c r="B23" s="6">
        <v>0</v>
      </c>
      <c r="C23" s="6">
        <v>2404</v>
      </c>
      <c r="D23" s="6" t="s">
        <v>42</v>
      </c>
      <c r="E23" s="6" t="s">
        <v>16</v>
      </c>
      <c r="F23" s="6" t="s">
        <v>20</v>
      </c>
      <c r="G23" s="6" t="s">
        <v>21</v>
      </c>
      <c r="H23" s="6" t="s">
        <v>15</v>
      </c>
      <c r="I23" s="6">
        <v>0.109</v>
      </c>
    </row>
    <row r="24" spans="1:24" x14ac:dyDescent="0.25">
      <c r="A24" s="6">
        <v>3655</v>
      </c>
      <c r="B24" s="6">
        <v>0</v>
      </c>
      <c r="C24" s="6">
        <v>2404</v>
      </c>
      <c r="D24" s="6" t="s">
        <v>42</v>
      </c>
      <c r="E24" s="6" t="s">
        <v>16</v>
      </c>
      <c r="F24" s="6" t="s">
        <v>20</v>
      </c>
      <c r="G24" s="6" t="s">
        <v>21</v>
      </c>
      <c r="H24" s="6" t="s">
        <v>15</v>
      </c>
      <c r="I24" s="6">
        <v>9.8000000000000004E-2</v>
      </c>
    </row>
    <row r="25" spans="1:24" x14ac:dyDescent="0.25">
      <c r="A25" s="6">
        <v>3004</v>
      </c>
      <c r="B25" s="6">
        <v>0</v>
      </c>
      <c r="C25" s="6">
        <v>2311</v>
      </c>
      <c r="D25" s="6" t="s">
        <v>25</v>
      </c>
      <c r="E25" s="6" t="s">
        <v>37</v>
      </c>
      <c r="F25" s="6" t="s">
        <v>23</v>
      </c>
      <c r="G25" s="6" t="s">
        <v>21</v>
      </c>
      <c r="H25" s="6" t="s">
        <v>24</v>
      </c>
      <c r="I25" s="6">
        <v>0.88400000000000001</v>
      </c>
    </row>
    <row r="26" spans="1:24" x14ac:dyDescent="0.25">
      <c r="A26" s="6">
        <v>3004</v>
      </c>
      <c r="B26" s="6">
        <v>0</v>
      </c>
      <c r="C26" s="6">
        <v>2311</v>
      </c>
      <c r="D26" s="6" t="s">
        <v>25</v>
      </c>
      <c r="E26" s="6" t="s">
        <v>37</v>
      </c>
      <c r="F26" s="6" t="s">
        <v>23</v>
      </c>
      <c r="G26" s="6" t="s">
        <v>21</v>
      </c>
      <c r="H26" s="6" t="s">
        <v>24</v>
      </c>
      <c r="I26" s="6">
        <v>0.84150000000000003</v>
      </c>
    </row>
    <row r="27" spans="1:24" x14ac:dyDescent="0.25">
      <c r="A27" s="6">
        <v>3005</v>
      </c>
      <c r="B27" s="6">
        <v>0</v>
      </c>
      <c r="C27" s="6">
        <v>2311</v>
      </c>
      <c r="D27" s="6" t="s">
        <v>25</v>
      </c>
      <c r="E27" s="6" t="s">
        <v>37</v>
      </c>
      <c r="F27" s="6" t="s">
        <v>23</v>
      </c>
      <c r="G27" s="6" t="s">
        <v>21</v>
      </c>
      <c r="H27" s="6" t="s">
        <v>24</v>
      </c>
      <c r="I27" s="6">
        <v>1.6E-2</v>
      </c>
    </row>
    <row r="28" spans="1:24" x14ac:dyDescent="0.25">
      <c r="A28" s="6">
        <v>3010</v>
      </c>
      <c r="B28" s="6">
        <v>0</v>
      </c>
      <c r="C28" s="6">
        <v>2311</v>
      </c>
      <c r="D28" s="6" t="s">
        <v>30</v>
      </c>
      <c r="E28" s="6" t="s">
        <v>37</v>
      </c>
      <c r="F28" s="6" t="s">
        <v>20</v>
      </c>
      <c r="G28" s="6" t="s">
        <v>21</v>
      </c>
      <c r="H28" s="6" t="s">
        <v>15</v>
      </c>
      <c r="I28" s="6">
        <v>0.14799999999999999</v>
      </c>
    </row>
    <row r="29" spans="1:24" x14ac:dyDescent="0.25">
      <c r="A29" s="6">
        <v>3014</v>
      </c>
      <c r="B29" s="6">
        <v>0</v>
      </c>
      <c r="C29" s="6">
        <v>2311</v>
      </c>
      <c r="D29" s="6" t="s">
        <v>25</v>
      </c>
      <c r="E29" s="6" t="s">
        <v>37</v>
      </c>
      <c r="F29" s="6" t="s">
        <v>23</v>
      </c>
      <c r="G29" s="6" t="s">
        <v>21</v>
      </c>
      <c r="H29" s="6" t="s">
        <v>24</v>
      </c>
      <c r="I29" s="6">
        <v>0.224</v>
      </c>
    </row>
    <row r="30" spans="1:24" x14ac:dyDescent="0.25">
      <c r="A30" s="6">
        <v>3017</v>
      </c>
      <c r="B30" s="6">
        <v>0</v>
      </c>
      <c r="C30" s="6">
        <v>2311</v>
      </c>
      <c r="D30" s="6" t="s">
        <v>25</v>
      </c>
      <c r="E30" s="6" t="s">
        <v>37</v>
      </c>
      <c r="F30" s="6" t="s">
        <v>23</v>
      </c>
      <c r="G30" s="6" t="s">
        <v>21</v>
      </c>
      <c r="H30" s="6" t="s">
        <v>24</v>
      </c>
      <c r="I30" s="6">
        <v>0.54400000000000004</v>
      </c>
    </row>
    <row r="31" spans="1:24" x14ac:dyDescent="0.25">
      <c r="A31" s="6">
        <v>3021</v>
      </c>
      <c r="B31" s="6">
        <v>0</v>
      </c>
      <c r="C31" s="6">
        <v>2311</v>
      </c>
      <c r="D31" s="6" t="s">
        <v>25</v>
      </c>
      <c r="E31" s="6" t="s">
        <v>37</v>
      </c>
      <c r="F31" s="6" t="s">
        <v>23</v>
      </c>
      <c r="G31" s="6" t="s">
        <v>21</v>
      </c>
      <c r="H31" s="6" t="s">
        <v>24</v>
      </c>
      <c r="I31" s="6">
        <v>7.8E-2</v>
      </c>
    </row>
    <row r="32" spans="1:24" x14ac:dyDescent="0.25">
      <c r="A32" s="6">
        <v>3119</v>
      </c>
      <c r="B32" s="6">
        <v>0</v>
      </c>
      <c r="C32" s="6">
        <v>2311</v>
      </c>
      <c r="D32" s="6" t="s">
        <v>30</v>
      </c>
      <c r="E32" s="6" t="s">
        <v>37</v>
      </c>
      <c r="F32" s="6" t="s">
        <v>20</v>
      </c>
      <c r="G32" s="6" t="s">
        <v>21</v>
      </c>
      <c r="H32" s="6" t="s">
        <v>15</v>
      </c>
      <c r="I32" s="6">
        <v>0.114</v>
      </c>
    </row>
    <row r="33" spans="1:9" x14ac:dyDescent="0.25">
      <c r="A33" s="6">
        <v>3129</v>
      </c>
      <c r="B33" s="6">
        <v>0</v>
      </c>
      <c r="C33" s="6">
        <v>2311</v>
      </c>
      <c r="D33" s="6" t="s">
        <v>17</v>
      </c>
      <c r="E33" s="6" t="s">
        <v>37</v>
      </c>
      <c r="F33" s="6" t="s">
        <v>14</v>
      </c>
      <c r="G33" s="6" t="s">
        <v>15</v>
      </c>
      <c r="H33" s="6" t="s">
        <v>15</v>
      </c>
      <c r="I33" s="6">
        <v>0.05</v>
      </c>
    </row>
    <row r="34" spans="1:9" x14ac:dyDescent="0.25">
      <c r="A34" s="6">
        <v>3132</v>
      </c>
      <c r="B34" s="6">
        <v>0</v>
      </c>
      <c r="C34" s="6">
        <v>2311</v>
      </c>
      <c r="D34" s="6" t="s">
        <v>26</v>
      </c>
      <c r="E34" s="6" t="s">
        <v>37</v>
      </c>
      <c r="F34" s="6" t="s">
        <v>27</v>
      </c>
      <c r="G34" s="6" t="s">
        <v>15</v>
      </c>
      <c r="H34" s="6" t="s">
        <v>24</v>
      </c>
      <c r="I34" s="6">
        <v>9.9500000000000005E-2</v>
      </c>
    </row>
    <row r="35" spans="1:9" x14ac:dyDescent="0.25">
      <c r="A35" s="6">
        <v>3150</v>
      </c>
      <c r="B35" s="6">
        <v>0</v>
      </c>
      <c r="C35" s="6">
        <v>2311</v>
      </c>
      <c r="D35" s="6" t="s">
        <v>51</v>
      </c>
      <c r="E35" s="6" t="s">
        <v>37</v>
      </c>
      <c r="F35" s="6" t="s">
        <v>20</v>
      </c>
      <c r="G35" s="6" t="s">
        <v>21</v>
      </c>
      <c r="H35" s="6" t="s">
        <v>15</v>
      </c>
      <c r="I35" s="6">
        <v>5.6500000000000002E-2</v>
      </c>
    </row>
    <row r="36" spans="1:9" x14ac:dyDescent="0.25">
      <c r="A36" s="6">
        <v>3158</v>
      </c>
      <c r="B36" s="6">
        <v>0</v>
      </c>
      <c r="C36" s="6">
        <v>2311</v>
      </c>
      <c r="D36" s="6" t="s">
        <v>51</v>
      </c>
      <c r="E36" s="6" t="s">
        <v>37</v>
      </c>
      <c r="F36" s="6" t="s">
        <v>20</v>
      </c>
      <c r="G36" s="6" t="s">
        <v>21</v>
      </c>
      <c r="H36" s="6" t="s">
        <v>15</v>
      </c>
      <c r="I36" s="6">
        <v>8.2000000000000003E-2</v>
      </c>
    </row>
    <row r="37" spans="1:9" x14ac:dyDescent="0.25">
      <c r="A37" s="6">
        <v>3201</v>
      </c>
      <c r="B37" s="6">
        <v>0</v>
      </c>
      <c r="C37" s="6">
        <v>2311</v>
      </c>
      <c r="D37" s="6" t="s">
        <v>17</v>
      </c>
      <c r="E37" s="6" t="s">
        <v>37</v>
      </c>
      <c r="F37" s="6" t="s">
        <v>14</v>
      </c>
      <c r="G37" s="6" t="s">
        <v>15</v>
      </c>
      <c r="H37" s="6" t="s">
        <v>15</v>
      </c>
      <c r="I37" s="6">
        <v>9.2999999999999999E-2</v>
      </c>
    </row>
    <row r="38" spans="1:9" x14ac:dyDescent="0.25">
      <c r="A38" s="6">
        <v>3201</v>
      </c>
      <c r="B38" s="6">
        <v>0</v>
      </c>
      <c r="C38" s="6">
        <v>2311</v>
      </c>
      <c r="D38" s="6" t="s">
        <v>17</v>
      </c>
      <c r="E38" s="6" t="s">
        <v>37</v>
      </c>
      <c r="F38" s="6" t="s">
        <v>14</v>
      </c>
      <c r="G38" s="6" t="s">
        <v>15</v>
      </c>
      <c r="H38" s="6" t="s">
        <v>15</v>
      </c>
      <c r="I38" s="6">
        <v>0.08</v>
      </c>
    </row>
    <row r="39" spans="1:9" x14ac:dyDescent="0.25">
      <c r="A39" s="6">
        <v>3211</v>
      </c>
      <c r="B39" s="6">
        <v>0</v>
      </c>
      <c r="C39" s="6">
        <v>2311</v>
      </c>
      <c r="D39" s="6" t="s">
        <v>26</v>
      </c>
      <c r="E39" s="6" t="s">
        <v>37</v>
      </c>
      <c r="F39" s="6" t="s">
        <v>27</v>
      </c>
      <c r="G39" s="6" t="s">
        <v>15</v>
      </c>
      <c r="H39" s="6" t="s">
        <v>24</v>
      </c>
      <c r="I39" s="6">
        <v>3.6999999999999998E-2</v>
      </c>
    </row>
    <row r="40" spans="1:9" x14ac:dyDescent="0.25">
      <c r="A40" s="6">
        <v>3216</v>
      </c>
      <c r="B40" s="6">
        <v>0</v>
      </c>
      <c r="C40" s="6">
        <v>2311</v>
      </c>
      <c r="D40" s="6" t="s">
        <v>25</v>
      </c>
      <c r="E40" s="6" t="s">
        <v>37</v>
      </c>
      <c r="F40" s="6" t="s">
        <v>23</v>
      </c>
      <c r="G40" s="6" t="s">
        <v>21</v>
      </c>
      <c r="H40" s="6" t="s">
        <v>24</v>
      </c>
      <c r="I40" s="6">
        <v>0.151</v>
      </c>
    </row>
    <row r="41" spans="1:9" x14ac:dyDescent="0.25">
      <c r="A41" s="6">
        <v>3217</v>
      </c>
      <c r="B41" s="6">
        <v>0</v>
      </c>
      <c r="C41" s="6">
        <v>2311</v>
      </c>
      <c r="D41" s="6" t="s">
        <v>13</v>
      </c>
      <c r="E41" s="6" t="s">
        <v>37</v>
      </c>
      <c r="F41" s="6" t="s">
        <v>14</v>
      </c>
      <c r="G41" s="6" t="s">
        <v>15</v>
      </c>
      <c r="H41" s="6" t="s">
        <v>15</v>
      </c>
      <c r="I41" s="6">
        <v>9.2999999999999999E-2</v>
      </c>
    </row>
    <row r="42" spans="1:9" x14ac:dyDescent="0.25">
      <c r="A42" s="6">
        <v>3219</v>
      </c>
      <c r="B42" s="6">
        <v>0</v>
      </c>
      <c r="C42" s="6">
        <v>2311</v>
      </c>
      <c r="D42" s="6" t="s">
        <v>13</v>
      </c>
      <c r="E42" s="6" t="s">
        <v>37</v>
      </c>
      <c r="F42" s="6" t="s">
        <v>14</v>
      </c>
      <c r="G42" s="6" t="s">
        <v>15</v>
      </c>
      <c r="H42" s="6" t="s">
        <v>15</v>
      </c>
      <c r="I42" s="6">
        <v>0.69699999999999995</v>
      </c>
    </row>
    <row r="43" spans="1:9" x14ac:dyDescent="0.25">
      <c r="A43" s="6">
        <v>3219</v>
      </c>
      <c r="B43" s="6">
        <v>0</v>
      </c>
      <c r="C43" s="6">
        <v>2311</v>
      </c>
      <c r="D43" s="6" t="s">
        <v>13</v>
      </c>
      <c r="E43" s="6" t="s">
        <v>37</v>
      </c>
      <c r="F43" s="6" t="s">
        <v>14</v>
      </c>
      <c r="G43" s="6" t="s">
        <v>15</v>
      </c>
      <c r="H43" s="6" t="s">
        <v>15</v>
      </c>
      <c r="I43" s="6">
        <v>0.80149999999999999</v>
      </c>
    </row>
    <row r="44" spans="1:9" x14ac:dyDescent="0.25">
      <c r="A44" s="6">
        <v>3501</v>
      </c>
      <c r="B44" s="6">
        <v>14</v>
      </c>
      <c r="C44" s="6">
        <v>2404</v>
      </c>
      <c r="D44" s="6" t="s">
        <v>13</v>
      </c>
      <c r="E44" s="6" t="s">
        <v>16</v>
      </c>
      <c r="F44" s="6" t="s">
        <v>14</v>
      </c>
      <c r="G44" s="6" t="s">
        <v>15</v>
      </c>
      <c r="H44" s="6" t="s">
        <v>15</v>
      </c>
      <c r="I44" s="6">
        <v>0.13400000000000001</v>
      </c>
    </row>
    <row r="45" spans="1:9" x14ac:dyDescent="0.25">
      <c r="A45" s="6">
        <v>3507</v>
      </c>
      <c r="B45" s="6">
        <v>14</v>
      </c>
      <c r="C45" s="6">
        <v>2404</v>
      </c>
      <c r="D45" s="6" t="s">
        <v>13</v>
      </c>
      <c r="E45" s="6" t="s">
        <v>16</v>
      </c>
      <c r="F45" s="6" t="s">
        <v>14</v>
      </c>
      <c r="G45" s="6" t="s">
        <v>15</v>
      </c>
      <c r="H45" s="6" t="s">
        <v>15</v>
      </c>
      <c r="I45" s="6">
        <v>0.33500000000000002</v>
      </c>
    </row>
    <row r="46" spans="1:9" x14ac:dyDescent="0.25">
      <c r="A46" s="6">
        <v>3511</v>
      </c>
      <c r="B46" s="6">
        <v>14</v>
      </c>
      <c r="C46" s="6">
        <v>2404</v>
      </c>
      <c r="D46" s="6" t="s">
        <v>17</v>
      </c>
      <c r="E46" s="6" t="s">
        <v>16</v>
      </c>
      <c r="F46" s="6" t="s">
        <v>14</v>
      </c>
      <c r="G46" s="6" t="s">
        <v>15</v>
      </c>
      <c r="H46" s="6" t="s">
        <v>15</v>
      </c>
      <c r="I46" s="6">
        <v>0.20399999999999999</v>
      </c>
    </row>
    <row r="47" spans="1:9" x14ac:dyDescent="0.25">
      <c r="A47" s="6">
        <v>3511</v>
      </c>
      <c r="B47" s="6">
        <v>14</v>
      </c>
      <c r="C47" s="6">
        <v>2404</v>
      </c>
      <c r="D47" s="6" t="s">
        <v>17</v>
      </c>
      <c r="E47" s="6" t="s">
        <v>16</v>
      </c>
      <c r="F47" s="6" t="s">
        <v>14</v>
      </c>
      <c r="G47" s="6" t="s">
        <v>15</v>
      </c>
      <c r="H47" s="6" t="s">
        <v>15</v>
      </c>
      <c r="I47" s="6">
        <v>6.2E-2</v>
      </c>
    </row>
    <row r="48" spans="1:9" x14ac:dyDescent="0.25">
      <c r="A48" s="6">
        <v>3517</v>
      </c>
      <c r="B48" s="6">
        <v>14</v>
      </c>
      <c r="C48" s="6">
        <v>2404</v>
      </c>
      <c r="D48" s="6" t="s">
        <v>30</v>
      </c>
      <c r="E48" s="6" t="s">
        <v>16</v>
      </c>
      <c r="F48" s="6" t="s">
        <v>20</v>
      </c>
      <c r="G48" s="6" t="s">
        <v>21</v>
      </c>
      <c r="H48" s="6" t="s">
        <v>15</v>
      </c>
      <c r="I48" s="6">
        <v>0.152</v>
      </c>
    </row>
    <row r="49" spans="1:9" x14ac:dyDescent="0.25">
      <c r="A49" s="6">
        <v>3523</v>
      </c>
      <c r="B49" s="6">
        <v>14</v>
      </c>
      <c r="C49" s="6">
        <v>2404</v>
      </c>
      <c r="D49" s="6" t="s">
        <v>42</v>
      </c>
      <c r="E49" s="6" t="s">
        <v>16</v>
      </c>
      <c r="F49" s="6" t="s">
        <v>20</v>
      </c>
      <c r="G49" s="6" t="s">
        <v>21</v>
      </c>
      <c r="H49" s="6" t="s">
        <v>15</v>
      </c>
      <c r="I49" s="6">
        <v>2.9000000000000001E-2</v>
      </c>
    </row>
    <row r="50" spans="1:9" x14ac:dyDescent="0.25">
      <c r="A50" s="6">
        <v>3534</v>
      </c>
      <c r="B50" s="6">
        <v>14</v>
      </c>
      <c r="C50" s="6">
        <v>2404</v>
      </c>
      <c r="D50" s="6" t="s">
        <v>42</v>
      </c>
      <c r="E50" s="6" t="s">
        <v>16</v>
      </c>
      <c r="F50" s="6" t="s">
        <v>20</v>
      </c>
      <c r="G50" s="6" t="s">
        <v>21</v>
      </c>
      <c r="H50" s="6" t="s">
        <v>15</v>
      </c>
      <c r="I50" s="6">
        <v>0.18099999999999999</v>
      </c>
    </row>
    <row r="51" spans="1:9" x14ac:dyDescent="0.25">
      <c r="A51" s="6">
        <v>3538</v>
      </c>
      <c r="B51" s="6">
        <v>14</v>
      </c>
      <c r="C51" s="6">
        <v>2404</v>
      </c>
      <c r="D51" s="6" t="s">
        <v>13</v>
      </c>
      <c r="E51" s="6" t="s">
        <v>16</v>
      </c>
      <c r="F51" s="6" t="s">
        <v>14</v>
      </c>
      <c r="G51" s="6" t="s">
        <v>15</v>
      </c>
      <c r="H51" s="6" t="s">
        <v>15</v>
      </c>
      <c r="I51" s="6">
        <v>0.155</v>
      </c>
    </row>
    <row r="52" spans="1:9" x14ac:dyDescent="0.25">
      <c r="A52" s="6">
        <v>3546</v>
      </c>
      <c r="B52" s="6">
        <v>14</v>
      </c>
      <c r="C52" s="6">
        <v>2404</v>
      </c>
      <c r="D52" s="6" t="s">
        <v>25</v>
      </c>
      <c r="E52" s="6" t="s">
        <v>16</v>
      </c>
      <c r="F52" s="6" t="s">
        <v>23</v>
      </c>
      <c r="G52" s="6" t="s">
        <v>21</v>
      </c>
      <c r="H52" s="6" t="s">
        <v>24</v>
      </c>
      <c r="I52" s="6">
        <v>5.7000000000000002E-2</v>
      </c>
    </row>
    <row r="53" spans="1:9" x14ac:dyDescent="0.25">
      <c r="A53" s="6">
        <v>3553</v>
      </c>
      <c r="B53" s="6">
        <v>14</v>
      </c>
      <c r="C53" s="6">
        <v>2404</v>
      </c>
      <c r="D53" s="6" t="s">
        <v>25</v>
      </c>
      <c r="E53" s="6" t="s">
        <v>16</v>
      </c>
      <c r="F53" s="6" t="s">
        <v>23</v>
      </c>
      <c r="G53" s="6" t="s">
        <v>21</v>
      </c>
      <c r="H53" s="6" t="s">
        <v>24</v>
      </c>
      <c r="I53" s="6">
        <v>0.115</v>
      </c>
    </row>
    <row r="54" spans="1:9" x14ac:dyDescent="0.25">
      <c r="A54" s="6">
        <v>3558</v>
      </c>
      <c r="B54" s="6">
        <v>14</v>
      </c>
      <c r="C54" s="6">
        <v>2404</v>
      </c>
      <c r="D54" s="6" t="s">
        <v>17</v>
      </c>
      <c r="E54" s="6" t="s">
        <v>16</v>
      </c>
      <c r="F54" s="6" t="s">
        <v>14</v>
      </c>
      <c r="G54" s="6" t="s">
        <v>15</v>
      </c>
      <c r="H54" s="6" t="s">
        <v>15</v>
      </c>
      <c r="I54" s="6">
        <v>1.9E-2</v>
      </c>
    </row>
    <row r="55" spans="1:9" x14ac:dyDescent="0.25">
      <c r="A55" s="6">
        <v>3570</v>
      </c>
      <c r="B55" s="6">
        <v>14</v>
      </c>
      <c r="C55" s="6">
        <v>2404</v>
      </c>
      <c r="D55" s="6" t="s">
        <v>32</v>
      </c>
      <c r="E55" s="6" t="s">
        <v>16</v>
      </c>
      <c r="F55" s="6" t="s">
        <v>23</v>
      </c>
      <c r="G55" s="6" t="s">
        <v>21</v>
      </c>
      <c r="H55" s="6" t="s">
        <v>24</v>
      </c>
      <c r="I55" s="6">
        <v>5.45E-2</v>
      </c>
    </row>
    <row r="56" spans="1:9" x14ac:dyDescent="0.25">
      <c r="A56" s="6">
        <v>3587</v>
      </c>
      <c r="B56" s="6">
        <v>14</v>
      </c>
      <c r="C56" s="6">
        <v>2404</v>
      </c>
      <c r="D56" s="6" t="s">
        <v>26</v>
      </c>
      <c r="E56" s="6" t="s">
        <v>16</v>
      </c>
      <c r="F56" s="6" t="s">
        <v>27</v>
      </c>
      <c r="G56" s="6" t="s">
        <v>15</v>
      </c>
      <c r="H56" s="6" t="s">
        <v>24</v>
      </c>
      <c r="I56" s="6">
        <v>0.31900000000000001</v>
      </c>
    </row>
    <row r="57" spans="1:9" x14ac:dyDescent="0.25">
      <c r="A57" s="6">
        <v>3591</v>
      </c>
      <c r="B57" s="6">
        <v>14</v>
      </c>
      <c r="C57" s="6">
        <v>2404</v>
      </c>
      <c r="D57" s="6" t="s">
        <v>13</v>
      </c>
      <c r="E57" s="6" t="s">
        <v>16</v>
      </c>
      <c r="F57" s="6" t="s">
        <v>14</v>
      </c>
      <c r="G57" s="6" t="s">
        <v>15</v>
      </c>
      <c r="H57" s="6" t="s">
        <v>15</v>
      </c>
      <c r="I57" s="6">
        <v>4.9000000000000002E-2</v>
      </c>
    </row>
    <row r="58" spans="1:9" x14ac:dyDescent="0.25">
      <c r="A58" s="6">
        <v>3607</v>
      </c>
      <c r="B58" s="6">
        <v>14</v>
      </c>
      <c r="C58" s="6">
        <v>2404</v>
      </c>
      <c r="D58" s="6" t="s">
        <v>30</v>
      </c>
      <c r="E58" s="6" t="s">
        <v>16</v>
      </c>
      <c r="F58" s="6" t="s">
        <v>20</v>
      </c>
      <c r="G58" s="6" t="s">
        <v>21</v>
      </c>
      <c r="H58" s="6" t="s">
        <v>15</v>
      </c>
      <c r="I58" s="6">
        <v>4.2999999999999997E-2</v>
      </c>
    </row>
    <row r="59" spans="1:9" x14ac:dyDescent="0.25">
      <c r="A59" s="6">
        <v>3609</v>
      </c>
      <c r="B59" s="6">
        <v>14</v>
      </c>
      <c r="C59" s="6">
        <v>2404</v>
      </c>
      <c r="D59" s="6" t="s">
        <v>42</v>
      </c>
      <c r="E59" s="6" t="s">
        <v>16</v>
      </c>
      <c r="F59" s="6" t="s">
        <v>20</v>
      </c>
      <c r="G59" s="6" t="s">
        <v>21</v>
      </c>
      <c r="H59" s="6" t="s">
        <v>15</v>
      </c>
      <c r="I59" s="6">
        <v>0.193</v>
      </c>
    </row>
    <row r="60" spans="1:9" x14ac:dyDescent="0.25">
      <c r="A60" s="6">
        <v>3623</v>
      </c>
      <c r="B60" s="6">
        <v>14</v>
      </c>
      <c r="C60" s="6">
        <v>2404</v>
      </c>
      <c r="D60" s="6" t="s">
        <v>30</v>
      </c>
      <c r="E60" s="6" t="s">
        <v>16</v>
      </c>
      <c r="F60" s="6" t="s">
        <v>20</v>
      </c>
      <c r="G60" s="6" t="s">
        <v>21</v>
      </c>
      <c r="H60" s="6" t="s">
        <v>15</v>
      </c>
      <c r="I60" s="6">
        <v>0.15</v>
      </c>
    </row>
    <row r="61" spans="1:9" x14ac:dyDescent="0.25">
      <c r="A61" s="6">
        <v>3636</v>
      </c>
      <c r="B61" s="6">
        <v>14</v>
      </c>
      <c r="C61" s="6">
        <v>2404</v>
      </c>
      <c r="D61" s="6" t="s">
        <v>26</v>
      </c>
      <c r="E61" s="6" t="s">
        <v>16</v>
      </c>
      <c r="F61" s="6" t="s">
        <v>27</v>
      </c>
      <c r="G61" s="6" t="s">
        <v>15</v>
      </c>
      <c r="H61" s="6" t="s">
        <v>24</v>
      </c>
      <c r="I61" s="6">
        <v>7.0000000000000007E-2</v>
      </c>
    </row>
    <row r="62" spans="1:9" x14ac:dyDescent="0.25">
      <c r="A62" s="6">
        <v>3639</v>
      </c>
      <c r="B62" s="6">
        <v>14</v>
      </c>
      <c r="C62" s="6">
        <v>2404</v>
      </c>
      <c r="D62" s="6" t="s">
        <v>34</v>
      </c>
      <c r="E62" s="6" t="s">
        <v>16</v>
      </c>
      <c r="F62" s="6" t="s">
        <v>14</v>
      </c>
      <c r="G62" s="6" t="s">
        <v>15</v>
      </c>
      <c r="H62" s="6" t="s">
        <v>15</v>
      </c>
      <c r="I62" s="6">
        <v>0.28299999999999997</v>
      </c>
    </row>
    <row r="63" spans="1:9" x14ac:dyDescent="0.25">
      <c r="A63" s="6">
        <v>3651</v>
      </c>
      <c r="B63" s="6">
        <v>14</v>
      </c>
      <c r="C63" s="6">
        <v>2404</v>
      </c>
      <c r="D63" s="6" t="s">
        <v>42</v>
      </c>
      <c r="E63" s="6" t="s">
        <v>16</v>
      </c>
      <c r="F63" s="6" t="s">
        <v>20</v>
      </c>
      <c r="G63" s="6" t="s">
        <v>21</v>
      </c>
      <c r="H63" s="6" t="s">
        <v>15</v>
      </c>
      <c r="I63" s="6">
        <v>0.12</v>
      </c>
    </row>
    <row r="64" spans="1:9" x14ac:dyDescent="0.25">
      <c r="A64" s="6">
        <v>3653</v>
      </c>
      <c r="B64" s="6">
        <v>14</v>
      </c>
      <c r="C64" s="6">
        <v>2404</v>
      </c>
      <c r="D64" s="6" t="s">
        <v>42</v>
      </c>
      <c r="E64" s="6" t="s">
        <v>16</v>
      </c>
      <c r="F64" s="6" t="s">
        <v>20</v>
      </c>
      <c r="G64" s="6" t="s">
        <v>21</v>
      </c>
      <c r="H64" s="6" t="s">
        <v>15</v>
      </c>
      <c r="I64" s="6">
        <v>8.5999999999999993E-2</v>
      </c>
    </row>
    <row r="65" spans="1:9" x14ac:dyDescent="0.25">
      <c r="A65" s="6">
        <v>3655</v>
      </c>
      <c r="B65" s="6">
        <v>14</v>
      </c>
      <c r="C65" s="6">
        <v>2404</v>
      </c>
      <c r="D65" s="6" t="s">
        <v>42</v>
      </c>
      <c r="E65" s="6" t="s">
        <v>16</v>
      </c>
      <c r="F65" s="6" t="s">
        <v>20</v>
      </c>
      <c r="G65" s="6" t="s">
        <v>21</v>
      </c>
      <c r="H65" s="6" t="s">
        <v>15</v>
      </c>
      <c r="I65" s="6">
        <v>9.5000000000000001E-2</v>
      </c>
    </row>
    <row r="66" spans="1:9" x14ac:dyDescent="0.25">
      <c r="A66" s="6">
        <v>3004</v>
      </c>
      <c r="B66" s="6">
        <v>14</v>
      </c>
      <c r="C66" s="6">
        <v>2311</v>
      </c>
      <c r="D66" s="6" t="s">
        <v>25</v>
      </c>
      <c r="E66" s="6" t="s">
        <v>37</v>
      </c>
      <c r="F66" s="6" t="s">
        <v>23</v>
      </c>
      <c r="G66" s="6" t="s">
        <v>21</v>
      </c>
      <c r="H66" s="6" t="s">
        <v>24</v>
      </c>
      <c r="I66" s="6">
        <v>0.82</v>
      </c>
    </row>
    <row r="67" spans="1:9" x14ac:dyDescent="0.25">
      <c r="A67" s="6">
        <v>3004</v>
      </c>
      <c r="B67" s="6">
        <v>14</v>
      </c>
      <c r="C67" s="6">
        <v>2311</v>
      </c>
      <c r="D67" s="6" t="s">
        <v>25</v>
      </c>
      <c r="E67" s="6" t="s">
        <v>37</v>
      </c>
      <c r="F67" s="6" t="s">
        <v>23</v>
      </c>
      <c r="G67" s="6" t="s">
        <v>21</v>
      </c>
      <c r="H67" s="6" t="s">
        <v>24</v>
      </c>
      <c r="I67" s="6">
        <v>0.84499999999999997</v>
      </c>
    </row>
    <row r="68" spans="1:9" x14ac:dyDescent="0.25">
      <c r="A68" s="6">
        <v>3005</v>
      </c>
      <c r="B68" s="6">
        <v>14</v>
      </c>
      <c r="C68" s="6">
        <v>2311</v>
      </c>
      <c r="D68" s="6" t="s">
        <v>25</v>
      </c>
      <c r="E68" s="6" t="s">
        <v>37</v>
      </c>
      <c r="F68" s="6" t="s">
        <v>23</v>
      </c>
      <c r="G68" s="6" t="s">
        <v>21</v>
      </c>
      <c r="H68" s="6" t="s">
        <v>24</v>
      </c>
      <c r="I68" s="6">
        <v>7.8E-2</v>
      </c>
    </row>
    <row r="69" spans="1:9" x14ac:dyDescent="0.25">
      <c r="A69" s="6">
        <v>3010</v>
      </c>
      <c r="B69" s="6">
        <v>14</v>
      </c>
      <c r="C69" s="6">
        <v>2311</v>
      </c>
      <c r="D69" s="6" t="s">
        <v>30</v>
      </c>
      <c r="E69" s="6" t="s">
        <v>37</v>
      </c>
      <c r="F69" s="6" t="s">
        <v>20</v>
      </c>
      <c r="G69" s="6" t="s">
        <v>21</v>
      </c>
      <c r="H69" s="6" t="s">
        <v>15</v>
      </c>
      <c r="I69" s="6">
        <v>0.1</v>
      </c>
    </row>
    <row r="70" spans="1:9" x14ac:dyDescent="0.25">
      <c r="A70" s="6">
        <v>3014</v>
      </c>
      <c r="B70" s="6">
        <v>14</v>
      </c>
      <c r="C70" s="6">
        <v>2311</v>
      </c>
      <c r="D70" s="6" t="s">
        <v>25</v>
      </c>
      <c r="E70" s="6" t="s">
        <v>37</v>
      </c>
      <c r="F70" s="6" t="s">
        <v>23</v>
      </c>
      <c r="G70" s="6" t="s">
        <v>21</v>
      </c>
      <c r="H70" s="6" t="s">
        <v>24</v>
      </c>
      <c r="I70" s="6">
        <v>0.215</v>
      </c>
    </row>
    <row r="71" spans="1:9" x14ac:dyDescent="0.25">
      <c r="A71" s="6">
        <v>3017</v>
      </c>
      <c r="B71" s="6">
        <v>14</v>
      </c>
      <c r="C71" s="6">
        <v>2311</v>
      </c>
      <c r="D71" s="6" t="s">
        <v>25</v>
      </c>
      <c r="E71" s="6" t="s">
        <v>37</v>
      </c>
      <c r="F71" s="6" t="s">
        <v>23</v>
      </c>
      <c r="G71" s="6" t="s">
        <v>21</v>
      </c>
      <c r="H71" s="6" t="s">
        <v>24</v>
      </c>
      <c r="I71" s="6">
        <v>6.6000000000000003E-2</v>
      </c>
    </row>
    <row r="72" spans="1:9" x14ac:dyDescent="0.25">
      <c r="A72" s="6">
        <v>3021</v>
      </c>
      <c r="B72" s="6">
        <v>14</v>
      </c>
      <c r="C72" s="6">
        <v>2311</v>
      </c>
      <c r="D72" s="6" t="s">
        <v>25</v>
      </c>
      <c r="E72" s="6" t="s">
        <v>37</v>
      </c>
      <c r="F72" s="6" t="s">
        <v>23</v>
      </c>
      <c r="G72" s="6" t="s">
        <v>21</v>
      </c>
      <c r="H72" s="6" t="s">
        <v>24</v>
      </c>
      <c r="I72" s="6">
        <v>7.4999999999999997E-2</v>
      </c>
    </row>
    <row r="73" spans="1:9" x14ac:dyDescent="0.25">
      <c r="A73" s="6">
        <v>3116</v>
      </c>
      <c r="B73" s="6">
        <v>14</v>
      </c>
      <c r="C73" s="6">
        <v>2311</v>
      </c>
      <c r="D73" s="6" t="s">
        <v>25</v>
      </c>
      <c r="E73" s="6" t="s">
        <v>37</v>
      </c>
      <c r="F73" s="6" t="s">
        <v>23</v>
      </c>
      <c r="G73" s="6" t="s">
        <v>21</v>
      </c>
      <c r="H73" s="6" t="s">
        <v>24</v>
      </c>
      <c r="I73" s="6">
        <v>6.4000000000000001E-2</v>
      </c>
    </row>
    <row r="74" spans="1:9" x14ac:dyDescent="0.25">
      <c r="A74" s="6">
        <v>3119</v>
      </c>
      <c r="B74" s="6">
        <v>14</v>
      </c>
      <c r="C74" s="6">
        <v>2311</v>
      </c>
      <c r="D74" s="6" t="s">
        <v>30</v>
      </c>
      <c r="E74" s="6" t="s">
        <v>37</v>
      </c>
      <c r="F74" s="6" t="s">
        <v>20</v>
      </c>
      <c r="G74" s="6" t="s">
        <v>21</v>
      </c>
      <c r="H74" s="6" t="s">
        <v>15</v>
      </c>
      <c r="I74" s="6">
        <v>0.23050000000000001</v>
      </c>
    </row>
    <row r="75" spans="1:9" x14ac:dyDescent="0.25">
      <c r="A75" s="6">
        <v>3129</v>
      </c>
      <c r="B75" s="6">
        <v>14</v>
      </c>
      <c r="C75" s="6">
        <v>2311</v>
      </c>
      <c r="D75" s="6" t="s">
        <v>17</v>
      </c>
      <c r="E75" s="6" t="s">
        <v>37</v>
      </c>
      <c r="F75" s="6" t="s">
        <v>14</v>
      </c>
      <c r="G75" s="6" t="s">
        <v>15</v>
      </c>
      <c r="H75" s="6" t="s">
        <v>15</v>
      </c>
      <c r="I75" s="6">
        <v>3.5999999999999997E-2</v>
      </c>
    </row>
    <row r="76" spans="1:9" x14ac:dyDescent="0.25">
      <c r="A76" s="6">
        <v>3132</v>
      </c>
      <c r="B76" s="6">
        <v>14</v>
      </c>
      <c r="C76" s="6">
        <v>2311</v>
      </c>
      <c r="D76" s="6" t="s">
        <v>26</v>
      </c>
      <c r="E76" s="6" t="s">
        <v>37</v>
      </c>
      <c r="F76" s="6" t="s">
        <v>27</v>
      </c>
      <c r="G76" s="6" t="s">
        <v>15</v>
      </c>
      <c r="H76" s="6" t="s">
        <v>24</v>
      </c>
      <c r="I76" s="6">
        <v>0.1835</v>
      </c>
    </row>
    <row r="77" spans="1:9" x14ac:dyDescent="0.25">
      <c r="A77" s="6">
        <v>3150</v>
      </c>
      <c r="B77" s="6">
        <v>14</v>
      </c>
      <c r="C77" s="6">
        <v>2311</v>
      </c>
      <c r="D77" s="6" t="s">
        <v>51</v>
      </c>
      <c r="E77" s="6" t="s">
        <v>37</v>
      </c>
      <c r="F77" s="6" t="s">
        <v>20</v>
      </c>
      <c r="G77" s="6" t="s">
        <v>21</v>
      </c>
      <c r="H77" s="6" t="s">
        <v>15</v>
      </c>
      <c r="I77" s="6">
        <v>5.8500000000000003E-2</v>
      </c>
    </row>
    <row r="78" spans="1:9" x14ac:dyDescent="0.25">
      <c r="A78" s="6">
        <v>3158</v>
      </c>
      <c r="B78" s="6">
        <v>14</v>
      </c>
      <c r="C78" s="6">
        <v>2311</v>
      </c>
      <c r="D78" s="6" t="s">
        <v>51</v>
      </c>
      <c r="E78" s="6" t="s">
        <v>37</v>
      </c>
      <c r="F78" s="6" t="s">
        <v>20</v>
      </c>
      <c r="G78" s="6" t="s">
        <v>21</v>
      </c>
      <c r="H78" s="6" t="s">
        <v>15</v>
      </c>
      <c r="I78" s="6">
        <v>0.20349999999999999</v>
      </c>
    </row>
    <row r="79" spans="1:9" x14ac:dyDescent="0.25">
      <c r="A79" s="6">
        <v>3201</v>
      </c>
      <c r="B79" s="6">
        <v>14</v>
      </c>
      <c r="C79" s="6">
        <v>2311</v>
      </c>
      <c r="D79" s="6" t="s">
        <v>17</v>
      </c>
      <c r="E79" s="6" t="s">
        <v>37</v>
      </c>
      <c r="F79" s="6" t="s">
        <v>14</v>
      </c>
      <c r="G79" s="6" t="s">
        <v>15</v>
      </c>
      <c r="H79" s="6" t="s">
        <v>15</v>
      </c>
      <c r="I79" s="6">
        <v>0.11650000000000001</v>
      </c>
    </row>
    <row r="80" spans="1:9" x14ac:dyDescent="0.25">
      <c r="A80" s="6">
        <v>3211</v>
      </c>
      <c r="B80" s="6">
        <v>14</v>
      </c>
      <c r="C80" s="6">
        <v>2311</v>
      </c>
      <c r="D80" s="6" t="s">
        <v>26</v>
      </c>
      <c r="E80" s="6" t="s">
        <v>37</v>
      </c>
      <c r="F80" s="6" t="s">
        <v>27</v>
      </c>
      <c r="G80" s="6" t="s">
        <v>15</v>
      </c>
      <c r="H80" s="6" t="s">
        <v>24</v>
      </c>
      <c r="I80" s="6">
        <v>4.7E-2</v>
      </c>
    </row>
    <row r="81" spans="1:9" x14ac:dyDescent="0.25">
      <c r="A81" s="6">
        <v>3217</v>
      </c>
      <c r="B81" s="6">
        <v>14</v>
      </c>
      <c r="C81" s="6">
        <v>2311</v>
      </c>
      <c r="D81" s="6" t="s">
        <v>13</v>
      </c>
      <c r="E81" s="6" t="s">
        <v>37</v>
      </c>
      <c r="F81" s="6" t="s">
        <v>14</v>
      </c>
      <c r="G81" s="6" t="s">
        <v>15</v>
      </c>
      <c r="H81" s="6" t="s">
        <v>15</v>
      </c>
      <c r="I81" s="6">
        <v>9.0499999999999997E-2</v>
      </c>
    </row>
    <row r="82" spans="1:9" x14ac:dyDescent="0.25">
      <c r="A82" s="6">
        <v>3219</v>
      </c>
      <c r="B82" s="6">
        <v>14</v>
      </c>
      <c r="C82" s="6">
        <v>2311</v>
      </c>
      <c r="D82" s="6" t="s">
        <v>13</v>
      </c>
      <c r="E82" s="6" t="s">
        <v>37</v>
      </c>
      <c r="F82" s="6" t="s">
        <v>14</v>
      </c>
      <c r="G82" s="6" t="s">
        <v>15</v>
      </c>
      <c r="H82" s="6" t="s">
        <v>15</v>
      </c>
      <c r="I82" s="6">
        <v>0.73099999999999998</v>
      </c>
    </row>
    <row r="83" spans="1:9" x14ac:dyDescent="0.25">
      <c r="A83" s="6">
        <v>3219</v>
      </c>
      <c r="B83" s="6">
        <v>14</v>
      </c>
      <c r="C83" s="6">
        <v>2311</v>
      </c>
      <c r="D83" s="6" t="s">
        <v>13</v>
      </c>
      <c r="E83" s="6" t="s">
        <v>37</v>
      </c>
      <c r="F83" s="6" t="s">
        <v>14</v>
      </c>
      <c r="G83" s="6" t="s">
        <v>15</v>
      </c>
      <c r="H83" s="6" t="s">
        <v>15</v>
      </c>
      <c r="I83" s="6">
        <v>0.64749999999999996</v>
      </c>
    </row>
    <row r="84" spans="1:9" x14ac:dyDescent="0.25">
      <c r="A84" s="6">
        <v>3220</v>
      </c>
      <c r="B84" s="6">
        <v>14</v>
      </c>
      <c r="C84" s="6">
        <v>2311</v>
      </c>
      <c r="D84" s="6" t="s">
        <v>13</v>
      </c>
      <c r="E84" s="6" t="s">
        <v>37</v>
      </c>
      <c r="F84" s="6" t="s">
        <v>14</v>
      </c>
      <c r="G84" s="6" t="s">
        <v>15</v>
      </c>
      <c r="H84" s="6" t="s">
        <v>15</v>
      </c>
      <c r="I84" s="6">
        <v>3.2000000000000001E-2</v>
      </c>
    </row>
    <row r="85" spans="1:9" x14ac:dyDescent="0.25">
      <c r="A85" s="6">
        <v>3501</v>
      </c>
      <c r="B85" s="6">
        <v>60</v>
      </c>
      <c r="C85" s="6">
        <v>2404</v>
      </c>
      <c r="D85" s="6" t="s">
        <v>13</v>
      </c>
      <c r="E85" s="6" t="s">
        <v>16</v>
      </c>
      <c r="F85" s="6" t="s">
        <v>14</v>
      </c>
      <c r="G85" s="6" t="s">
        <v>15</v>
      </c>
      <c r="H85" s="6" t="s">
        <v>15</v>
      </c>
      <c r="I85" s="6">
        <v>0.12</v>
      </c>
    </row>
    <row r="86" spans="1:9" x14ac:dyDescent="0.25">
      <c r="A86" s="6">
        <v>3511</v>
      </c>
      <c r="B86" s="6">
        <v>60</v>
      </c>
      <c r="C86" s="6">
        <v>2404</v>
      </c>
      <c r="D86" s="6" t="s">
        <v>17</v>
      </c>
      <c r="E86" s="6" t="s">
        <v>16</v>
      </c>
      <c r="F86" s="6" t="s">
        <v>14</v>
      </c>
      <c r="G86" s="6" t="s">
        <v>15</v>
      </c>
      <c r="H86" s="6" t="s">
        <v>15</v>
      </c>
      <c r="I86" s="6">
        <v>5.2999999999999999E-2</v>
      </c>
    </row>
    <row r="87" spans="1:9" x14ac:dyDescent="0.25">
      <c r="A87" s="6">
        <v>3511</v>
      </c>
      <c r="B87" s="6">
        <v>60</v>
      </c>
      <c r="C87" s="6">
        <v>2404</v>
      </c>
      <c r="D87" s="6" t="s">
        <v>17</v>
      </c>
      <c r="E87" s="6" t="s">
        <v>16</v>
      </c>
      <c r="F87" s="6" t="s">
        <v>14</v>
      </c>
      <c r="G87" s="6" t="s">
        <v>15</v>
      </c>
      <c r="H87" s="6" t="s">
        <v>15</v>
      </c>
      <c r="I87" s="6">
        <v>1.077</v>
      </c>
    </row>
    <row r="88" spans="1:9" x14ac:dyDescent="0.25">
      <c r="A88" s="6">
        <v>3517</v>
      </c>
      <c r="B88" s="6">
        <v>60</v>
      </c>
      <c r="C88" s="6">
        <v>2404</v>
      </c>
      <c r="D88" s="6" t="s">
        <v>30</v>
      </c>
      <c r="E88" s="6" t="s">
        <v>16</v>
      </c>
      <c r="F88" s="6" t="s">
        <v>20</v>
      </c>
      <c r="G88" s="6" t="s">
        <v>21</v>
      </c>
      <c r="H88" s="6" t="s">
        <v>15</v>
      </c>
      <c r="I88" s="6">
        <v>0.2525</v>
      </c>
    </row>
    <row r="89" spans="1:9" x14ac:dyDescent="0.25">
      <c r="A89" s="6">
        <v>3523</v>
      </c>
      <c r="B89" s="6">
        <v>60</v>
      </c>
      <c r="C89" s="6">
        <v>2404</v>
      </c>
      <c r="D89" s="6" t="s">
        <v>42</v>
      </c>
      <c r="E89" s="6" t="s">
        <v>16</v>
      </c>
      <c r="F89" s="6" t="s">
        <v>20</v>
      </c>
      <c r="G89" s="6" t="s">
        <v>21</v>
      </c>
      <c r="H89" s="6" t="s">
        <v>15</v>
      </c>
      <c r="I89" s="6">
        <v>0.09</v>
      </c>
    </row>
    <row r="90" spans="1:9" x14ac:dyDescent="0.25">
      <c r="A90" s="6">
        <v>3534</v>
      </c>
      <c r="B90" s="6">
        <v>60</v>
      </c>
      <c r="C90" s="6">
        <v>2404</v>
      </c>
      <c r="D90" s="6" t="s">
        <v>42</v>
      </c>
      <c r="E90" s="6" t="s">
        <v>16</v>
      </c>
      <c r="F90" s="6" t="s">
        <v>20</v>
      </c>
      <c r="G90" s="6" t="s">
        <v>21</v>
      </c>
      <c r="H90" s="6" t="s">
        <v>15</v>
      </c>
      <c r="I90" s="6">
        <v>0.15</v>
      </c>
    </row>
    <row r="91" spans="1:9" x14ac:dyDescent="0.25">
      <c r="A91" s="6">
        <v>3538</v>
      </c>
      <c r="B91" s="6">
        <v>60</v>
      </c>
      <c r="C91" s="6">
        <v>2404</v>
      </c>
      <c r="D91" s="6" t="s">
        <v>13</v>
      </c>
      <c r="E91" s="6" t="s">
        <v>16</v>
      </c>
      <c r="F91" s="6" t="s">
        <v>14</v>
      </c>
      <c r="G91" s="6" t="s">
        <v>15</v>
      </c>
      <c r="H91" s="6" t="s">
        <v>15</v>
      </c>
      <c r="I91" s="6">
        <v>0.11799999999999999</v>
      </c>
    </row>
    <row r="92" spans="1:9" x14ac:dyDescent="0.25">
      <c r="A92" s="6">
        <v>3546</v>
      </c>
      <c r="B92" s="6">
        <v>60</v>
      </c>
      <c r="C92" s="6">
        <v>2404</v>
      </c>
      <c r="D92" s="6" t="s">
        <v>25</v>
      </c>
      <c r="E92" s="6" t="s">
        <v>16</v>
      </c>
      <c r="F92" s="6" t="s">
        <v>23</v>
      </c>
      <c r="G92" s="6" t="s">
        <v>21</v>
      </c>
      <c r="H92" s="6" t="s">
        <v>24</v>
      </c>
      <c r="I92" s="6">
        <v>0.111</v>
      </c>
    </row>
    <row r="93" spans="1:9" x14ac:dyDescent="0.25">
      <c r="A93" s="6">
        <v>3553</v>
      </c>
      <c r="B93" s="6">
        <v>60</v>
      </c>
      <c r="C93" s="6">
        <v>2404</v>
      </c>
      <c r="D93" s="6" t="s">
        <v>25</v>
      </c>
      <c r="E93" s="6" t="s">
        <v>16</v>
      </c>
      <c r="F93" s="6" t="s">
        <v>23</v>
      </c>
      <c r="G93" s="6" t="s">
        <v>21</v>
      </c>
      <c r="H93" s="6" t="s">
        <v>24</v>
      </c>
      <c r="I93" s="6">
        <v>0.108</v>
      </c>
    </row>
    <row r="94" spans="1:9" x14ac:dyDescent="0.25">
      <c r="A94" s="6">
        <v>3558</v>
      </c>
      <c r="B94" s="6">
        <v>60</v>
      </c>
      <c r="C94" s="6">
        <v>2404</v>
      </c>
      <c r="D94" s="6" t="s">
        <v>17</v>
      </c>
      <c r="E94" s="6" t="s">
        <v>16</v>
      </c>
      <c r="F94" s="6" t="s">
        <v>14</v>
      </c>
      <c r="G94" s="6" t="s">
        <v>15</v>
      </c>
      <c r="H94" s="6" t="s">
        <v>15</v>
      </c>
      <c r="I94" s="6">
        <v>7.9000000000000001E-2</v>
      </c>
    </row>
    <row r="95" spans="1:9" x14ac:dyDescent="0.25">
      <c r="A95" s="6">
        <v>3570</v>
      </c>
      <c r="B95" s="6">
        <v>60</v>
      </c>
      <c r="C95" s="6">
        <v>2404</v>
      </c>
      <c r="D95" s="6" t="s">
        <v>32</v>
      </c>
      <c r="E95" s="6" t="s">
        <v>16</v>
      </c>
      <c r="F95" s="6" t="s">
        <v>23</v>
      </c>
      <c r="G95" s="6" t="s">
        <v>21</v>
      </c>
      <c r="H95" s="6" t="s">
        <v>24</v>
      </c>
      <c r="I95" s="6">
        <v>8.0500000000000002E-2</v>
      </c>
    </row>
    <row r="96" spans="1:9" x14ac:dyDescent="0.25">
      <c r="A96" s="6">
        <v>3587</v>
      </c>
      <c r="B96" s="6">
        <v>60</v>
      </c>
      <c r="C96" s="6">
        <v>2404</v>
      </c>
      <c r="D96" s="6" t="s">
        <v>26</v>
      </c>
      <c r="E96" s="6" t="s">
        <v>16</v>
      </c>
      <c r="F96" s="6" t="s">
        <v>27</v>
      </c>
      <c r="G96" s="6" t="s">
        <v>15</v>
      </c>
      <c r="H96" s="6" t="s">
        <v>24</v>
      </c>
      <c r="I96" s="6">
        <v>0.54849999999999999</v>
      </c>
    </row>
    <row r="97" spans="1:9" x14ac:dyDescent="0.25">
      <c r="A97" s="6">
        <v>3591</v>
      </c>
      <c r="B97" s="6">
        <v>60</v>
      </c>
      <c r="C97" s="6">
        <v>2404</v>
      </c>
      <c r="D97" s="6" t="s">
        <v>13</v>
      </c>
      <c r="E97" s="6" t="s">
        <v>16</v>
      </c>
      <c r="F97" s="6" t="s">
        <v>14</v>
      </c>
      <c r="G97" s="6" t="s">
        <v>15</v>
      </c>
      <c r="H97" s="6" t="s">
        <v>15</v>
      </c>
      <c r="I97" s="6">
        <v>0.2485</v>
      </c>
    </row>
    <row r="98" spans="1:9" x14ac:dyDescent="0.25">
      <c r="A98" s="6">
        <v>3602</v>
      </c>
      <c r="B98" s="6">
        <v>60</v>
      </c>
      <c r="C98" s="6">
        <v>2404</v>
      </c>
      <c r="D98" s="6" t="s">
        <v>26</v>
      </c>
      <c r="E98" s="6" t="s">
        <v>16</v>
      </c>
      <c r="F98" s="6" t="s">
        <v>27</v>
      </c>
      <c r="G98" s="6" t="s">
        <v>15</v>
      </c>
      <c r="H98" s="6" t="s">
        <v>24</v>
      </c>
      <c r="I98" s="6">
        <v>9.0999999999999998E-2</v>
      </c>
    </row>
    <row r="99" spans="1:9" x14ac:dyDescent="0.25">
      <c r="A99" s="6">
        <v>3607</v>
      </c>
      <c r="B99" s="6">
        <v>60</v>
      </c>
      <c r="C99" s="6">
        <v>2404</v>
      </c>
      <c r="D99" s="6" t="s">
        <v>30</v>
      </c>
      <c r="E99" s="6" t="s">
        <v>16</v>
      </c>
      <c r="F99" s="6" t="s">
        <v>20</v>
      </c>
      <c r="G99" s="6" t="s">
        <v>21</v>
      </c>
      <c r="H99" s="6" t="s">
        <v>15</v>
      </c>
      <c r="I99" s="6">
        <v>5.5500000000000001E-2</v>
      </c>
    </row>
    <row r="100" spans="1:9" x14ac:dyDescent="0.25">
      <c r="A100" s="6">
        <v>3623</v>
      </c>
      <c r="B100" s="6">
        <v>60</v>
      </c>
      <c r="C100" s="6">
        <v>2404</v>
      </c>
      <c r="D100" s="6" t="s">
        <v>30</v>
      </c>
      <c r="E100" s="6" t="s">
        <v>16</v>
      </c>
      <c r="F100" s="6" t="s">
        <v>20</v>
      </c>
      <c r="G100" s="6" t="s">
        <v>21</v>
      </c>
      <c r="H100" s="6" t="s">
        <v>15</v>
      </c>
      <c r="I100" s="6">
        <v>0.122</v>
      </c>
    </row>
    <row r="101" spans="1:9" x14ac:dyDescent="0.25">
      <c r="A101" s="6">
        <v>3629</v>
      </c>
      <c r="B101" s="6">
        <v>60</v>
      </c>
      <c r="C101" s="6">
        <v>2404</v>
      </c>
      <c r="D101" s="6" t="s">
        <v>33</v>
      </c>
      <c r="E101" s="6" t="s">
        <v>16</v>
      </c>
      <c r="F101" s="6" t="s">
        <v>27</v>
      </c>
      <c r="G101" s="6" t="s">
        <v>15</v>
      </c>
      <c r="H101" s="6" t="s">
        <v>24</v>
      </c>
      <c r="I101" s="6">
        <v>0.155</v>
      </c>
    </row>
    <row r="102" spans="1:9" x14ac:dyDescent="0.25">
      <c r="A102" s="6">
        <v>3636</v>
      </c>
      <c r="B102" s="6">
        <v>60</v>
      </c>
      <c r="C102" s="6">
        <v>2404</v>
      </c>
      <c r="D102" s="6" t="s">
        <v>26</v>
      </c>
      <c r="E102" s="6" t="s">
        <v>16</v>
      </c>
      <c r="F102" s="6" t="s">
        <v>27</v>
      </c>
      <c r="G102" s="6" t="s">
        <v>15</v>
      </c>
      <c r="H102" s="6" t="s">
        <v>24</v>
      </c>
      <c r="I102" s="6">
        <v>6.6000000000000003E-2</v>
      </c>
    </row>
    <row r="103" spans="1:9" x14ac:dyDescent="0.25">
      <c r="A103" s="6">
        <v>3639</v>
      </c>
      <c r="B103" s="6">
        <v>60</v>
      </c>
      <c r="C103" s="6">
        <v>2404</v>
      </c>
      <c r="D103" s="6" t="s">
        <v>34</v>
      </c>
      <c r="E103" s="6" t="s">
        <v>16</v>
      </c>
      <c r="F103" s="6" t="s">
        <v>14</v>
      </c>
      <c r="G103" s="6" t="s">
        <v>15</v>
      </c>
      <c r="H103" s="6" t="s">
        <v>15</v>
      </c>
      <c r="I103" s="6">
        <v>0.17199999999999999</v>
      </c>
    </row>
    <row r="104" spans="1:9" x14ac:dyDescent="0.25">
      <c r="A104" s="6">
        <v>3651</v>
      </c>
      <c r="B104" s="6">
        <v>60</v>
      </c>
      <c r="C104" s="6">
        <v>2404</v>
      </c>
      <c r="D104" s="6" t="s">
        <v>42</v>
      </c>
      <c r="E104" s="6" t="s">
        <v>16</v>
      </c>
      <c r="F104" s="6" t="s">
        <v>20</v>
      </c>
      <c r="G104" s="6" t="s">
        <v>21</v>
      </c>
      <c r="H104" s="6" t="s">
        <v>15</v>
      </c>
      <c r="I104" s="6">
        <v>0.13200000000000001</v>
      </c>
    </row>
    <row r="105" spans="1:9" x14ac:dyDescent="0.25">
      <c r="A105" s="6">
        <v>3653</v>
      </c>
      <c r="B105" s="6">
        <v>60</v>
      </c>
      <c r="C105" s="6">
        <v>2404</v>
      </c>
      <c r="D105" s="6" t="s">
        <v>42</v>
      </c>
      <c r="E105" s="6" t="s">
        <v>16</v>
      </c>
      <c r="F105" s="6" t="s">
        <v>20</v>
      </c>
      <c r="G105" s="6" t="s">
        <v>21</v>
      </c>
      <c r="H105" s="6" t="s">
        <v>15</v>
      </c>
      <c r="I105" s="6">
        <v>0.108</v>
      </c>
    </row>
    <row r="106" spans="1:9" x14ac:dyDescent="0.25">
      <c r="A106" s="6">
        <v>3655</v>
      </c>
      <c r="B106" s="6">
        <v>60</v>
      </c>
      <c r="C106" s="6">
        <v>2404</v>
      </c>
      <c r="D106" s="6" t="s">
        <v>42</v>
      </c>
      <c r="E106" s="6" t="s">
        <v>16</v>
      </c>
      <c r="F106" s="6" t="s">
        <v>20</v>
      </c>
      <c r="G106" s="6" t="s">
        <v>21</v>
      </c>
      <c r="H106" s="6" t="s">
        <v>15</v>
      </c>
      <c r="I106" s="6">
        <v>0.107</v>
      </c>
    </row>
    <row r="107" spans="1:9" x14ac:dyDescent="0.25">
      <c r="A107" s="6">
        <v>3004</v>
      </c>
      <c r="B107" s="6">
        <v>60</v>
      </c>
      <c r="C107" s="6">
        <v>2311</v>
      </c>
      <c r="D107" s="6" t="s">
        <v>25</v>
      </c>
      <c r="E107" s="6" t="s">
        <v>37</v>
      </c>
      <c r="F107" s="6" t="s">
        <v>23</v>
      </c>
      <c r="G107" s="6" t="s">
        <v>21</v>
      </c>
      <c r="H107" s="6" t="s">
        <v>24</v>
      </c>
      <c r="I107" s="6">
        <v>0.99399999999999999</v>
      </c>
    </row>
    <row r="108" spans="1:9" x14ac:dyDescent="0.25">
      <c r="A108" s="6">
        <v>3004</v>
      </c>
      <c r="B108" s="6">
        <v>60</v>
      </c>
      <c r="C108" s="6">
        <v>2311</v>
      </c>
      <c r="D108" s="6" t="s">
        <v>25</v>
      </c>
      <c r="E108" s="6" t="s">
        <v>37</v>
      </c>
      <c r="F108" s="6" t="s">
        <v>23</v>
      </c>
      <c r="G108" s="6" t="s">
        <v>21</v>
      </c>
      <c r="H108" s="6" t="s">
        <v>24</v>
      </c>
      <c r="I108" s="6">
        <v>0.03</v>
      </c>
    </row>
    <row r="109" spans="1:9" x14ac:dyDescent="0.25">
      <c r="A109" s="6">
        <v>3005</v>
      </c>
      <c r="B109" s="6">
        <v>60</v>
      </c>
      <c r="C109" s="6">
        <v>2311</v>
      </c>
      <c r="D109" s="6" t="s">
        <v>25</v>
      </c>
      <c r="E109" s="6" t="s">
        <v>37</v>
      </c>
      <c r="F109" s="6" t="s">
        <v>23</v>
      </c>
      <c r="G109" s="6" t="s">
        <v>21</v>
      </c>
      <c r="H109" s="6" t="s">
        <v>24</v>
      </c>
      <c r="I109" s="6">
        <v>0.188</v>
      </c>
    </row>
    <row r="110" spans="1:9" x14ac:dyDescent="0.25">
      <c r="A110" s="6">
        <v>3017</v>
      </c>
      <c r="B110" s="6">
        <v>60</v>
      </c>
      <c r="C110" s="6">
        <v>2311</v>
      </c>
      <c r="D110" s="6" t="s">
        <v>25</v>
      </c>
      <c r="E110" s="6" t="s">
        <v>37</v>
      </c>
      <c r="F110" s="6" t="s">
        <v>23</v>
      </c>
      <c r="G110" s="6" t="s">
        <v>21</v>
      </c>
      <c r="H110" s="6" t="s">
        <v>24</v>
      </c>
      <c r="I110" s="6">
        <v>2.3050000000000002</v>
      </c>
    </row>
    <row r="111" spans="1:9" x14ac:dyDescent="0.25">
      <c r="A111" s="6">
        <v>3017</v>
      </c>
      <c r="B111" s="6">
        <v>60</v>
      </c>
      <c r="C111" s="6">
        <v>2311</v>
      </c>
      <c r="D111" s="6" t="s">
        <v>25</v>
      </c>
      <c r="E111" s="6" t="s">
        <v>37</v>
      </c>
      <c r="F111" s="6" t="s">
        <v>23</v>
      </c>
      <c r="G111" s="6" t="s">
        <v>21</v>
      </c>
      <c r="H111" s="6" t="s">
        <v>24</v>
      </c>
      <c r="I111" s="6">
        <v>0.29149999999999998</v>
      </c>
    </row>
    <row r="112" spans="1:9" x14ac:dyDescent="0.25">
      <c r="A112" s="6">
        <v>3119</v>
      </c>
      <c r="B112" s="6">
        <v>60</v>
      </c>
      <c r="C112" s="6">
        <v>2311</v>
      </c>
      <c r="D112" s="6" t="s">
        <v>30</v>
      </c>
      <c r="E112" s="6" t="s">
        <v>37</v>
      </c>
      <c r="F112" s="6" t="s">
        <v>20</v>
      </c>
      <c r="G112" s="6" t="s">
        <v>21</v>
      </c>
      <c r="H112" s="6" t="s">
        <v>15</v>
      </c>
      <c r="I112" s="6">
        <v>0.48099999999999998</v>
      </c>
    </row>
    <row r="113" spans="1:9" x14ac:dyDescent="0.25">
      <c r="A113" s="6">
        <v>3129</v>
      </c>
      <c r="B113" s="6">
        <v>60</v>
      </c>
      <c r="C113" s="6">
        <v>2311</v>
      </c>
      <c r="D113" s="6" t="s">
        <v>17</v>
      </c>
      <c r="E113" s="6" t="s">
        <v>37</v>
      </c>
      <c r="F113" s="6" t="s">
        <v>14</v>
      </c>
      <c r="G113" s="6" t="s">
        <v>15</v>
      </c>
      <c r="H113" s="6" t="s">
        <v>15</v>
      </c>
      <c r="I113" s="6">
        <v>5.8000000000000003E-2</v>
      </c>
    </row>
    <row r="114" spans="1:9" x14ac:dyDescent="0.25">
      <c r="A114" s="6">
        <v>3132</v>
      </c>
      <c r="B114" s="6">
        <v>60</v>
      </c>
      <c r="C114" s="6">
        <v>2311</v>
      </c>
      <c r="D114" s="6" t="s">
        <v>26</v>
      </c>
      <c r="E114" s="6" t="s">
        <v>37</v>
      </c>
      <c r="F114" s="6" t="s">
        <v>27</v>
      </c>
      <c r="G114" s="6" t="s">
        <v>15</v>
      </c>
      <c r="H114" s="6" t="s">
        <v>24</v>
      </c>
      <c r="I114" s="6">
        <v>0.27400000000000002</v>
      </c>
    </row>
    <row r="115" spans="1:9" x14ac:dyDescent="0.25">
      <c r="A115" s="6">
        <v>3150</v>
      </c>
      <c r="B115" s="6">
        <v>60</v>
      </c>
      <c r="C115" s="6">
        <v>2311</v>
      </c>
      <c r="D115" s="6" t="s">
        <v>51</v>
      </c>
      <c r="E115" s="6" t="s">
        <v>37</v>
      </c>
      <c r="F115" s="6" t="s">
        <v>20</v>
      </c>
      <c r="G115" s="6" t="s">
        <v>21</v>
      </c>
      <c r="H115" s="6" t="s">
        <v>15</v>
      </c>
      <c r="I115" s="6">
        <v>0.13400000000000001</v>
      </c>
    </row>
    <row r="116" spans="1:9" x14ac:dyDescent="0.25">
      <c r="A116" s="6">
        <v>3158</v>
      </c>
      <c r="B116" s="6">
        <v>60</v>
      </c>
      <c r="C116" s="6">
        <v>2311</v>
      </c>
      <c r="D116" s="6" t="s">
        <v>51</v>
      </c>
      <c r="E116" s="6" t="s">
        <v>37</v>
      </c>
      <c r="F116" s="6" t="s">
        <v>20</v>
      </c>
      <c r="G116" s="6" t="s">
        <v>21</v>
      </c>
      <c r="H116" s="6" t="s">
        <v>15</v>
      </c>
      <c r="I116" s="6">
        <v>0.39600000000000002</v>
      </c>
    </row>
    <row r="117" spans="1:9" x14ac:dyDescent="0.25">
      <c r="A117" s="6">
        <v>3201</v>
      </c>
      <c r="B117" s="6">
        <v>60</v>
      </c>
      <c r="C117" s="6">
        <v>2311</v>
      </c>
      <c r="D117" s="6" t="s">
        <v>17</v>
      </c>
      <c r="E117" s="6" t="s">
        <v>37</v>
      </c>
      <c r="F117" s="6" t="s">
        <v>14</v>
      </c>
      <c r="G117" s="6" t="s">
        <v>15</v>
      </c>
      <c r="H117" s="6" t="s">
        <v>15</v>
      </c>
      <c r="I117" s="6">
        <v>0.309</v>
      </c>
    </row>
    <row r="118" spans="1:9" x14ac:dyDescent="0.25">
      <c r="A118" s="6">
        <v>3201</v>
      </c>
      <c r="B118" s="6">
        <v>60</v>
      </c>
      <c r="C118" s="6">
        <v>2311</v>
      </c>
      <c r="D118" s="6" t="s">
        <v>17</v>
      </c>
      <c r="E118" s="6" t="s">
        <v>37</v>
      </c>
      <c r="F118" s="6" t="s">
        <v>14</v>
      </c>
      <c r="G118" s="6" t="s">
        <v>15</v>
      </c>
      <c r="H118" s="6" t="s">
        <v>15</v>
      </c>
      <c r="I118" s="6">
        <v>8.7999999999999995E-2</v>
      </c>
    </row>
    <row r="119" spans="1:9" x14ac:dyDescent="0.25">
      <c r="A119" s="6">
        <v>3211</v>
      </c>
      <c r="B119" s="6">
        <v>60</v>
      </c>
      <c r="C119" s="6">
        <v>2311</v>
      </c>
      <c r="D119" s="6" t="s">
        <v>26</v>
      </c>
      <c r="E119" s="6" t="s">
        <v>37</v>
      </c>
      <c r="F119" s="6" t="s">
        <v>27</v>
      </c>
      <c r="G119" s="6" t="s">
        <v>15</v>
      </c>
      <c r="H119" s="6" t="s">
        <v>24</v>
      </c>
      <c r="I119" s="6">
        <v>0.11799999999999999</v>
      </c>
    </row>
    <row r="120" spans="1:9" x14ac:dyDescent="0.25">
      <c r="A120" s="6">
        <v>3216</v>
      </c>
      <c r="B120" s="6">
        <v>60</v>
      </c>
      <c r="C120" s="6">
        <v>2311</v>
      </c>
      <c r="D120" s="6" t="s">
        <v>25</v>
      </c>
      <c r="E120" s="6" t="s">
        <v>37</v>
      </c>
      <c r="F120" s="6" t="s">
        <v>23</v>
      </c>
      <c r="G120" s="6" t="s">
        <v>21</v>
      </c>
      <c r="H120" s="6" t="s">
        <v>24</v>
      </c>
      <c r="I120" s="6">
        <v>3.3000000000000002E-2</v>
      </c>
    </row>
    <row r="121" spans="1:9" x14ac:dyDescent="0.25">
      <c r="A121" s="6">
        <v>3217</v>
      </c>
      <c r="B121" s="6">
        <v>60</v>
      </c>
      <c r="C121" s="6">
        <v>2311</v>
      </c>
      <c r="D121" s="6" t="s">
        <v>13</v>
      </c>
      <c r="E121" s="6" t="s">
        <v>37</v>
      </c>
      <c r="F121" s="6" t="s">
        <v>14</v>
      </c>
      <c r="G121" s="6" t="s">
        <v>15</v>
      </c>
      <c r="H121" s="6" t="s">
        <v>15</v>
      </c>
      <c r="I121" s="6">
        <v>0.42499999999999999</v>
      </c>
    </row>
    <row r="122" spans="1:9" x14ac:dyDescent="0.25">
      <c r="A122" s="6">
        <v>3219</v>
      </c>
      <c r="B122" s="6">
        <v>60</v>
      </c>
      <c r="C122" s="6">
        <v>2311</v>
      </c>
      <c r="D122" s="6" t="s">
        <v>13</v>
      </c>
      <c r="E122" s="6" t="s">
        <v>37</v>
      </c>
      <c r="F122" s="6" t="s">
        <v>14</v>
      </c>
      <c r="G122" s="6" t="s">
        <v>15</v>
      </c>
      <c r="H122" s="6" t="s">
        <v>15</v>
      </c>
      <c r="I122" s="6">
        <v>0.97399999999999998</v>
      </c>
    </row>
    <row r="123" spans="1:9" x14ac:dyDescent="0.25">
      <c r="A123" s="6">
        <v>3219</v>
      </c>
      <c r="B123" s="6">
        <v>60</v>
      </c>
      <c r="C123" s="6">
        <v>2311</v>
      </c>
      <c r="D123" s="6" t="s">
        <v>13</v>
      </c>
      <c r="E123" s="6" t="s">
        <v>37</v>
      </c>
      <c r="F123" s="6" t="s">
        <v>14</v>
      </c>
      <c r="G123" s="6" t="s">
        <v>15</v>
      </c>
      <c r="H123" s="6" t="s">
        <v>15</v>
      </c>
      <c r="I123" s="6">
        <v>0.379</v>
      </c>
    </row>
    <row r="124" spans="1:9" x14ac:dyDescent="0.25">
      <c r="A124" s="6">
        <v>3220</v>
      </c>
      <c r="B124" s="6">
        <v>60</v>
      </c>
      <c r="C124" s="6">
        <v>2311</v>
      </c>
      <c r="D124" s="6" t="s">
        <v>13</v>
      </c>
      <c r="E124" s="6" t="s">
        <v>37</v>
      </c>
      <c r="F124" s="6" t="s">
        <v>14</v>
      </c>
      <c r="G124" s="6" t="s">
        <v>15</v>
      </c>
      <c r="H124" s="6" t="s">
        <v>15</v>
      </c>
      <c r="I124" s="6">
        <v>0.17399999999999999</v>
      </c>
    </row>
  </sheetData>
  <sortState xmlns:xlrd2="http://schemas.microsoft.com/office/spreadsheetml/2017/richdata2" ref="A2:I124">
    <sortCondition ref="B2:B1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40E0-09EB-4411-B0DE-AE6C71EF124A}">
  <dimension ref="A1:I368"/>
  <sheetViews>
    <sheetView workbookViewId="0">
      <selection sqref="A1:H1"/>
    </sheetView>
  </sheetViews>
  <sheetFormatPr defaultRowHeight="15" x14ac:dyDescent="0.25"/>
  <sheetData>
    <row r="1" spans="1:9" x14ac:dyDescent="0.25">
      <c r="A1" s="6" t="s">
        <v>0</v>
      </c>
      <c r="B1" s="6" t="s">
        <v>48</v>
      </c>
      <c r="C1" s="6" t="s">
        <v>2</v>
      </c>
      <c r="D1" s="6" t="s">
        <v>49</v>
      </c>
      <c r="E1" s="6" t="s">
        <v>50</v>
      </c>
      <c r="F1" s="6" t="s">
        <v>7</v>
      </c>
      <c r="G1" s="6" t="s">
        <v>8</v>
      </c>
      <c r="H1" s="6" t="s">
        <v>6</v>
      </c>
      <c r="I1" s="6" t="s">
        <v>61</v>
      </c>
    </row>
    <row r="2" spans="1:9" x14ac:dyDescent="0.25">
      <c r="A2" s="6">
        <v>3501</v>
      </c>
      <c r="B2" s="6" t="s">
        <v>14</v>
      </c>
      <c r="C2" s="6" t="s">
        <v>13</v>
      </c>
      <c r="D2" s="6" t="s">
        <v>15</v>
      </c>
      <c r="E2" s="6" t="s">
        <v>15</v>
      </c>
      <c r="F2" s="6" t="s">
        <v>16</v>
      </c>
      <c r="G2" s="6">
        <v>2302</v>
      </c>
      <c r="H2" s="6">
        <v>0</v>
      </c>
      <c r="I2" s="6">
        <v>1024</v>
      </c>
    </row>
    <row r="3" spans="1:9" x14ac:dyDescent="0.25">
      <c r="A3" s="6">
        <v>3587</v>
      </c>
      <c r="B3" s="6" t="s">
        <v>27</v>
      </c>
      <c r="C3" s="6" t="s">
        <v>26</v>
      </c>
      <c r="D3" s="6" t="s">
        <v>15</v>
      </c>
      <c r="E3" s="6" t="s">
        <v>24</v>
      </c>
      <c r="F3" s="6" t="s">
        <v>16</v>
      </c>
      <c r="G3" s="6">
        <v>2302</v>
      </c>
      <c r="H3" s="6">
        <v>0</v>
      </c>
      <c r="I3" s="6">
        <v>256</v>
      </c>
    </row>
    <row r="4" spans="1:9" x14ac:dyDescent="0.25">
      <c r="A4" s="6">
        <v>3678</v>
      </c>
      <c r="B4" s="6" t="s">
        <v>20</v>
      </c>
      <c r="C4" s="6" t="s">
        <v>42</v>
      </c>
      <c r="D4" s="6" t="s">
        <v>21</v>
      </c>
      <c r="E4" s="6" t="s">
        <v>15</v>
      </c>
      <c r="F4" s="6" t="s">
        <v>16</v>
      </c>
      <c r="G4" s="6">
        <v>2302</v>
      </c>
      <c r="H4" s="6">
        <v>0</v>
      </c>
      <c r="I4" s="6">
        <v>128</v>
      </c>
    </row>
    <row r="5" spans="1:9" x14ac:dyDescent="0.25">
      <c r="A5" s="6">
        <v>2645</v>
      </c>
      <c r="B5" s="6" t="s">
        <v>14</v>
      </c>
      <c r="C5" s="6" t="s">
        <v>34</v>
      </c>
      <c r="D5" s="6" t="s">
        <v>15</v>
      </c>
      <c r="E5" s="6" t="s">
        <v>15</v>
      </c>
      <c r="F5" s="6" t="s">
        <v>16</v>
      </c>
      <c r="G5" s="6">
        <v>2201</v>
      </c>
      <c r="H5" s="6">
        <v>0</v>
      </c>
      <c r="I5" s="6">
        <v>32</v>
      </c>
    </row>
    <row r="6" spans="1:9" x14ac:dyDescent="0.25">
      <c r="A6" s="6">
        <v>2662</v>
      </c>
      <c r="B6" s="6" t="s">
        <v>14</v>
      </c>
      <c r="C6" s="6" t="s">
        <v>62</v>
      </c>
      <c r="D6" s="6" t="s">
        <v>15</v>
      </c>
      <c r="E6" s="6" t="s">
        <v>15</v>
      </c>
      <c r="F6" s="6" t="s">
        <v>16</v>
      </c>
      <c r="G6" s="6">
        <v>2201</v>
      </c>
      <c r="H6" s="6">
        <v>0</v>
      </c>
      <c r="I6" s="6">
        <v>8</v>
      </c>
    </row>
    <row r="7" spans="1:9" x14ac:dyDescent="0.25">
      <c r="A7" s="6">
        <v>2663</v>
      </c>
      <c r="B7" s="6" t="s">
        <v>14</v>
      </c>
      <c r="C7" s="6" t="s">
        <v>63</v>
      </c>
      <c r="D7" s="6" t="s">
        <v>15</v>
      </c>
      <c r="E7" s="6" t="s">
        <v>15</v>
      </c>
      <c r="F7" s="6" t="s">
        <v>16</v>
      </c>
      <c r="G7" s="6">
        <v>2201</v>
      </c>
      <c r="H7" s="6">
        <v>0</v>
      </c>
      <c r="I7" s="6">
        <v>4</v>
      </c>
    </row>
    <row r="8" spans="1:9" x14ac:dyDescent="0.25">
      <c r="A8" s="6">
        <v>2674</v>
      </c>
      <c r="B8" s="6" t="s">
        <v>14</v>
      </c>
      <c r="C8" s="6" t="s">
        <v>62</v>
      </c>
      <c r="D8" s="6" t="s">
        <v>15</v>
      </c>
      <c r="E8" s="6" t="s">
        <v>15</v>
      </c>
      <c r="F8" s="6" t="s">
        <v>16</v>
      </c>
      <c r="G8" s="6">
        <v>2201</v>
      </c>
      <c r="H8" s="6">
        <v>0</v>
      </c>
      <c r="I8" s="6">
        <v>4</v>
      </c>
    </row>
    <row r="9" spans="1:9" x14ac:dyDescent="0.25">
      <c r="A9" s="6">
        <v>2676</v>
      </c>
      <c r="B9" s="6" t="s">
        <v>14</v>
      </c>
      <c r="C9" s="6" t="s">
        <v>63</v>
      </c>
      <c r="D9" s="6" t="s">
        <v>15</v>
      </c>
      <c r="E9" s="6" t="s">
        <v>15</v>
      </c>
      <c r="F9" s="6" t="s">
        <v>16</v>
      </c>
      <c r="G9" s="6">
        <v>2201</v>
      </c>
      <c r="H9" s="6">
        <v>0</v>
      </c>
      <c r="I9" s="6">
        <v>8</v>
      </c>
    </row>
    <row r="10" spans="1:9" x14ac:dyDescent="0.25">
      <c r="A10" s="6">
        <v>3503</v>
      </c>
      <c r="B10" s="6" t="s">
        <v>14</v>
      </c>
      <c r="C10" s="6" t="s">
        <v>18</v>
      </c>
      <c r="D10" s="6" t="s">
        <v>15</v>
      </c>
      <c r="E10" s="6" t="s">
        <v>15</v>
      </c>
      <c r="F10" s="6" t="s">
        <v>16</v>
      </c>
      <c r="G10" s="6">
        <v>2302</v>
      </c>
      <c r="H10" s="6">
        <v>0</v>
      </c>
      <c r="I10" s="6">
        <v>1024</v>
      </c>
    </row>
    <row r="11" spans="1:9" x14ac:dyDescent="0.25">
      <c r="A11" s="6">
        <v>3507</v>
      </c>
      <c r="B11" s="6" t="s">
        <v>14</v>
      </c>
      <c r="C11" s="6" t="s">
        <v>13</v>
      </c>
      <c r="D11" s="6" t="s">
        <v>15</v>
      </c>
      <c r="E11" s="6" t="s">
        <v>15</v>
      </c>
      <c r="F11" s="6" t="s">
        <v>16</v>
      </c>
      <c r="G11" s="6">
        <v>2302</v>
      </c>
      <c r="H11" s="6">
        <v>0</v>
      </c>
      <c r="I11" s="6">
        <v>128</v>
      </c>
    </row>
    <row r="12" spans="1:9" x14ac:dyDescent="0.25">
      <c r="A12" s="6">
        <v>3508</v>
      </c>
      <c r="B12" s="6" t="s">
        <v>14</v>
      </c>
      <c r="C12" s="6" t="s">
        <v>13</v>
      </c>
      <c r="D12" s="6" t="s">
        <v>15</v>
      </c>
      <c r="E12" s="6" t="s">
        <v>15</v>
      </c>
      <c r="F12" s="6" t="s">
        <v>16</v>
      </c>
      <c r="G12" s="6">
        <v>2302</v>
      </c>
      <c r="H12" s="6">
        <v>0</v>
      </c>
      <c r="I12" s="6">
        <v>1024</v>
      </c>
    </row>
    <row r="13" spans="1:9" x14ac:dyDescent="0.25">
      <c r="A13" s="6">
        <v>3511</v>
      </c>
      <c r="B13" s="6" t="s">
        <v>14</v>
      </c>
      <c r="C13" s="6" t="s">
        <v>17</v>
      </c>
      <c r="D13" s="6" t="s">
        <v>15</v>
      </c>
      <c r="E13" s="6" t="s">
        <v>15</v>
      </c>
      <c r="F13" s="6" t="s">
        <v>16</v>
      </c>
      <c r="G13" s="6">
        <v>2302</v>
      </c>
      <c r="H13" s="6">
        <v>0</v>
      </c>
      <c r="I13" s="6">
        <v>64</v>
      </c>
    </row>
    <row r="14" spans="1:9" x14ac:dyDescent="0.25">
      <c r="A14" s="6">
        <v>3514</v>
      </c>
      <c r="B14" s="6" t="s">
        <v>14</v>
      </c>
      <c r="C14" s="6" t="s">
        <v>13</v>
      </c>
      <c r="D14" s="6" t="s">
        <v>15</v>
      </c>
      <c r="E14" s="6" t="s">
        <v>15</v>
      </c>
      <c r="F14" s="6" t="s">
        <v>16</v>
      </c>
      <c r="G14" s="6">
        <v>2302</v>
      </c>
      <c r="H14" s="6">
        <v>0</v>
      </c>
      <c r="I14" s="6">
        <v>2048</v>
      </c>
    </row>
    <row r="15" spans="1:9" x14ac:dyDescent="0.25">
      <c r="A15" s="6">
        <v>3521</v>
      </c>
      <c r="B15" s="6" t="s">
        <v>14</v>
      </c>
      <c r="C15" s="6" t="s">
        <v>17</v>
      </c>
      <c r="D15" s="6" t="s">
        <v>15</v>
      </c>
      <c r="E15" s="6" t="s">
        <v>15</v>
      </c>
      <c r="F15" s="6" t="s">
        <v>16</v>
      </c>
      <c r="G15" s="6">
        <v>2302</v>
      </c>
      <c r="H15" s="6">
        <v>0</v>
      </c>
      <c r="I15" s="6">
        <v>64</v>
      </c>
    </row>
    <row r="16" spans="1:9" x14ac:dyDescent="0.25">
      <c r="A16" s="6">
        <v>3522</v>
      </c>
      <c r="B16" s="6" t="s">
        <v>14</v>
      </c>
      <c r="C16" s="6" t="s">
        <v>17</v>
      </c>
      <c r="D16" s="6" t="s">
        <v>15</v>
      </c>
      <c r="E16" s="6" t="s">
        <v>15</v>
      </c>
      <c r="F16" s="6" t="s">
        <v>16</v>
      </c>
      <c r="G16" s="6">
        <v>2302</v>
      </c>
      <c r="H16" s="6">
        <v>0</v>
      </c>
      <c r="I16" s="6">
        <v>64</v>
      </c>
    </row>
    <row r="17" spans="1:9" x14ac:dyDescent="0.25">
      <c r="A17" s="6">
        <v>3538</v>
      </c>
      <c r="B17" s="6" t="s">
        <v>14</v>
      </c>
      <c r="C17" s="6" t="s">
        <v>13</v>
      </c>
      <c r="D17" s="6" t="s">
        <v>15</v>
      </c>
      <c r="E17" s="6" t="s">
        <v>15</v>
      </c>
      <c r="F17" s="6" t="s">
        <v>16</v>
      </c>
      <c r="G17" s="6">
        <v>2302</v>
      </c>
      <c r="H17" s="6">
        <v>0</v>
      </c>
      <c r="I17" s="6">
        <v>512</v>
      </c>
    </row>
    <row r="18" spans="1:9" x14ac:dyDescent="0.25">
      <c r="A18" s="6">
        <v>3542</v>
      </c>
      <c r="B18" s="6" t="s">
        <v>14</v>
      </c>
      <c r="C18" s="6" t="s">
        <v>17</v>
      </c>
      <c r="D18" s="6" t="s">
        <v>15</v>
      </c>
      <c r="E18" s="6" t="s">
        <v>15</v>
      </c>
      <c r="F18" s="6" t="s">
        <v>16</v>
      </c>
      <c r="G18" s="6">
        <v>2302</v>
      </c>
      <c r="H18" s="6">
        <v>0</v>
      </c>
      <c r="I18" s="6">
        <v>16</v>
      </c>
    </row>
    <row r="19" spans="1:9" x14ac:dyDescent="0.25">
      <c r="A19" s="6">
        <v>3558</v>
      </c>
      <c r="B19" s="6" t="s">
        <v>14</v>
      </c>
      <c r="C19" s="6" t="s">
        <v>17</v>
      </c>
      <c r="D19" s="6" t="s">
        <v>15</v>
      </c>
      <c r="E19" s="6" t="s">
        <v>15</v>
      </c>
      <c r="F19" s="6" t="s">
        <v>16</v>
      </c>
      <c r="G19" s="6">
        <v>2302</v>
      </c>
      <c r="H19" s="6">
        <v>0</v>
      </c>
      <c r="I19" s="6">
        <v>64</v>
      </c>
    </row>
    <row r="20" spans="1:9" x14ac:dyDescent="0.25">
      <c r="A20" s="6">
        <v>3591</v>
      </c>
      <c r="B20" s="6" t="s">
        <v>14</v>
      </c>
      <c r="C20" s="6" t="s">
        <v>13</v>
      </c>
      <c r="D20" s="6" t="s">
        <v>15</v>
      </c>
      <c r="E20" s="6" t="s">
        <v>15</v>
      </c>
      <c r="F20" s="6" t="s">
        <v>16</v>
      </c>
      <c r="G20" s="6">
        <v>2302</v>
      </c>
      <c r="H20" s="6">
        <v>0</v>
      </c>
      <c r="I20" s="6">
        <v>32</v>
      </c>
    </row>
    <row r="21" spans="1:9" x14ac:dyDescent="0.25">
      <c r="A21" s="6">
        <v>3639</v>
      </c>
      <c r="B21" s="6" t="s">
        <v>14</v>
      </c>
      <c r="C21" s="6" t="s">
        <v>34</v>
      </c>
      <c r="D21" s="6" t="s">
        <v>15</v>
      </c>
      <c r="E21" s="6" t="s">
        <v>15</v>
      </c>
      <c r="F21" s="6" t="s">
        <v>16</v>
      </c>
      <c r="G21" s="6">
        <v>2302</v>
      </c>
      <c r="H21" s="6">
        <v>0</v>
      </c>
      <c r="I21" s="6"/>
    </row>
    <row r="22" spans="1:9" x14ac:dyDescent="0.25">
      <c r="A22" s="6">
        <v>3649</v>
      </c>
      <c r="B22" s="6" t="s">
        <v>20</v>
      </c>
      <c r="C22" s="6" t="s">
        <v>35</v>
      </c>
      <c r="D22" s="6" t="s">
        <v>21</v>
      </c>
      <c r="E22" s="6" t="s">
        <v>15</v>
      </c>
      <c r="F22" s="6" t="s">
        <v>16</v>
      </c>
      <c r="G22" s="6">
        <v>2302</v>
      </c>
      <c r="H22" s="6">
        <v>0</v>
      </c>
      <c r="I22" s="6">
        <v>512</v>
      </c>
    </row>
    <row r="23" spans="1:9" x14ac:dyDescent="0.25">
      <c r="A23" s="6">
        <v>3545</v>
      </c>
      <c r="B23" s="6" t="s">
        <v>27</v>
      </c>
      <c r="C23" s="6" t="s">
        <v>29</v>
      </c>
      <c r="D23" s="6" t="s">
        <v>15</v>
      </c>
      <c r="E23" s="6" t="s">
        <v>24</v>
      </c>
      <c r="F23" s="6" t="s">
        <v>16</v>
      </c>
      <c r="G23" s="6">
        <v>2302</v>
      </c>
      <c r="H23" s="6">
        <v>0</v>
      </c>
      <c r="I23" s="6">
        <v>4</v>
      </c>
    </row>
    <row r="24" spans="1:9" x14ac:dyDescent="0.25">
      <c r="A24" s="6">
        <v>3568</v>
      </c>
      <c r="B24" s="6" t="s">
        <v>27</v>
      </c>
      <c r="C24" s="6" t="s">
        <v>29</v>
      </c>
      <c r="D24" s="6" t="s">
        <v>15</v>
      </c>
      <c r="E24" s="6" t="s">
        <v>24</v>
      </c>
      <c r="F24" s="6" t="s">
        <v>16</v>
      </c>
      <c r="G24" s="6">
        <v>2302</v>
      </c>
      <c r="H24" s="6">
        <v>0</v>
      </c>
      <c r="I24" s="6">
        <v>512</v>
      </c>
    </row>
    <row r="25" spans="1:9" x14ac:dyDescent="0.25">
      <c r="A25" s="6">
        <v>3575</v>
      </c>
      <c r="B25" s="6" t="s">
        <v>27</v>
      </c>
      <c r="C25" s="6" t="s">
        <v>29</v>
      </c>
      <c r="D25" s="6" t="s">
        <v>15</v>
      </c>
      <c r="E25" s="6" t="s">
        <v>24</v>
      </c>
      <c r="F25" s="6" t="s">
        <v>16</v>
      </c>
      <c r="G25" s="6">
        <v>2302</v>
      </c>
      <c r="H25" s="6">
        <v>0</v>
      </c>
      <c r="I25" s="6"/>
    </row>
    <row r="26" spans="1:9" x14ac:dyDescent="0.25">
      <c r="A26" s="6">
        <v>3586</v>
      </c>
      <c r="B26" s="6" t="s">
        <v>27</v>
      </c>
      <c r="C26" s="6" t="s">
        <v>29</v>
      </c>
      <c r="D26" s="6" t="s">
        <v>15</v>
      </c>
      <c r="E26" s="6" t="s">
        <v>24</v>
      </c>
      <c r="F26" s="6" t="s">
        <v>16</v>
      </c>
      <c r="G26" s="6">
        <v>2302</v>
      </c>
      <c r="H26" s="6">
        <v>0</v>
      </c>
      <c r="I26" s="6">
        <v>32</v>
      </c>
    </row>
    <row r="27" spans="1:9" x14ac:dyDescent="0.25">
      <c r="A27" s="6">
        <v>3588</v>
      </c>
      <c r="B27" s="6" t="s">
        <v>27</v>
      </c>
      <c r="C27" s="6" t="s">
        <v>29</v>
      </c>
      <c r="D27" s="6" t="s">
        <v>15</v>
      </c>
      <c r="E27" s="6" t="s">
        <v>24</v>
      </c>
      <c r="F27" s="6" t="s">
        <v>16</v>
      </c>
      <c r="G27" s="6">
        <v>2302</v>
      </c>
      <c r="H27" s="6">
        <v>0</v>
      </c>
      <c r="I27" s="6">
        <v>1024</v>
      </c>
    </row>
    <row r="28" spans="1:9" x14ac:dyDescent="0.25">
      <c r="A28" s="6">
        <v>3598</v>
      </c>
      <c r="B28" s="6" t="s">
        <v>27</v>
      </c>
      <c r="C28" s="6" t="s">
        <v>26</v>
      </c>
      <c r="D28" s="6" t="s">
        <v>15</v>
      </c>
      <c r="E28" s="6" t="s">
        <v>24</v>
      </c>
      <c r="F28" s="6" t="s">
        <v>16</v>
      </c>
      <c r="G28" s="6">
        <v>2302</v>
      </c>
      <c r="H28" s="6">
        <v>0</v>
      </c>
      <c r="I28" s="6">
        <v>16</v>
      </c>
    </row>
    <row r="29" spans="1:9" x14ac:dyDescent="0.25">
      <c r="A29" s="6">
        <v>3602</v>
      </c>
      <c r="B29" s="6" t="s">
        <v>27</v>
      </c>
      <c r="C29" s="6" t="s">
        <v>26</v>
      </c>
      <c r="D29" s="6" t="s">
        <v>15</v>
      </c>
      <c r="E29" s="6" t="s">
        <v>24</v>
      </c>
      <c r="F29" s="6" t="s">
        <v>16</v>
      </c>
      <c r="G29" s="6">
        <v>2302</v>
      </c>
      <c r="H29" s="6">
        <v>0</v>
      </c>
      <c r="I29" s="6">
        <v>256</v>
      </c>
    </row>
    <row r="30" spans="1:9" x14ac:dyDescent="0.25">
      <c r="A30" s="6">
        <v>3629</v>
      </c>
      <c r="B30" s="6" t="s">
        <v>27</v>
      </c>
      <c r="C30" s="6" t="s">
        <v>33</v>
      </c>
      <c r="D30" s="6" t="s">
        <v>15</v>
      </c>
      <c r="E30" s="6" t="s">
        <v>24</v>
      </c>
      <c r="F30" s="6" t="s">
        <v>16</v>
      </c>
      <c r="G30" s="6">
        <v>2302</v>
      </c>
      <c r="H30" s="6">
        <v>0</v>
      </c>
      <c r="I30" s="6">
        <v>64</v>
      </c>
    </row>
    <row r="31" spans="1:9" x14ac:dyDescent="0.25">
      <c r="A31" s="6">
        <v>3636</v>
      </c>
      <c r="B31" s="6" t="s">
        <v>27</v>
      </c>
      <c r="C31" s="6" t="s">
        <v>26</v>
      </c>
      <c r="D31" s="6" t="s">
        <v>15</v>
      </c>
      <c r="E31" s="6" t="s">
        <v>24</v>
      </c>
      <c r="F31" s="6" t="s">
        <v>16</v>
      </c>
      <c r="G31" s="6">
        <v>2302</v>
      </c>
      <c r="H31" s="6">
        <v>0</v>
      </c>
      <c r="I31" s="6">
        <v>4</v>
      </c>
    </row>
    <row r="32" spans="1:9" x14ac:dyDescent="0.25">
      <c r="A32" s="6">
        <v>3642</v>
      </c>
      <c r="B32" s="6" t="s">
        <v>27</v>
      </c>
      <c r="C32" s="6" t="s">
        <v>29</v>
      </c>
      <c r="D32" s="6" t="s">
        <v>15</v>
      </c>
      <c r="E32" s="6" t="s">
        <v>24</v>
      </c>
      <c r="F32" s="6" t="s">
        <v>16</v>
      </c>
      <c r="G32" s="6">
        <v>2302</v>
      </c>
      <c r="H32" s="6">
        <v>0</v>
      </c>
      <c r="I32" s="6">
        <v>32</v>
      </c>
    </row>
    <row r="33" spans="1:9" x14ac:dyDescent="0.25">
      <c r="A33" s="6">
        <v>3683</v>
      </c>
      <c r="B33" s="6" t="s">
        <v>27</v>
      </c>
      <c r="C33" s="6" t="s">
        <v>33</v>
      </c>
      <c r="D33" s="6" t="s">
        <v>15</v>
      </c>
      <c r="E33" s="6" t="s">
        <v>24</v>
      </c>
      <c r="F33" s="6" t="s">
        <v>16</v>
      </c>
      <c r="G33" s="6">
        <v>2302</v>
      </c>
      <c r="H33" s="6">
        <v>0</v>
      </c>
      <c r="I33" s="6">
        <v>4</v>
      </c>
    </row>
    <row r="34" spans="1:9" x14ac:dyDescent="0.25">
      <c r="A34" s="6">
        <v>2656</v>
      </c>
      <c r="B34" s="6" t="s">
        <v>20</v>
      </c>
      <c r="C34" s="6" t="s">
        <v>64</v>
      </c>
      <c r="D34" s="6" t="s">
        <v>21</v>
      </c>
      <c r="E34" s="6" t="s">
        <v>15</v>
      </c>
      <c r="F34" s="6" t="s">
        <v>16</v>
      </c>
      <c r="G34" s="6">
        <v>2201</v>
      </c>
      <c r="H34" s="6">
        <v>0</v>
      </c>
      <c r="I34" s="6">
        <v>4</v>
      </c>
    </row>
    <row r="35" spans="1:9" x14ac:dyDescent="0.25">
      <c r="A35" s="6">
        <v>2671</v>
      </c>
      <c r="B35" s="6" t="s">
        <v>20</v>
      </c>
      <c r="C35" s="6" t="s">
        <v>42</v>
      </c>
      <c r="D35" s="6" t="s">
        <v>21</v>
      </c>
      <c r="E35" s="6" t="s">
        <v>15</v>
      </c>
      <c r="F35" s="6" t="s">
        <v>16</v>
      </c>
      <c r="G35" s="6">
        <v>2201</v>
      </c>
      <c r="H35" s="6">
        <v>0</v>
      </c>
      <c r="I35" s="6">
        <v>16</v>
      </c>
    </row>
    <row r="36" spans="1:9" x14ac:dyDescent="0.25">
      <c r="A36" s="6">
        <v>3504</v>
      </c>
      <c r="B36" s="6" t="s">
        <v>20</v>
      </c>
      <c r="C36" s="6" t="s">
        <v>31</v>
      </c>
      <c r="D36" s="6" t="s">
        <v>21</v>
      </c>
      <c r="E36" s="6" t="s">
        <v>15</v>
      </c>
      <c r="F36" s="6" t="s">
        <v>16</v>
      </c>
      <c r="G36" s="6">
        <v>2302</v>
      </c>
      <c r="H36" s="6">
        <v>0</v>
      </c>
      <c r="I36" s="6">
        <v>1024</v>
      </c>
    </row>
    <row r="37" spans="1:9" x14ac:dyDescent="0.25">
      <c r="A37" s="6">
        <v>3505</v>
      </c>
      <c r="B37" s="6" t="s">
        <v>20</v>
      </c>
      <c r="C37" s="6" t="s">
        <v>30</v>
      </c>
      <c r="D37" s="6" t="s">
        <v>21</v>
      </c>
      <c r="E37" s="6" t="s">
        <v>15</v>
      </c>
      <c r="F37" s="6" t="s">
        <v>16</v>
      </c>
      <c r="G37" s="6">
        <v>2302</v>
      </c>
      <c r="H37" s="6">
        <v>0</v>
      </c>
      <c r="I37" s="6">
        <v>256</v>
      </c>
    </row>
    <row r="38" spans="1:9" x14ac:dyDescent="0.25">
      <c r="A38" s="6">
        <v>3509</v>
      </c>
      <c r="B38" s="6" t="s">
        <v>20</v>
      </c>
      <c r="C38" s="6" t="s">
        <v>31</v>
      </c>
      <c r="D38" s="6" t="s">
        <v>21</v>
      </c>
      <c r="E38" s="6" t="s">
        <v>15</v>
      </c>
      <c r="F38" s="6" t="s">
        <v>16</v>
      </c>
      <c r="G38" s="6">
        <v>2302</v>
      </c>
      <c r="H38" s="6">
        <v>0</v>
      </c>
      <c r="I38" s="6">
        <v>128</v>
      </c>
    </row>
    <row r="39" spans="1:9" x14ac:dyDescent="0.25">
      <c r="A39" s="6">
        <v>3512</v>
      </c>
      <c r="B39" s="6" t="s">
        <v>20</v>
      </c>
      <c r="C39" s="6" t="s">
        <v>31</v>
      </c>
      <c r="D39" s="6" t="s">
        <v>21</v>
      </c>
      <c r="E39" s="6" t="s">
        <v>15</v>
      </c>
      <c r="F39" s="6" t="s">
        <v>16</v>
      </c>
      <c r="G39" s="6">
        <v>2302</v>
      </c>
      <c r="H39" s="6">
        <v>0</v>
      </c>
      <c r="I39" s="6">
        <v>512</v>
      </c>
    </row>
    <row r="40" spans="1:9" x14ac:dyDescent="0.25">
      <c r="A40" s="6">
        <v>3517</v>
      </c>
      <c r="B40" s="6" t="s">
        <v>20</v>
      </c>
      <c r="C40" s="6" t="s">
        <v>30</v>
      </c>
      <c r="D40" s="6" t="s">
        <v>21</v>
      </c>
      <c r="E40" s="6" t="s">
        <v>15</v>
      </c>
      <c r="F40" s="6" t="s">
        <v>16</v>
      </c>
      <c r="G40" s="6">
        <v>2302</v>
      </c>
      <c r="H40" s="6">
        <v>0</v>
      </c>
      <c r="I40" s="6">
        <v>512</v>
      </c>
    </row>
    <row r="41" spans="1:9" x14ac:dyDescent="0.25">
      <c r="A41" s="6">
        <v>3523</v>
      </c>
      <c r="B41" s="6" t="s">
        <v>20</v>
      </c>
      <c r="C41" s="6" t="s">
        <v>42</v>
      </c>
      <c r="D41" s="6" t="s">
        <v>21</v>
      </c>
      <c r="E41" s="6" t="s">
        <v>15</v>
      </c>
      <c r="F41" s="6" t="s">
        <v>16</v>
      </c>
      <c r="G41" s="6">
        <v>2302</v>
      </c>
      <c r="H41" s="6">
        <v>0</v>
      </c>
      <c r="I41" s="6">
        <v>16</v>
      </c>
    </row>
    <row r="42" spans="1:9" x14ac:dyDescent="0.25">
      <c r="A42" s="6">
        <v>3534</v>
      </c>
      <c r="B42" s="6" t="s">
        <v>20</v>
      </c>
      <c r="C42" s="6" t="s">
        <v>42</v>
      </c>
      <c r="D42" s="6" t="s">
        <v>21</v>
      </c>
      <c r="E42" s="6" t="s">
        <v>15</v>
      </c>
      <c r="F42" s="6" t="s">
        <v>16</v>
      </c>
      <c r="G42" s="6">
        <v>2302</v>
      </c>
      <c r="H42" s="6">
        <v>0</v>
      </c>
      <c r="I42" s="6">
        <v>16</v>
      </c>
    </row>
    <row r="43" spans="1:9" x14ac:dyDescent="0.25">
      <c r="A43" s="6">
        <v>3554</v>
      </c>
      <c r="B43" s="6" t="s">
        <v>20</v>
      </c>
      <c r="C43" s="6" t="s">
        <v>30</v>
      </c>
      <c r="D43" s="6" t="s">
        <v>21</v>
      </c>
      <c r="E43" s="6" t="s">
        <v>15</v>
      </c>
      <c r="F43" s="6" t="s">
        <v>16</v>
      </c>
      <c r="G43" s="6">
        <v>2302</v>
      </c>
      <c r="H43" s="6">
        <v>0</v>
      </c>
      <c r="I43" s="6"/>
    </row>
    <row r="44" spans="1:9" x14ac:dyDescent="0.25">
      <c r="A44" s="6">
        <v>3559</v>
      </c>
      <c r="B44" s="6" t="s">
        <v>20</v>
      </c>
      <c r="C44" s="6" t="s">
        <v>31</v>
      </c>
      <c r="D44" s="6" t="s">
        <v>21</v>
      </c>
      <c r="E44" s="6" t="s">
        <v>15</v>
      </c>
      <c r="F44" s="6" t="s">
        <v>16</v>
      </c>
      <c r="G44" s="6">
        <v>2302</v>
      </c>
      <c r="H44" s="6">
        <v>0</v>
      </c>
      <c r="I44" s="6">
        <v>128</v>
      </c>
    </row>
    <row r="45" spans="1:9" x14ac:dyDescent="0.25">
      <c r="A45" s="6">
        <v>3571</v>
      </c>
      <c r="B45" s="6" t="s">
        <v>20</v>
      </c>
      <c r="C45" s="6" t="s">
        <v>31</v>
      </c>
      <c r="D45" s="6" t="s">
        <v>21</v>
      </c>
      <c r="E45" s="6" t="s">
        <v>15</v>
      </c>
      <c r="F45" s="6" t="s">
        <v>16</v>
      </c>
      <c r="G45" s="6">
        <v>2302</v>
      </c>
      <c r="H45" s="6">
        <v>0</v>
      </c>
      <c r="I45" s="6">
        <v>128</v>
      </c>
    </row>
    <row r="46" spans="1:9" x14ac:dyDescent="0.25">
      <c r="A46" s="6">
        <v>3579</v>
      </c>
      <c r="B46" s="6" t="s">
        <v>20</v>
      </c>
      <c r="C46" s="6" t="s">
        <v>35</v>
      </c>
      <c r="D46" s="6" t="s">
        <v>21</v>
      </c>
      <c r="E46" s="6" t="s">
        <v>15</v>
      </c>
      <c r="F46" s="6" t="s">
        <v>16</v>
      </c>
      <c r="G46" s="6">
        <v>2302</v>
      </c>
      <c r="H46" s="6">
        <v>0</v>
      </c>
      <c r="I46" s="6">
        <v>256</v>
      </c>
    </row>
    <row r="47" spans="1:9" x14ac:dyDescent="0.25">
      <c r="A47" s="6">
        <v>3580</v>
      </c>
      <c r="B47" s="6" t="s">
        <v>20</v>
      </c>
      <c r="C47" s="6" t="s">
        <v>35</v>
      </c>
      <c r="D47" s="6" t="s">
        <v>21</v>
      </c>
      <c r="E47" s="6" t="s">
        <v>15</v>
      </c>
      <c r="F47" s="6" t="s">
        <v>16</v>
      </c>
      <c r="G47" s="6">
        <v>2302</v>
      </c>
      <c r="H47" s="6">
        <v>0</v>
      </c>
      <c r="I47" s="6">
        <v>512</v>
      </c>
    </row>
    <row r="48" spans="1:9" x14ac:dyDescent="0.25">
      <c r="A48" s="6">
        <v>3581</v>
      </c>
      <c r="B48" s="6" t="s">
        <v>20</v>
      </c>
      <c r="C48" s="6" t="s">
        <v>31</v>
      </c>
      <c r="D48" s="6" t="s">
        <v>21</v>
      </c>
      <c r="E48" s="6" t="s">
        <v>15</v>
      </c>
      <c r="F48" s="6" t="s">
        <v>16</v>
      </c>
      <c r="G48" s="6">
        <v>2302</v>
      </c>
      <c r="H48" s="6">
        <v>0</v>
      </c>
      <c r="I48" s="6"/>
    </row>
    <row r="49" spans="1:9" x14ac:dyDescent="0.25">
      <c r="A49" s="6">
        <v>3584</v>
      </c>
      <c r="B49" s="6" t="s">
        <v>20</v>
      </c>
      <c r="C49" s="6" t="s">
        <v>31</v>
      </c>
      <c r="D49" s="6" t="s">
        <v>21</v>
      </c>
      <c r="E49" s="6" t="s">
        <v>15</v>
      </c>
      <c r="F49" s="6" t="s">
        <v>16</v>
      </c>
      <c r="G49" s="6">
        <v>2302</v>
      </c>
      <c r="H49" s="6">
        <v>0</v>
      </c>
      <c r="I49" s="6">
        <v>128</v>
      </c>
    </row>
    <row r="50" spans="1:9" x14ac:dyDescent="0.25">
      <c r="A50" s="6">
        <v>3599</v>
      </c>
      <c r="B50" s="6" t="s">
        <v>20</v>
      </c>
      <c r="C50" s="6" t="s">
        <v>31</v>
      </c>
      <c r="D50" s="6" t="s">
        <v>21</v>
      </c>
      <c r="E50" s="6" t="s">
        <v>15</v>
      </c>
      <c r="F50" s="6" t="s">
        <v>16</v>
      </c>
      <c r="G50" s="6">
        <v>2302</v>
      </c>
      <c r="H50" s="6">
        <v>0</v>
      </c>
      <c r="I50" s="6">
        <v>128</v>
      </c>
    </row>
    <row r="51" spans="1:9" x14ac:dyDescent="0.25">
      <c r="A51" s="6">
        <v>3603</v>
      </c>
      <c r="B51" s="6" t="s">
        <v>20</v>
      </c>
      <c r="C51" s="6" t="s">
        <v>30</v>
      </c>
      <c r="D51" s="6" t="s">
        <v>21</v>
      </c>
      <c r="E51" s="6" t="s">
        <v>15</v>
      </c>
      <c r="F51" s="6" t="s">
        <v>16</v>
      </c>
      <c r="G51" s="6">
        <v>2302</v>
      </c>
      <c r="H51" s="6">
        <v>0</v>
      </c>
      <c r="I51" s="6">
        <v>512</v>
      </c>
    </row>
    <row r="52" spans="1:9" x14ac:dyDescent="0.25">
      <c r="A52" s="6">
        <v>3607</v>
      </c>
      <c r="B52" s="6" t="s">
        <v>20</v>
      </c>
      <c r="C52" s="6" t="s">
        <v>30</v>
      </c>
      <c r="D52" s="6" t="s">
        <v>21</v>
      </c>
      <c r="E52" s="6" t="s">
        <v>15</v>
      </c>
      <c r="F52" s="6" t="s">
        <v>16</v>
      </c>
      <c r="G52" s="6">
        <v>2302</v>
      </c>
      <c r="H52" s="6">
        <v>0</v>
      </c>
      <c r="I52" s="6">
        <v>128</v>
      </c>
    </row>
    <row r="53" spans="1:9" x14ac:dyDescent="0.25">
      <c r="A53" s="6">
        <v>3608</v>
      </c>
      <c r="B53" s="6" t="s">
        <v>20</v>
      </c>
      <c r="C53" s="6" t="s">
        <v>31</v>
      </c>
      <c r="D53" s="6" t="s">
        <v>21</v>
      </c>
      <c r="E53" s="6" t="s">
        <v>15</v>
      </c>
      <c r="F53" s="6" t="s">
        <v>16</v>
      </c>
      <c r="G53" s="6">
        <v>2302</v>
      </c>
      <c r="H53" s="6">
        <v>0</v>
      </c>
      <c r="I53" s="6">
        <v>512</v>
      </c>
    </row>
    <row r="54" spans="1:9" x14ac:dyDescent="0.25">
      <c r="A54" s="6">
        <v>3609</v>
      </c>
      <c r="B54" s="6" t="s">
        <v>20</v>
      </c>
      <c r="C54" s="6" t="s">
        <v>42</v>
      </c>
      <c r="D54" s="6" t="s">
        <v>21</v>
      </c>
      <c r="E54" s="6" t="s">
        <v>15</v>
      </c>
      <c r="F54" s="6" t="s">
        <v>16</v>
      </c>
      <c r="G54" s="6">
        <v>2302</v>
      </c>
      <c r="H54" s="6">
        <v>0</v>
      </c>
      <c r="I54" s="6">
        <v>8</v>
      </c>
    </row>
    <row r="55" spans="1:9" x14ac:dyDescent="0.25">
      <c r="A55" s="6">
        <v>3617</v>
      </c>
      <c r="B55" s="6" t="s">
        <v>20</v>
      </c>
      <c r="C55" s="6" t="s">
        <v>35</v>
      </c>
      <c r="D55" s="6" t="s">
        <v>21</v>
      </c>
      <c r="E55" s="6" t="s">
        <v>15</v>
      </c>
      <c r="F55" s="6" t="s">
        <v>16</v>
      </c>
      <c r="G55" s="6">
        <v>2302</v>
      </c>
      <c r="H55" s="6">
        <v>0</v>
      </c>
      <c r="I55" s="6">
        <v>64</v>
      </c>
    </row>
    <row r="56" spans="1:9" x14ac:dyDescent="0.25">
      <c r="A56" s="6">
        <v>3623</v>
      </c>
      <c r="B56" s="6" t="s">
        <v>20</v>
      </c>
      <c r="C56" s="6" t="s">
        <v>30</v>
      </c>
      <c r="D56" s="6" t="s">
        <v>21</v>
      </c>
      <c r="E56" s="6" t="s">
        <v>15</v>
      </c>
      <c r="F56" s="6" t="s">
        <v>16</v>
      </c>
      <c r="G56" s="6">
        <v>2302</v>
      </c>
      <c r="H56" s="6">
        <v>0</v>
      </c>
      <c r="I56" s="6">
        <v>8</v>
      </c>
    </row>
    <row r="57" spans="1:9" x14ac:dyDescent="0.25">
      <c r="A57" s="6">
        <v>3651</v>
      </c>
      <c r="B57" s="6" t="s">
        <v>20</v>
      </c>
      <c r="C57" s="6" t="s">
        <v>42</v>
      </c>
      <c r="D57" s="6" t="s">
        <v>21</v>
      </c>
      <c r="E57" s="6" t="s">
        <v>15</v>
      </c>
      <c r="F57" s="6" t="s">
        <v>16</v>
      </c>
      <c r="G57" s="6">
        <v>2302</v>
      </c>
      <c r="H57" s="6">
        <v>0</v>
      </c>
      <c r="I57" s="6">
        <v>8</v>
      </c>
    </row>
    <row r="58" spans="1:9" x14ac:dyDescent="0.25">
      <c r="A58" s="6">
        <v>3653</v>
      </c>
      <c r="B58" s="6" t="s">
        <v>20</v>
      </c>
      <c r="C58" s="6" t="s">
        <v>42</v>
      </c>
      <c r="D58" s="6" t="s">
        <v>21</v>
      </c>
      <c r="E58" s="6" t="s">
        <v>15</v>
      </c>
      <c r="F58" s="6" t="s">
        <v>16</v>
      </c>
      <c r="G58" s="6">
        <v>2302</v>
      </c>
      <c r="H58" s="6">
        <v>0</v>
      </c>
      <c r="I58" s="6">
        <v>64</v>
      </c>
    </row>
    <row r="59" spans="1:9" x14ac:dyDescent="0.25">
      <c r="A59" s="6">
        <v>3655</v>
      </c>
      <c r="B59" s="6" t="s">
        <v>20</v>
      </c>
      <c r="C59" s="6" t="s">
        <v>42</v>
      </c>
      <c r="D59" s="6" t="s">
        <v>21</v>
      </c>
      <c r="E59" s="6" t="s">
        <v>15</v>
      </c>
      <c r="F59" s="6" t="s">
        <v>16</v>
      </c>
      <c r="G59" s="6">
        <v>2302</v>
      </c>
      <c r="H59" s="6">
        <v>0</v>
      </c>
      <c r="I59" s="6">
        <v>64</v>
      </c>
    </row>
    <row r="60" spans="1:9" x14ac:dyDescent="0.25">
      <c r="A60" s="6">
        <v>2670</v>
      </c>
      <c r="B60" s="6" t="s">
        <v>23</v>
      </c>
      <c r="C60" s="6" t="s">
        <v>36</v>
      </c>
      <c r="D60" s="6" t="s">
        <v>21</v>
      </c>
      <c r="E60" s="6" t="s">
        <v>24</v>
      </c>
      <c r="F60" s="6" t="s">
        <v>16</v>
      </c>
      <c r="G60" s="6">
        <v>2201</v>
      </c>
      <c r="H60" s="6">
        <v>0</v>
      </c>
      <c r="I60" s="6">
        <v>8</v>
      </c>
    </row>
    <row r="61" spans="1:9" x14ac:dyDescent="0.25">
      <c r="A61" s="6">
        <v>3546</v>
      </c>
      <c r="B61" s="6" t="s">
        <v>23</v>
      </c>
      <c r="C61" s="6" t="s">
        <v>25</v>
      </c>
      <c r="D61" s="6" t="s">
        <v>21</v>
      </c>
      <c r="E61" s="6" t="s">
        <v>24</v>
      </c>
      <c r="F61" s="6" t="s">
        <v>16</v>
      </c>
      <c r="G61" s="6">
        <v>2302</v>
      </c>
      <c r="H61" s="6">
        <v>0</v>
      </c>
      <c r="I61" s="6">
        <v>64</v>
      </c>
    </row>
    <row r="62" spans="1:9" x14ac:dyDescent="0.25">
      <c r="A62" s="6">
        <v>3553</v>
      </c>
      <c r="B62" s="6" t="s">
        <v>23</v>
      </c>
      <c r="C62" s="6" t="s">
        <v>25</v>
      </c>
      <c r="D62" s="6" t="s">
        <v>21</v>
      </c>
      <c r="E62" s="6" t="s">
        <v>24</v>
      </c>
      <c r="F62" s="6" t="s">
        <v>16</v>
      </c>
      <c r="G62" s="6">
        <v>2302</v>
      </c>
      <c r="H62" s="6">
        <v>0</v>
      </c>
      <c r="I62" s="6">
        <v>64</v>
      </c>
    </row>
    <row r="63" spans="1:9" x14ac:dyDescent="0.25">
      <c r="A63" s="6">
        <v>3557</v>
      </c>
      <c r="B63" s="6" t="s">
        <v>23</v>
      </c>
      <c r="C63" s="6" t="s">
        <v>32</v>
      </c>
      <c r="D63" s="6" t="s">
        <v>21</v>
      </c>
      <c r="E63" s="6" t="s">
        <v>24</v>
      </c>
      <c r="F63" s="6" t="s">
        <v>16</v>
      </c>
      <c r="G63" s="6">
        <v>2302</v>
      </c>
      <c r="H63" s="6">
        <v>0</v>
      </c>
      <c r="I63" s="6">
        <v>16</v>
      </c>
    </row>
    <row r="64" spans="1:9" x14ac:dyDescent="0.25">
      <c r="A64" s="6">
        <v>3570</v>
      </c>
      <c r="B64" s="6" t="s">
        <v>23</v>
      </c>
      <c r="C64" s="6" t="s">
        <v>32</v>
      </c>
      <c r="D64" s="6" t="s">
        <v>21</v>
      </c>
      <c r="E64" s="6" t="s">
        <v>24</v>
      </c>
      <c r="F64" s="6" t="s">
        <v>16</v>
      </c>
      <c r="G64" s="6">
        <v>2302</v>
      </c>
      <c r="H64" s="6">
        <v>0</v>
      </c>
      <c r="I64" s="6">
        <v>256</v>
      </c>
    </row>
    <row r="65" spans="1:9" x14ac:dyDescent="0.25">
      <c r="A65" s="6">
        <v>3593</v>
      </c>
      <c r="B65" s="6" t="s">
        <v>23</v>
      </c>
      <c r="C65" s="6" t="s">
        <v>65</v>
      </c>
      <c r="D65" s="6" t="s">
        <v>21</v>
      </c>
      <c r="E65" s="6" t="s">
        <v>24</v>
      </c>
      <c r="F65" s="6" t="s">
        <v>16</v>
      </c>
      <c r="G65" s="6">
        <v>2302</v>
      </c>
      <c r="H65" s="6">
        <v>0</v>
      </c>
      <c r="I65" s="6">
        <v>64</v>
      </c>
    </row>
    <row r="66" spans="1:9" x14ac:dyDescent="0.25">
      <c r="A66" s="6">
        <v>3610</v>
      </c>
      <c r="B66" s="6" t="s">
        <v>23</v>
      </c>
      <c r="C66" s="6" t="s">
        <v>22</v>
      </c>
      <c r="D66" s="6" t="s">
        <v>21</v>
      </c>
      <c r="E66" s="6" t="s">
        <v>24</v>
      </c>
      <c r="F66" s="6" t="s">
        <v>16</v>
      </c>
      <c r="G66" s="6">
        <v>2302</v>
      </c>
      <c r="H66" s="6">
        <v>0</v>
      </c>
      <c r="I66" s="6">
        <v>512</v>
      </c>
    </row>
    <row r="67" spans="1:9" x14ac:dyDescent="0.25">
      <c r="A67" s="6">
        <v>3613</v>
      </c>
      <c r="B67" s="6" t="s">
        <v>23</v>
      </c>
      <c r="C67" s="6" t="s">
        <v>32</v>
      </c>
      <c r="D67" s="6" t="s">
        <v>21</v>
      </c>
      <c r="E67" s="6" t="s">
        <v>24</v>
      </c>
      <c r="F67" s="6" t="s">
        <v>16</v>
      </c>
      <c r="G67" s="6">
        <v>2302</v>
      </c>
      <c r="H67" s="6">
        <v>0</v>
      </c>
      <c r="I67" s="6">
        <v>128</v>
      </c>
    </row>
    <row r="68" spans="1:9" x14ac:dyDescent="0.25">
      <c r="A68" s="6">
        <v>3660</v>
      </c>
      <c r="B68" s="6" t="s">
        <v>23</v>
      </c>
      <c r="C68" s="6" t="s">
        <v>22</v>
      </c>
      <c r="D68" s="6" t="s">
        <v>21</v>
      </c>
      <c r="E68" s="6" t="s">
        <v>24</v>
      </c>
      <c r="F68" s="6" t="s">
        <v>16</v>
      </c>
      <c r="G68" s="6">
        <v>2302</v>
      </c>
      <c r="H68" s="6">
        <v>0</v>
      </c>
      <c r="I68" s="6">
        <v>16</v>
      </c>
    </row>
    <row r="69" spans="1:9" x14ac:dyDescent="0.25">
      <c r="A69" s="6">
        <v>3662</v>
      </c>
      <c r="B69" s="6" t="s">
        <v>23</v>
      </c>
      <c r="C69" s="6" t="s">
        <v>22</v>
      </c>
      <c r="D69" s="6" t="s">
        <v>21</v>
      </c>
      <c r="E69" s="6" t="s">
        <v>24</v>
      </c>
      <c r="F69" s="6" t="s">
        <v>16</v>
      </c>
      <c r="G69" s="6">
        <v>2302</v>
      </c>
      <c r="H69" s="6">
        <v>0</v>
      </c>
      <c r="I69" s="6">
        <v>256</v>
      </c>
    </row>
    <row r="70" spans="1:9" x14ac:dyDescent="0.25">
      <c r="A70" s="6">
        <v>3677</v>
      </c>
      <c r="B70" s="6" t="s">
        <v>27</v>
      </c>
      <c r="C70" s="6" t="s">
        <v>33</v>
      </c>
      <c r="D70" s="6" t="s">
        <v>15</v>
      </c>
      <c r="E70" s="6" t="s">
        <v>24</v>
      </c>
      <c r="F70" s="6" t="s">
        <v>16</v>
      </c>
      <c r="G70" s="6">
        <v>2302</v>
      </c>
      <c r="H70" s="6">
        <v>0</v>
      </c>
      <c r="I70" s="6">
        <v>8</v>
      </c>
    </row>
    <row r="71" spans="1:9" x14ac:dyDescent="0.25">
      <c r="A71" s="6">
        <v>3501</v>
      </c>
      <c r="B71" s="6" t="s">
        <v>14</v>
      </c>
      <c r="C71" s="6" t="s">
        <v>13</v>
      </c>
      <c r="D71" s="6" t="s">
        <v>15</v>
      </c>
      <c r="E71" s="6" t="s">
        <v>15</v>
      </c>
      <c r="F71" s="6" t="s">
        <v>16</v>
      </c>
      <c r="G71" s="6">
        <v>2302</v>
      </c>
      <c r="H71" s="6">
        <v>14</v>
      </c>
      <c r="I71" s="6">
        <v>512</v>
      </c>
    </row>
    <row r="72" spans="1:9" x14ac:dyDescent="0.25">
      <c r="A72" s="6">
        <v>3587</v>
      </c>
      <c r="B72" s="6" t="s">
        <v>27</v>
      </c>
      <c r="C72" s="6" t="s">
        <v>26</v>
      </c>
      <c r="D72" s="6" t="s">
        <v>15</v>
      </c>
      <c r="E72" s="6" t="s">
        <v>24</v>
      </c>
      <c r="F72" s="6" t="s">
        <v>16</v>
      </c>
      <c r="G72" s="6">
        <v>2302</v>
      </c>
      <c r="H72" s="6">
        <v>14</v>
      </c>
      <c r="I72" s="6">
        <v>8</v>
      </c>
    </row>
    <row r="73" spans="1:9" x14ac:dyDescent="0.25">
      <c r="A73" s="6">
        <v>3678</v>
      </c>
      <c r="B73" s="6" t="s">
        <v>20</v>
      </c>
      <c r="C73" s="6" t="s">
        <v>42</v>
      </c>
      <c r="D73" s="6" t="s">
        <v>21</v>
      </c>
      <c r="E73" s="6" t="s">
        <v>15</v>
      </c>
      <c r="F73" s="6" t="s">
        <v>16</v>
      </c>
      <c r="G73" s="6">
        <v>2302</v>
      </c>
      <c r="H73" s="6">
        <v>14</v>
      </c>
      <c r="I73" s="6">
        <v>512</v>
      </c>
    </row>
    <row r="74" spans="1:9" x14ac:dyDescent="0.25">
      <c r="A74" s="6">
        <v>3503</v>
      </c>
      <c r="B74" s="6" t="s">
        <v>14</v>
      </c>
      <c r="C74" s="6" t="s">
        <v>18</v>
      </c>
      <c r="D74" s="6" t="s">
        <v>15</v>
      </c>
      <c r="E74" s="6" t="s">
        <v>15</v>
      </c>
      <c r="F74" s="6" t="s">
        <v>16</v>
      </c>
      <c r="G74" s="6">
        <v>2302</v>
      </c>
      <c r="H74" s="6">
        <v>14</v>
      </c>
      <c r="I74" s="6">
        <v>256</v>
      </c>
    </row>
    <row r="75" spans="1:9" x14ac:dyDescent="0.25">
      <c r="A75" s="6">
        <v>3507</v>
      </c>
      <c r="B75" s="6" t="s">
        <v>14</v>
      </c>
      <c r="C75" s="6" t="s">
        <v>13</v>
      </c>
      <c r="D75" s="6" t="s">
        <v>15</v>
      </c>
      <c r="E75" s="6" t="s">
        <v>15</v>
      </c>
      <c r="F75" s="6" t="s">
        <v>16</v>
      </c>
      <c r="G75" s="6">
        <v>2302</v>
      </c>
      <c r="H75" s="6">
        <v>14</v>
      </c>
      <c r="I75" s="6">
        <v>256</v>
      </c>
    </row>
    <row r="76" spans="1:9" x14ac:dyDescent="0.25">
      <c r="A76" s="6">
        <v>3508</v>
      </c>
      <c r="B76" s="6" t="s">
        <v>14</v>
      </c>
      <c r="C76" s="6" t="s">
        <v>13</v>
      </c>
      <c r="D76" s="6" t="s">
        <v>15</v>
      </c>
      <c r="E76" s="6" t="s">
        <v>15</v>
      </c>
      <c r="F76" s="6" t="s">
        <v>16</v>
      </c>
      <c r="G76" s="6">
        <v>2302</v>
      </c>
      <c r="H76" s="6">
        <v>14</v>
      </c>
      <c r="I76" s="6">
        <v>512</v>
      </c>
    </row>
    <row r="77" spans="1:9" x14ac:dyDescent="0.25">
      <c r="A77" s="6">
        <v>3511</v>
      </c>
      <c r="B77" s="6" t="s">
        <v>14</v>
      </c>
      <c r="C77" s="6" t="s">
        <v>17</v>
      </c>
      <c r="D77" s="6" t="s">
        <v>15</v>
      </c>
      <c r="E77" s="6" t="s">
        <v>15</v>
      </c>
      <c r="F77" s="6" t="s">
        <v>16</v>
      </c>
      <c r="G77" s="6">
        <v>2302</v>
      </c>
      <c r="H77" s="6">
        <v>14</v>
      </c>
      <c r="I77" s="6">
        <v>64</v>
      </c>
    </row>
    <row r="78" spans="1:9" x14ac:dyDescent="0.25">
      <c r="A78" s="6">
        <v>3514</v>
      </c>
      <c r="B78" s="6" t="s">
        <v>14</v>
      </c>
      <c r="C78" s="6" t="s">
        <v>13</v>
      </c>
      <c r="D78" s="6" t="s">
        <v>15</v>
      </c>
      <c r="E78" s="6" t="s">
        <v>15</v>
      </c>
      <c r="F78" s="6" t="s">
        <v>16</v>
      </c>
      <c r="G78" s="6">
        <v>2302</v>
      </c>
      <c r="H78" s="6">
        <v>14</v>
      </c>
      <c r="I78" s="6">
        <v>256</v>
      </c>
    </row>
    <row r="79" spans="1:9" x14ac:dyDescent="0.25">
      <c r="A79" s="6">
        <v>3521</v>
      </c>
      <c r="B79" s="6" t="s">
        <v>14</v>
      </c>
      <c r="C79" s="6" t="s">
        <v>17</v>
      </c>
      <c r="D79" s="6" t="s">
        <v>15</v>
      </c>
      <c r="E79" s="6" t="s">
        <v>15</v>
      </c>
      <c r="F79" s="6" t="s">
        <v>16</v>
      </c>
      <c r="G79" s="6">
        <v>2302</v>
      </c>
      <c r="H79" s="6">
        <v>14</v>
      </c>
      <c r="I79" s="6">
        <v>128</v>
      </c>
    </row>
    <row r="80" spans="1:9" x14ac:dyDescent="0.25">
      <c r="A80" s="6">
        <v>3522</v>
      </c>
      <c r="B80" s="6" t="s">
        <v>14</v>
      </c>
      <c r="C80" s="6" t="s">
        <v>17</v>
      </c>
      <c r="D80" s="6" t="s">
        <v>15</v>
      </c>
      <c r="E80" s="6" t="s">
        <v>15</v>
      </c>
      <c r="F80" s="6" t="s">
        <v>16</v>
      </c>
      <c r="G80" s="6">
        <v>2302</v>
      </c>
      <c r="H80" s="6">
        <v>14</v>
      </c>
      <c r="I80" s="6">
        <v>128</v>
      </c>
    </row>
    <row r="81" spans="1:9" x14ac:dyDescent="0.25">
      <c r="A81" s="6">
        <v>3538</v>
      </c>
      <c r="B81" s="6" t="s">
        <v>14</v>
      </c>
      <c r="C81" s="6" t="s">
        <v>13</v>
      </c>
      <c r="D81" s="6" t="s">
        <v>15</v>
      </c>
      <c r="E81" s="6" t="s">
        <v>15</v>
      </c>
      <c r="F81" s="6" t="s">
        <v>16</v>
      </c>
      <c r="G81" s="6">
        <v>2302</v>
      </c>
      <c r="H81" s="6">
        <v>14</v>
      </c>
      <c r="I81" s="6">
        <v>128</v>
      </c>
    </row>
    <row r="82" spans="1:9" x14ac:dyDescent="0.25">
      <c r="A82" s="6">
        <v>3542</v>
      </c>
      <c r="B82" s="6" t="s">
        <v>14</v>
      </c>
      <c r="C82" s="6" t="s">
        <v>17</v>
      </c>
      <c r="D82" s="6" t="s">
        <v>15</v>
      </c>
      <c r="E82" s="6" t="s">
        <v>15</v>
      </c>
      <c r="F82" s="6" t="s">
        <v>16</v>
      </c>
      <c r="G82" s="6">
        <v>2302</v>
      </c>
      <c r="H82" s="6">
        <v>14</v>
      </c>
      <c r="I82" s="6">
        <v>32</v>
      </c>
    </row>
    <row r="83" spans="1:9" x14ac:dyDescent="0.25">
      <c r="A83" s="6">
        <v>3558</v>
      </c>
      <c r="B83" s="6" t="s">
        <v>14</v>
      </c>
      <c r="C83" s="6" t="s">
        <v>17</v>
      </c>
      <c r="D83" s="6" t="s">
        <v>15</v>
      </c>
      <c r="E83" s="6" t="s">
        <v>15</v>
      </c>
      <c r="F83" s="6" t="s">
        <v>16</v>
      </c>
      <c r="G83" s="6">
        <v>2302</v>
      </c>
      <c r="H83" s="6">
        <v>14</v>
      </c>
      <c r="I83" s="6">
        <v>256</v>
      </c>
    </row>
    <row r="84" spans="1:9" x14ac:dyDescent="0.25">
      <c r="A84" s="6">
        <v>3591</v>
      </c>
      <c r="B84" s="6" t="s">
        <v>14</v>
      </c>
      <c r="C84" s="6" t="s">
        <v>13</v>
      </c>
      <c r="D84" s="6" t="s">
        <v>15</v>
      </c>
      <c r="E84" s="6" t="s">
        <v>15</v>
      </c>
      <c r="F84" s="6" t="s">
        <v>16</v>
      </c>
      <c r="G84" s="6">
        <v>2302</v>
      </c>
      <c r="H84" s="6">
        <v>14</v>
      </c>
      <c r="I84" s="6">
        <v>64</v>
      </c>
    </row>
    <row r="85" spans="1:9" x14ac:dyDescent="0.25">
      <c r="A85" s="6">
        <v>3639</v>
      </c>
      <c r="B85" s="6" t="s">
        <v>14</v>
      </c>
      <c r="C85" s="6" t="s">
        <v>34</v>
      </c>
      <c r="D85" s="6" t="s">
        <v>15</v>
      </c>
      <c r="E85" s="6" t="s">
        <v>15</v>
      </c>
      <c r="F85" s="6" t="s">
        <v>16</v>
      </c>
      <c r="G85" s="6">
        <v>2302</v>
      </c>
      <c r="H85" s="6">
        <v>14</v>
      </c>
      <c r="I85" s="6">
        <v>4</v>
      </c>
    </row>
    <row r="86" spans="1:9" x14ac:dyDescent="0.25">
      <c r="A86" s="6">
        <v>3649</v>
      </c>
      <c r="B86" s="6" t="s">
        <v>20</v>
      </c>
      <c r="C86" s="6" t="s">
        <v>35</v>
      </c>
      <c r="D86" s="6" t="s">
        <v>21</v>
      </c>
      <c r="E86" s="6" t="s">
        <v>15</v>
      </c>
      <c r="F86" s="6" t="s">
        <v>16</v>
      </c>
      <c r="G86" s="6">
        <v>2302</v>
      </c>
      <c r="H86" s="6">
        <v>14</v>
      </c>
      <c r="I86" s="6">
        <v>64</v>
      </c>
    </row>
    <row r="87" spans="1:9" x14ac:dyDescent="0.25">
      <c r="A87" s="6">
        <v>3545</v>
      </c>
      <c r="B87" s="6" t="s">
        <v>27</v>
      </c>
      <c r="C87" s="6" t="s">
        <v>29</v>
      </c>
      <c r="D87" s="6" t="s">
        <v>15</v>
      </c>
      <c r="E87" s="6" t="s">
        <v>24</v>
      </c>
      <c r="F87" s="6" t="s">
        <v>16</v>
      </c>
      <c r="G87" s="6">
        <v>2302</v>
      </c>
      <c r="H87" s="6">
        <v>14</v>
      </c>
      <c r="I87" s="6"/>
    </row>
    <row r="88" spans="1:9" x14ac:dyDescent="0.25">
      <c r="A88" s="6">
        <v>3568</v>
      </c>
      <c r="B88" s="6" t="s">
        <v>27</v>
      </c>
      <c r="C88" s="6" t="s">
        <v>29</v>
      </c>
      <c r="D88" s="6" t="s">
        <v>15</v>
      </c>
      <c r="E88" s="6" t="s">
        <v>24</v>
      </c>
      <c r="F88" s="6" t="s">
        <v>16</v>
      </c>
      <c r="G88" s="6">
        <v>2302</v>
      </c>
      <c r="H88" s="6">
        <v>14</v>
      </c>
      <c r="I88" s="6">
        <v>256</v>
      </c>
    </row>
    <row r="89" spans="1:9" x14ac:dyDescent="0.25">
      <c r="A89" s="6">
        <v>3575</v>
      </c>
      <c r="B89" s="6" t="s">
        <v>27</v>
      </c>
      <c r="C89" s="6" t="s">
        <v>29</v>
      </c>
      <c r="D89" s="6" t="s">
        <v>15</v>
      </c>
      <c r="E89" s="6" t="s">
        <v>24</v>
      </c>
      <c r="F89" s="6" t="s">
        <v>16</v>
      </c>
      <c r="G89" s="6">
        <v>2302</v>
      </c>
      <c r="H89" s="6">
        <v>14</v>
      </c>
      <c r="I89" s="6">
        <v>8</v>
      </c>
    </row>
    <row r="90" spans="1:9" x14ac:dyDescent="0.25">
      <c r="A90" s="6">
        <v>3586</v>
      </c>
      <c r="B90" s="6" t="s">
        <v>27</v>
      </c>
      <c r="C90" s="6" t="s">
        <v>29</v>
      </c>
      <c r="D90" s="6" t="s">
        <v>15</v>
      </c>
      <c r="E90" s="6" t="s">
        <v>24</v>
      </c>
      <c r="F90" s="6" t="s">
        <v>16</v>
      </c>
      <c r="G90" s="6">
        <v>2302</v>
      </c>
      <c r="H90" s="6">
        <v>14</v>
      </c>
      <c r="I90" s="6">
        <v>8</v>
      </c>
    </row>
    <row r="91" spans="1:9" x14ac:dyDescent="0.25">
      <c r="A91" s="6">
        <v>3588</v>
      </c>
      <c r="B91" s="6" t="s">
        <v>27</v>
      </c>
      <c r="C91" s="6" t="s">
        <v>29</v>
      </c>
      <c r="D91" s="6" t="s">
        <v>15</v>
      </c>
      <c r="E91" s="6" t="s">
        <v>24</v>
      </c>
      <c r="F91" s="6" t="s">
        <v>16</v>
      </c>
      <c r="G91" s="6">
        <v>2302</v>
      </c>
      <c r="H91" s="6">
        <v>14</v>
      </c>
      <c r="I91" s="6">
        <v>128</v>
      </c>
    </row>
    <row r="92" spans="1:9" x14ac:dyDescent="0.25">
      <c r="A92" s="6">
        <v>3598</v>
      </c>
      <c r="B92" s="6" t="s">
        <v>27</v>
      </c>
      <c r="C92" s="6" t="s">
        <v>26</v>
      </c>
      <c r="D92" s="6" t="s">
        <v>15</v>
      </c>
      <c r="E92" s="6" t="s">
        <v>24</v>
      </c>
      <c r="F92" s="6" t="s">
        <v>16</v>
      </c>
      <c r="G92" s="6">
        <v>2302</v>
      </c>
      <c r="H92" s="6">
        <v>14</v>
      </c>
      <c r="I92" s="6">
        <v>64</v>
      </c>
    </row>
    <row r="93" spans="1:9" x14ac:dyDescent="0.25">
      <c r="A93" s="6">
        <v>3602</v>
      </c>
      <c r="B93" s="6" t="s">
        <v>27</v>
      </c>
      <c r="C93" s="6" t="s">
        <v>26</v>
      </c>
      <c r="D93" s="6" t="s">
        <v>15</v>
      </c>
      <c r="E93" s="6" t="s">
        <v>24</v>
      </c>
      <c r="F93" s="6" t="s">
        <v>16</v>
      </c>
      <c r="G93" s="6">
        <v>2302</v>
      </c>
      <c r="H93" s="6">
        <v>14</v>
      </c>
      <c r="I93" s="6">
        <v>64</v>
      </c>
    </row>
    <row r="94" spans="1:9" x14ac:dyDescent="0.25">
      <c r="A94" s="6">
        <v>3629</v>
      </c>
      <c r="B94" s="6" t="s">
        <v>27</v>
      </c>
      <c r="C94" s="6" t="s">
        <v>33</v>
      </c>
      <c r="D94" s="6" t="s">
        <v>15</v>
      </c>
      <c r="E94" s="6" t="s">
        <v>24</v>
      </c>
      <c r="F94" s="6" t="s">
        <v>16</v>
      </c>
      <c r="G94" s="6">
        <v>2302</v>
      </c>
      <c r="H94" s="6">
        <v>14</v>
      </c>
      <c r="I94" s="6">
        <v>512</v>
      </c>
    </row>
    <row r="95" spans="1:9" x14ac:dyDescent="0.25">
      <c r="A95" s="6">
        <v>3636</v>
      </c>
      <c r="B95" s="6" t="s">
        <v>27</v>
      </c>
      <c r="C95" s="6" t="s">
        <v>26</v>
      </c>
      <c r="D95" s="6" t="s">
        <v>15</v>
      </c>
      <c r="E95" s="6" t="s">
        <v>24</v>
      </c>
      <c r="F95" s="6" t="s">
        <v>16</v>
      </c>
      <c r="G95" s="6">
        <v>2302</v>
      </c>
      <c r="H95" s="6">
        <v>14</v>
      </c>
      <c r="I95" s="6">
        <v>16</v>
      </c>
    </row>
    <row r="96" spans="1:9" x14ac:dyDescent="0.25">
      <c r="A96" s="6">
        <v>3642</v>
      </c>
      <c r="B96" s="6" t="s">
        <v>27</v>
      </c>
      <c r="C96" s="6" t="s">
        <v>29</v>
      </c>
      <c r="D96" s="6" t="s">
        <v>15</v>
      </c>
      <c r="E96" s="6" t="s">
        <v>24</v>
      </c>
      <c r="F96" s="6" t="s">
        <v>16</v>
      </c>
      <c r="G96" s="6">
        <v>2302</v>
      </c>
      <c r="H96" s="6">
        <v>14</v>
      </c>
      <c r="I96" s="6">
        <v>512</v>
      </c>
    </row>
    <row r="97" spans="1:9" x14ac:dyDescent="0.25">
      <c r="A97" s="6">
        <v>3683</v>
      </c>
      <c r="B97" s="6" t="s">
        <v>27</v>
      </c>
      <c r="C97" s="6" t="s">
        <v>33</v>
      </c>
      <c r="D97" s="6" t="s">
        <v>15</v>
      </c>
      <c r="E97" s="6" t="s">
        <v>24</v>
      </c>
      <c r="F97" s="6" t="s">
        <v>16</v>
      </c>
      <c r="G97" s="6">
        <v>2302</v>
      </c>
      <c r="H97" s="6">
        <v>14</v>
      </c>
      <c r="I97" s="6">
        <v>8</v>
      </c>
    </row>
    <row r="98" spans="1:9" x14ac:dyDescent="0.25">
      <c r="A98" s="6">
        <v>3504</v>
      </c>
      <c r="B98" s="6" t="s">
        <v>20</v>
      </c>
      <c r="C98" s="6" t="s">
        <v>31</v>
      </c>
      <c r="D98" s="6" t="s">
        <v>21</v>
      </c>
      <c r="E98" s="6" t="s">
        <v>15</v>
      </c>
      <c r="F98" s="6" t="s">
        <v>16</v>
      </c>
      <c r="G98" s="6">
        <v>2302</v>
      </c>
      <c r="H98" s="6">
        <v>14</v>
      </c>
      <c r="I98" s="6">
        <v>512</v>
      </c>
    </row>
    <row r="99" spans="1:9" x14ac:dyDescent="0.25">
      <c r="A99" s="6">
        <v>3505</v>
      </c>
      <c r="B99" s="6" t="s">
        <v>20</v>
      </c>
      <c r="C99" s="6" t="s">
        <v>30</v>
      </c>
      <c r="D99" s="6" t="s">
        <v>21</v>
      </c>
      <c r="E99" s="6" t="s">
        <v>15</v>
      </c>
      <c r="F99" s="6" t="s">
        <v>16</v>
      </c>
      <c r="G99" s="6">
        <v>2302</v>
      </c>
      <c r="H99" s="6">
        <v>14</v>
      </c>
      <c r="I99" s="6">
        <v>512</v>
      </c>
    </row>
    <row r="100" spans="1:9" x14ac:dyDescent="0.25">
      <c r="A100" s="6">
        <v>3509</v>
      </c>
      <c r="B100" s="6" t="s">
        <v>20</v>
      </c>
      <c r="C100" s="6" t="s">
        <v>31</v>
      </c>
      <c r="D100" s="6" t="s">
        <v>21</v>
      </c>
      <c r="E100" s="6" t="s">
        <v>15</v>
      </c>
      <c r="F100" s="6" t="s">
        <v>16</v>
      </c>
      <c r="G100" s="6">
        <v>2302</v>
      </c>
      <c r="H100" s="6">
        <v>14</v>
      </c>
      <c r="I100" s="6">
        <v>64</v>
      </c>
    </row>
    <row r="101" spans="1:9" x14ac:dyDescent="0.25">
      <c r="A101" s="6">
        <v>3517</v>
      </c>
      <c r="B101" s="6" t="s">
        <v>20</v>
      </c>
      <c r="C101" s="6" t="s">
        <v>30</v>
      </c>
      <c r="D101" s="6" t="s">
        <v>21</v>
      </c>
      <c r="E101" s="6" t="s">
        <v>15</v>
      </c>
      <c r="F101" s="6" t="s">
        <v>16</v>
      </c>
      <c r="G101" s="6">
        <v>2302</v>
      </c>
      <c r="H101" s="6">
        <v>14</v>
      </c>
      <c r="I101" s="6">
        <v>256</v>
      </c>
    </row>
    <row r="102" spans="1:9" x14ac:dyDescent="0.25">
      <c r="A102" s="6">
        <v>3523</v>
      </c>
      <c r="B102" s="6" t="s">
        <v>20</v>
      </c>
      <c r="C102" s="6" t="s">
        <v>42</v>
      </c>
      <c r="D102" s="6" t="s">
        <v>21</v>
      </c>
      <c r="E102" s="6" t="s">
        <v>15</v>
      </c>
      <c r="F102" s="6" t="s">
        <v>16</v>
      </c>
      <c r="G102" s="6">
        <v>2302</v>
      </c>
      <c r="H102" s="6">
        <v>14</v>
      </c>
      <c r="I102" s="6">
        <v>8</v>
      </c>
    </row>
    <row r="103" spans="1:9" x14ac:dyDescent="0.25">
      <c r="A103" s="6">
        <v>3534</v>
      </c>
      <c r="B103" s="6" t="s">
        <v>20</v>
      </c>
      <c r="C103" s="6" t="s">
        <v>42</v>
      </c>
      <c r="D103" s="6" t="s">
        <v>21</v>
      </c>
      <c r="E103" s="6" t="s">
        <v>15</v>
      </c>
      <c r="F103" s="6" t="s">
        <v>16</v>
      </c>
      <c r="G103" s="6">
        <v>2302</v>
      </c>
      <c r="H103" s="6">
        <v>14</v>
      </c>
      <c r="I103" s="6">
        <v>128</v>
      </c>
    </row>
    <row r="104" spans="1:9" x14ac:dyDescent="0.25">
      <c r="A104" s="6">
        <v>3554</v>
      </c>
      <c r="B104" s="6" t="s">
        <v>20</v>
      </c>
      <c r="C104" s="6" t="s">
        <v>30</v>
      </c>
      <c r="D104" s="6" t="s">
        <v>21</v>
      </c>
      <c r="E104" s="6" t="s">
        <v>15</v>
      </c>
      <c r="F104" s="6" t="s">
        <v>16</v>
      </c>
      <c r="G104" s="6">
        <v>2302</v>
      </c>
      <c r="H104" s="6">
        <v>14</v>
      </c>
      <c r="I104" s="6">
        <v>256</v>
      </c>
    </row>
    <row r="105" spans="1:9" x14ac:dyDescent="0.25">
      <c r="A105" s="6">
        <v>3559</v>
      </c>
      <c r="B105" s="6" t="s">
        <v>20</v>
      </c>
      <c r="C105" s="6" t="s">
        <v>31</v>
      </c>
      <c r="D105" s="6" t="s">
        <v>21</v>
      </c>
      <c r="E105" s="6" t="s">
        <v>15</v>
      </c>
      <c r="F105" s="6" t="s">
        <v>16</v>
      </c>
      <c r="G105" s="6">
        <v>2302</v>
      </c>
      <c r="H105" s="6">
        <v>14</v>
      </c>
      <c r="I105" s="6">
        <v>512</v>
      </c>
    </row>
    <row r="106" spans="1:9" x14ac:dyDescent="0.25">
      <c r="A106" s="6">
        <v>3571</v>
      </c>
      <c r="B106" s="6" t="s">
        <v>20</v>
      </c>
      <c r="C106" s="6" t="s">
        <v>31</v>
      </c>
      <c r="D106" s="6" t="s">
        <v>21</v>
      </c>
      <c r="E106" s="6" t="s">
        <v>15</v>
      </c>
      <c r="F106" s="6" t="s">
        <v>16</v>
      </c>
      <c r="G106" s="6">
        <v>2302</v>
      </c>
      <c r="H106" s="6">
        <v>14</v>
      </c>
      <c r="I106" s="6">
        <v>128</v>
      </c>
    </row>
    <row r="107" spans="1:9" x14ac:dyDescent="0.25">
      <c r="A107" s="6">
        <v>3579</v>
      </c>
      <c r="B107" s="6" t="s">
        <v>20</v>
      </c>
      <c r="C107" s="6" t="s">
        <v>35</v>
      </c>
      <c r="D107" s="6" t="s">
        <v>21</v>
      </c>
      <c r="E107" s="6" t="s">
        <v>15</v>
      </c>
      <c r="F107" s="6" t="s">
        <v>16</v>
      </c>
      <c r="G107" s="6">
        <v>2302</v>
      </c>
      <c r="H107" s="6">
        <v>14</v>
      </c>
      <c r="I107" s="6">
        <v>64</v>
      </c>
    </row>
    <row r="108" spans="1:9" x14ac:dyDescent="0.25">
      <c r="A108" s="6">
        <v>3580</v>
      </c>
      <c r="B108" s="6" t="s">
        <v>20</v>
      </c>
      <c r="C108" s="6" t="s">
        <v>35</v>
      </c>
      <c r="D108" s="6" t="s">
        <v>21</v>
      </c>
      <c r="E108" s="6" t="s">
        <v>15</v>
      </c>
      <c r="F108" s="6" t="s">
        <v>16</v>
      </c>
      <c r="G108" s="6">
        <v>2302</v>
      </c>
      <c r="H108" s="6">
        <v>14</v>
      </c>
      <c r="I108" s="6">
        <v>1024</v>
      </c>
    </row>
    <row r="109" spans="1:9" x14ac:dyDescent="0.25">
      <c r="A109" s="6">
        <v>3581</v>
      </c>
      <c r="B109" s="6" t="s">
        <v>20</v>
      </c>
      <c r="C109" s="6" t="s">
        <v>31</v>
      </c>
      <c r="D109" s="6" t="s">
        <v>21</v>
      </c>
      <c r="E109" s="6" t="s">
        <v>15</v>
      </c>
      <c r="F109" s="6" t="s">
        <v>16</v>
      </c>
      <c r="G109" s="6">
        <v>2302</v>
      </c>
      <c r="H109" s="6">
        <v>14</v>
      </c>
      <c r="I109" s="6">
        <v>8</v>
      </c>
    </row>
    <row r="110" spans="1:9" x14ac:dyDescent="0.25">
      <c r="A110" s="6">
        <v>3584</v>
      </c>
      <c r="B110" s="6" t="s">
        <v>20</v>
      </c>
      <c r="C110" s="6" t="s">
        <v>31</v>
      </c>
      <c r="D110" s="6" t="s">
        <v>21</v>
      </c>
      <c r="E110" s="6" t="s">
        <v>15</v>
      </c>
      <c r="F110" s="6" t="s">
        <v>16</v>
      </c>
      <c r="G110" s="6">
        <v>2302</v>
      </c>
      <c r="H110" s="6">
        <v>14</v>
      </c>
      <c r="I110" s="6">
        <v>128</v>
      </c>
    </row>
    <row r="111" spans="1:9" x14ac:dyDescent="0.25">
      <c r="A111" s="6">
        <v>3599</v>
      </c>
      <c r="B111" s="6" t="s">
        <v>20</v>
      </c>
      <c r="C111" s="6" t="s">
        <v>31</v>
      </c>
      <c r="D111" s="6" t="s">
        <v>21</v>
      </c>
      <c r="E111" s="6" t="s">
        <v>15</v>
      </c>
      <c r="F111" s="6" t="s">
        <v>16</v>
      </c>
      <c r="G111" s="6">
        <v>2302</v>
      </c>
      <c r="H111" s="6">
        <v>14</v>
      </c>
      <c r="I111" s="6">
        <v>2048</v>
      </c>
    </row>
    <row r="112" spans="1:9" x14ac:dyDescent="0.25">
      <c r="A112" s="6">
        <v>3603</v>
      </c>
      <c r="B112" s="6" t="s">
        <v>20</v>
      </c>
      <c r="C112" s="6" t="s">
        <v>30</v>
      </c>
      <c r="D112" s="6" t="s">
        <v>21</v>
      </c>
      <c r="E112" s="6" t="s">
        <v>15</v>
      </c>
      <c r="F112" s="6" t="s">
        <v>16</v>
      </c>
      <c r="G112" s="6">
        <v>2302</v>
      </c>
      <c r="H112" s="6">
        <v>14</v>
      </c>
      <c r="I112" s="6">
        <v>256</v>
      </c>
    </row>
    <row r="113" spans="1:9" x14ac:dyDescent="0.25">
      <c r="A113" s="6">
        <v>3607</v>
      </c>
      <c r="B113" s="6" t="s">
        <v>20</v>
      </c>
      <c r="C113" s="6" t="s">
        <v>30</v>
      </c>
      <c r="D113" s="6" t="s">
        <v>21</v>
      </c>
      <c r="E113" s="6" t="s">
        <v>15</v>
      </c>
      <c r="F113" s="6" t="s">
        <v>16</v>
      </c>
      <c r="G113" s="6">
        <v>2302</v>
      </c>
      <c r="H113" s="6">
        <v>14</v>
      </c>
      <c r="I113" s="6">
        <v>128</v>
      </c>
    </row>
    <row r="114" spans="1:9" x14ac:dyDescent="0.25">
      <c r="A114" s="6">
        <v>3608</v>
      </c>
      <c r="B114" s="6" t="s">
        <v>20</v>
      </c>
      <c r="C114" s="6" t="s">
        <v>31</v>
      </c>
      <c r="D114" s="6" t="s">
        <v>21</v>
      </c>
      <c r="E114" s="6" t="s">
        <v>15</v>
      </c>
      <c r="F114" s="6" t="s">
        <v>16</v>
      </c>
      <c r="G114" s="6">
        <v>2302</v>
      </c>
      <c r="H114" s="6">
        <v>14</v>
      </c>
      <c r="I114" s="6">
        <v>512</v>
      </c>
    </row>
    <row r="115" spans="1:9" x14ac:dyDescent="0.25">
      <c r="A115" s="6">
        <v>3609</v>
      </c>
      <c r="B115" s="6" t="s">
        <v>20</v>
      </c>
      <c r="C115" s="6" t="s">
        <v>42</v>
      </c>
      <c r="D115" s="6" t="s">
        <v>21</v>
      </c>
      <c r="E115" s="6" t="s">
        <v>15</v>
      </c>
      <c r="F115" s="6" t="s">
        <v>16</v>
      </c>
      <c r="G115" s="6">
        <v>2302</v>
      </c>
      <c r="H115" s="6">
        <v>14</v>
      </c>
      <c r="I115" s="6">
        <v>256</v>
      </c>
    </row>
    <row r="116" spans="1:9" x14ac:dyDescent="0.25">
      <c r="A116" s="6">
        <v>3617</v>
      </c>
      <c r="B116" s="6" t="s">
        <v>20</v>
      </c>
      <c r="C116" s="6" t="s">
        <v>35</v>
      </c>
      <c r="D116" s="6" t="s">
        <v>21</v>
      </c>
      <c r="E116" s="6" t="s">
        <v>15</v>
      </c>
      <c r="F116" s="6" t="s">
        <v>16</v>
      </c>
      <c r="G116" s="6">
        <v>2302</v>
      </c>
      <c r="H116" s="6">
        <v>14</v>
      </c>
      <c r="I116" s="6">
        <v>256</v>
      </c>
    </row>
    <row r="117" spans="1:9" x14ac:dyDescent="0.25">
      <c r="A117" s="6">
        <v>3623</v>
      </c>
      <c r="B117" s="6" t="s">
        <v>20</v>
      </c>
      <c r="C117" s="6" t="s">
        <v>30</v>
      </c>
      <c r="D117" s="6" t="s">
        <v>21</v>
      </c>
      <c r="E117" s="6" t="s">
        <v>15</v>
      </c>
      <c r="F117" s="6" t="s">
        <v>16</v>
      </c>
      <c r="G117" s="6">
        <v>2302</v>
      </c>
      <c r="H117" s="6">
        <v>14</v>
      </c>
      <c r="I117" s="6">
        <v>512</v>
      </c>
    </row>
    <row r="118" spans="1:9" x14ac:dyDescent="0.25">
      <c r="A118" s="6">
        <v>3651</v>
      </c>
      <c r="B118" s="6" t="s">
        <v>20</v>
      </c>
      <c r="C118" s="6" t="s">
        <v>42</v>
      </c>
      <c r="D118" s="6" t="s">
        <v>21</v>
      </c>
      <c r="E118" s="6" t="s">
        <v>15</v>
      </c>
      <c r="F118" s="6" t="s">
        <v>16</v>
      </c>
      <c r="G118" s="6">
        <v>2302</v>
      </c>
      <c r="H118" s="6">
        <v>14</v>
      </c>
      <c r="I118" s="6">
        <v>16</v>
      </c>
    </row>
    <row r="119" spans="1:9" x14ac:dyDescent="0.25">
      <c r="A119" s="6">
        <v>3653</v>
      </c>
      <c r="B119" s="6" t="s">
        <v>20</v>
      </c>
      <c r="C119" s="6" t="s">
        <v>42</v>
      </c>
      <c r="D119" s="6" t="s">
        <v>21</v>
      </c>
      <c r="E119" s="6" t="s">
        <v>15</v>
      </c>
      <c r="F119" s="6" t="s">
        <v>16</v>
      </c>
      <c r="G119" s="6">
        <v>2302</v>
      </c>
      <c r="H119" s="6">
        <v>14</v>
      </c>
      <c r="I119" s="6">
        <v>16</v>
      </c>
    </row>
    <row r="120" spans="1:9" x14ac:dyDescent="0.25">
      <c r="A120" s="6">
        <v>3655</v>
      </c>
      <c r="B120" s="6" t="s">
        <v>20</v>
      </c>
      <c r="C120" s="6" t="s">
        <v>42</v>
      </c>
      <c r="D120" s="6" t="s">
        <v>21</v>
      </c>
      <c r="E120" s="6" t="s">
        <v>15</v>
      </c>
      <c r="F120" s="6" t="s">
        <v>16</v>
      </c>
      <c r="G120" s="6">
        <v>2302</v>
      </c>
      <c r="H120" s="6">
        <v>14</v>
      </c>
      <c r="I120" s="6">
        <v>16</v>
      </c>
    </row>
    <row r="121" spans="1:9" x14ac:dyDescent="0.25">
      <c r="A121" s="6">
        <v>3546</v>
      </c>
      <c r="B121" s="6" t="s">
        <v>23</v>
      </c>
      <c r="C121" s="6" t="s">
        <v>25</v>
      </c>
      <c r="D121" s="6" t="s">
        <v>21</v>
      </c>
      <c r="E121" s="6" t="s">
        <v>24</v>
      </c>
      <c r="F121" s="6" t="s">
        <v>16</v>
      </c>
      <c r="G121" s="6">
        <v>2302</v>
      </c>
      <c r="H121" s="6">
        <v>14</v>
      </c>
      <c r="I121" s="6">
        <v>256</v>
      </c>
    </row>
    <row r="122" spans="1:9" x14ac:dyDescent="0.25">
      <c r="A122" s="6">
        <v>3553</v>
      </c>
      <c r="B122" s="6" t="s">
        <v>23</v>
      </c>
      <c r="C122" s="6" t="s">
        <v>25</v>
      </c>
      <c r="D122" s="6" t="s">
        <v>21</v>
      </c>
      <c r="E122" s="6" t="s">
        <v>24</v>
      </c>
      <c r="F122" s="6" t="s">
        <v>16</v>
      </c>
      <c r="G122" s="6">
        <v>2302</v>
      </c>
      <c r="H122" s="6">
        <v>14</v>
      </c>
      <c r="I122" s="6">
        <v>128</v>
      </c>
    </row>
    <row r="123" spans="1:9" x14ac:dyDescent="0.25">
      <c r="A123" s="6">
        <v>3557</v>
      </c>
      <c r="B123" s="6" t="s">
        <v>23</v>
      </c>
      <c r="C123" s="6" t="s">
        <v>32</v>
      </c>
      <c r="D123" s="6" t="s">
        <v>21</v>
      </c>
      <c r="E123" s="6" t="s">
        <v>24</v>
      </c>
      <c r="F123" s="6" t="s">
        <v>16</v>
      </c>
      <c r="G123" s="6">
        <v>2302</v>
      </c>
      <c r="H123" s="6">
        <v>14</v>
      </c>
      <c r="I123" s="6">
        <v>256</v>
      </c>
    </row>
    <row r="124" spans="1:9" x14ac:dyDescent="0.25">
      <c r="A124" s="6">
        <v>3570</v>
      </c>
      <c r="B124" s="6" t="s">
        <v>23</v>
      </c>
      <c r="C124" s="6" t="s">
        <v>32</v>
      </c>
      <c r="D124" s="6" t="s">
        <v>21</v>
      </c>
      <c r="E124" s="6" t="s">
        <v>24</v>
      </c>
      <c r="F124" s="6" t="s">
        <v>16</v>
      </c>
      <c r="G124" s="6">
        <v>2302</v>
      </c>
      <c r="H124" s="6">
        <v>14</v>
      </c>
      <c r="I124" s="6">
        <v>256</v>
      </c>
    </row>
    <row r="125" spans="1:9" x14ac:dyDescent="0.25">
      <c r="A125" s="6">
        <v>3593</v>
      </c>
      <c r="B125" s="6" t="s">
        <v>23</v>
      </c>
      <c r="C125" s="6" t="s">
        <v>65</v>
      </c>
      <c r="D125" s="6" t="s">
        <v>21</v>
      </c>
      <c r="E125" s="6" t="s">
        <v>24</v>
      </c>
      <c r="F125" s="6" t="s">
        <v>16</v>
      </c>
      <c r="G125" s="6">
        <v>2302</v>
      </c>
      <c r="H125" s="6">
        <v>14</v>
      </c>
      <c r="I125" s="6">
        <v>16</v>
      </c>
    </row>
    <row r="126" spans="1:9" x14ac:dyDescent="0.25">
      <c r="A126" s="6">
        <v>3610</v>
      </c>
      <c r="B126" s="6" t="s">
        <v>23</v>
      </c>
      <c r="C126" s="6" t="s">
        <v>22</v>
      </c>
      <c r="D126" s="6" t="s">
        <v>21</v>
      </c>
      <c r="E126" s="6" t="s">
        <v>24</v>
      </c>
      <c r="F126" s="6" t="s">
        <v>16</v>
      </c>
      <c r="G126" s="6">
        <v>2302</v>
      </c>
      <c r="H126" s="6">
        <v>14</v>
      </c>
      <c r="I126" s="6">
        <v>256</v>
      </c>
    </row>
    <row r="127" spans="1:9" x14ac:dyDescent="0.25">
      <c r="A127" s="6">
        <v>3613</v>
      </c>
      <c r="B127" s="6" t="s">
        <v>23</v>
      </c>
      <c r="C127" s="6" t="s">
        <v>32</v>
      </c>
      <c r="D127" s="6" t="s">
        <v>21</v>
      </c>
      <c r="E127" s="6" t="s">
        <v>24</v>
      </c>
      <c r="F127" s="6" t="s">
        <v>16</v>
      </c>
      <c r="G127" s="6">
        <v>2302</v>
      </c>
      <c r="H127" s="6">
        <v>14</v>
      </c>
      <c r="I127" s="6">
        <v>256</v>
      </c>
    </row>
    <row r="128" spans="1:9" x14ac:dyDescent="0.25">
      <c r="A128" s="6">
        <v>3660</v>
      </c>
      <c r="B128" s="6" t="s">
        <v>23</v>
      </c>
      <c r="C128" s="6" t="s">
        <v>22</v>
      </c>
      <c r="D128" s="6" t="s">
        <v>21</v>
      </c>
      <c r="E128" s="6" t="s">
        <v>24</v>
      </c>
      <c r="F128" s="6" t="s">
        <v>16</v>
      </c>
      <c r="G128" s="6">
        <v>2302</v>
      </c>
      <c r="H128" s="6">
        <v>14</v>
      </c>
      <c r="I128" s="6">
        <v>512</v>
      </c>
    </row>
    <row r="129" spans="1:9" x14ac:dyDescent="0.25">
      <c r="A129" s="6">
        <v>3662</v>
      </c>
      <c r="B129" s="6" t="s">
        <v>23</v>
      </c>
      <c r="C129" s="6" t="s">
        <v>22</v>
      </c>
      <c r="D129" s="6" t="s">
        <v>21</v>
      </c>
      <c r="E129" s="6" t="s">
        <v>24</v>
      </c>
      <c r="F129" s="6" t="s">
        <v>16</v>
      </c>
      <c r="G129" s="6">
        <v>2302</v>
      </c>
      <c r="H129" s="6">
        <v>14</v>
      </c>
      <c r="I129" s="6">
        <v>128</v>
      </c>
    </row>
    <row r="130" spans="1:9" x14ac:dyDescent="0.25">
      <c r="A130" s="6">
        <v>3677</v>
      </c>
      <c r="B130" s="6" t="s">
        <v>27</v>
      </c>
      <c r="C130" s="6" t="s">
        <v>33</v>
      </c>
      <c r="D130" s="6" t="s">
        <v>15</v>
      </c>
      <c r="E130" s="6" t="s">
        <v>24</v>
      </c>
      <c r="F130" s="6" t="s">
        <v>16</v>
      </c>
      <c r="G130" s="6">
        <v>2302</v>
      </c>
      <c r="H130" s="6">
        <v>14</v>
      </c>
      <c r="I130" s="6">
        <v>4</v>
      </c>
    </row>
    <row r="131" spans="1:9" x14ac:dyDescent="0.25">
      <c r="A131" s="6">
        <v>3678</v>
      </c>
      <c r="B131" s="6" t="s">
        <v>20</v>
      </c>
      <c r="C131" s="6" t="s">
        <v>42</v>
      </c>
      <c r="D131" s="6" t="s">
        <v>21</v>
      </c>
      <c r="E131" s="6" t="s">
        <v>15</v>
      </c>
      <c r="F131" s="6" t="s">
        <v>16</v>
      </c>
      <c r="G131" s="6">
        <v>2302</v>
      </c>
      <c r="H131" s="6">
        <v>60</v>
      </c>
      <c r="I131" s="6">
        <v>256</v>
      </c>
    </row>
    <row r="132" spans="1:9" x14ac:dyDescent="0.25">
      <c r="A132" s="6">
        <v>3501</v>
      </c>
      <c r="B132" s="6" t="s">
        <v>14</v>
      </c>
      <c r="C132" s="6" t="s">
        <v>13</v>
      </c>
      <c r="D132" s="6" t="s">
        <v>15</v>
      </c>
      <c r="E132" s="6" t="s">
        <v>15</v>
      </c>
      <c r="F132" s="6" t="s">
        <v>16</v>
      </c>
      <c r="G132" s="6">
        <v>2302</v>
      </c>
      <c r="H132" s="6">
        <v>60</v>
      </c>
      <c r="I132" s="6">
        <v>512</v>
      </c>
    </row>
    <row r="133" spans="1:9" x14ac:dyDescent="0.25">
      <c r="A133" s="6">
        <v>3503</v>
      </c>
      <c r="B133" s="6" t="s">
        <v>14</v>
      </c>
      <c r="C133" s="6" t="s">
        <v>18</v>
      </c>
      <c r="D133" s="6" t="s">
        <v>15</v>
      </c>
      <c r="E133" s="6" t="s">
        <v>15</v>
      </c>
      <c r="F133" s="6" t="s">
        <v>16</v>
      </c>
      <c r="G133" s="6">
        <v>2302</v>
      </c>
      <c r="H133" s="6">
        <v>60</v>
      </c>
      <c r="I133" s="6">
        <v>64</v>
      </c>
    </row>
    <row r="134" spans="1:9" x14ac:dyDescent="0.25">
      <c r="A134" s="6">
        <v>3507</v>
      </c>
      <c r="B134" s="6" t="s">
        <v>14</v>
      </c>
      <c r="C134" s="6" t="s">
        <v>13</v>
      </c>
      <c r="D134" s="6" t="s">
        <v>15</v>
      </c>
      <c r="E134" s="6" t="s">
        <v>15</v>
      </c>
      <c r="F134" s="6" t="s">
        <v>16</v>
      </c>
      <c r="G134" s="6">
        <v>2302</v>
      </c>
      <c r="H134" s="6">
        <v>60</v>
      </c>
      <c r="I134" s="6">
        <v>2048</v>
      </c>
    </row>
    <row r="135" spans="1:9" x14ac:dyDescent="0.25">
      <c r="A135" s="6">
        <v>3508</v>
      </c>
      <c r="B135" s="6" t="s">
        <v>14</v>
      </c>
      <c r="C135" s="6" t="s">
        <v>13</v>
      </c>
      <c r="D135" s="6" t="s">
        <v>15</v>
      </c>
      <c r="E135" s="6" t="s">
        <v>15</v>
      </c>
      <c r="F135" s="6" t="s">
        <v>16</v>
      </c>
      <c r="G135" s="6">
        <v>2302</v>
      </c>
      <c r="H135" s="6">
        <v>60</v>
      </c>
      <c r="I135" s="6">
        <v>256</v>
      </c>
    </row>
    <row r="136" spans="1:9" x14ac:dyDescent="0.25">
      <c r="A136" s="6">
        <v>3511</v>
      </c>
      <c r="B136" s="6" t="s">
        <v>14</v>
      </c>
      <c r="C136" s="6" t="s">
        <v>17</v>
      </c>
      <c r="D136" s="6" t="s">
        <v>15</v>
      </c>
      <c r="E136" s="6" t="s">
        <v>15</v>
      </c>
      <c r="F136" s="6" t="s">
        <v>16</v>
      </c>
      <c r="G136" s="6">
        <v>2302</v>
      </c>
      <c r="H136" s="6">
        <v>60</v>
      </c>
      <c r="I136" s="6">
        <v>512</v>
      </c>
    </row>
    <row r="137" spans="1:9" x14ac:dyDescent="0.25">
      <c r="A137" s="6">
        <v>3514</v>
      </c>
      <c r="B137" s="6" t="s">
        <v>14</v>
      </c>
      <c r="C137" s="6" t="s">
        <v>13</v>
      </c>
      <c r="D137" s="6" t="s">
        <v>15</v>
      </c>
      <c r="E137" s="6" t="s">
        <v>15</v>
      </c>
      <c r="F137" s="6" t="s">
        <v>16</v>
      </c>
      <c r="G137" s="6">
        <v>2302</v>
      </c>
      <c r="H137" s="6">
        <v>60</v>
      </c>
      <c r="I137" s="6">
        <v>1024</v>
      </c>
    </row>
    <row r="138" spans="1:9" x14ac:dyDescent="0.25">
      <c r="A138" s="6">
        <v>3521</v>
      </c>
      <c r="B138" s="6" t="s">
        <v>14</v>
      </c>
      <c r="C138" s="6" t="s">
        <v>17</v>
      </c>
      <c r="D138" s="6" t="s">
        <v>15</v>
      </c>
      <c r="E138" s="6" t="s">
        <v>15</v>
      </c>
      <c r="F138" s="6" t="s">
        <v>16</v>
      </c>
      <c r="G138" s="6">
        <v>2302</v>
      </c>
      <c r="H138" s="6">
        <v>60</v>
      </c>
      <c r="I138" s="6">
        <v>256</v>
      </c>
    </row>
    <row r="139" spans="1:9" x14ac:dyDescent="0.25">
      <c r="A139" s="6">
        <v>3522</v>
      </c>
      <c r="B139" s="6" t="s">
        <v>14</v>
      </c>
      <c r="C139" s="6" t="s">
        <v>17</v>
      </c>
      <c r="D139" s="6" t="s">
        <v>15</v>
      </c>
      <c r="E139" s="6" t="s">
        <v>15</v>
      </c>
      <c r="F139" s="6" t="s">
        <v>16</v>
      </c>
      <c r="G139" s="6">
        <v>2302</v>
      </c>
      <c r="H139" s="6">
        <v>60</v>
      </c>
      <c r="I139" s="6">
        <v>128</v>
      </c>
    </row>
    <row r="140" spans="1:9" x14ac:dyDescent="0.25">
      <c r="A140" s="6">
        <v>3538</v>
      </c>
      <c r="B140" s="6" t="s">
        <v>14</v>
      </c>
      <c r="C140" s="6" t="s">
        <v>13</v>
      </c>
      <c r="D140" s="6" t="s">
        <v>15</v>
      </c>
      <c r="E140" s="6" t="s">
        <v>15</v>
      </c>
      <c r="F140" s="6" t="s">
        <v>16</v>
      </c>
      <c r="G140" s="6">
        <v>2302</v>
      </c>
      <c r="H140" s="6">
        <v>60</v>
      </c>
      <c r="I140" s="6">
        <v>256</v>
      </c>
    </row>
    <row r="141" spans="1:9" x14ac:dyDescent="0.25">
      <c r="A141" s="6">
        <v>3542</v>
      </c>
      <c r="B141" s="6" t="s">
        <v>14</v>
      </c>
      <c r="C141" s="6" t="s">
        <v>17</v>
      </c>
      <c r="D141" s="6" t="s">
        <v>15</v>
      </c>
      <c r="E141" s="6" t="s">
        <v>15</v>
      </c>
      <c r="F141" s="6" t="s">
        <v>16</v>
      </c>
      <c r="G141" s="6">
        <v>2302</v>
      </c>
      <c r="H141" s="6">
        <v>60</v>
      </c>
      <c r="I141" s="6">
        <v>128</v>
      </c>
    </row>
    <row r="142" spans="1:9" x14ac:dyDescent="0.25">
      <c r="A142" s="6">
        <v>3558</v>
      </c>
      <c r="B142" s="6" t="s">
        <v>14</v>
      </c>
      <c r="C142" s="6" t="s">
        <v>17</v>
      </c>
      <c r="D142" s="6" t="s">
        <v>15</v>
      </c>
      <c r="E142" s="6" t="s">
        <v>15</v>
      </c>
      <c r="F142" s="6" t="s">
        <v>16</v>
      </c>
      <c r="G142" s="6">
        <v>2302</v>
      </c>
      <c r="H142" s="6">
        <v>60</v>
      </c>
      <c r="I142" s="6">
        <v>512</v>
      </c>
    </row>
    <row r="143" spans="1:9" x14ac:dyDescent="0.25">
      <c r="A143" s="6">
        <v>3591</v>
      </c>
      <c r="B143" s="6" t="s">
        <v>14</v>
      </c>
      <c r="C143" s="6" t="s">
        <v>13</v>
      </c>
      <c r="D143" s="6" t="s">
        <v>15</v>
      </c>
      <c r="E143" s="6" t="s">
        <v>15</v>
      </c>
      <c r="F143" s="6" t="s">
        <v>16</v>
      </c>
      <c r="G143" s="6">
        <v>2302</v>
      </c>
      <c r="H143" s="6">
        <v>60</v>
      </c>
      <c r="I143" s="6">
        <v>64</v>
      </c>
    </row>
    <row r="144" spans="1:9" x14ac:dyDescent="0.25">
      <c r="A144" s="6">
        <v>3639</v>
      </c>
      <c r="B144" s="6" t="s">
        <v>14</v>
      </c>
      <c r="C144" s="6" t="s">
        <v>34</v>
      </c>
      <c r="D144" s="6" t="s">
        <v>15</v>
      </c>
      <c r="E144" s="6" t="s">
        <v>15</v>
      </c>
      <c r="F144" s="6" t="s">
        <v>16</v>
      </c>
      <c r="G144" s="6">
        <v>2302</v>
      </c>
      <c r="H144" s="6">
        <v>60</v>
      </c>
      <c r="I144" s="6">
        <v>2048</v>
      </c>
    </row>
    <row r="145" spans="1:9" x14ac:dyDescent="0.25">
      <c r="A145" s="6">
        <v>3649</v>
      </c>
      <c r="B145" s="6" t="s">
        <v>20</v>
      </c>
      <c r="C145" s="6" t="s">
        <v>35</v>
      </c>
      <c r="D145" s="6" t="s">
        <v>21</v>
      </c>
      <c r="E145" s="6" t="s">
        <v>15</v>
      </c>
      <c r="F145" s="6" t="s">
        <v>16</v>
      </c>
      <c r="G145" s="6">
        <v>2302</v>
      </c>
      <c r="H145" s="6">
        <v>60</v>
      </c>
      <c r="I145" s="6">
        <v>8</v>
      </c>
    </row>
    <row r="146" spans="1:9" x14ac:dyDescent="0.25">
      <c r="A146" s="6">
        <v>3545</v>
      </c>
      <c r="B146" s="6" t="s">
        <v>27</v>
      </c>
      <c r="C146" s="6" t="s">
        <v>29</v>
      </c>
      <c r="D146" s="6" t="s">
        <v>15</v>
      </c>
      <c r="E146" s="6" t="s">
        <v>24</v>
      </c>
      <c r="F146" s="6" t="s">
        <v>16</v>
      </c>
      <c r="G146" s="6">
        <v>2302</v>
      </c>
      <c r="H146" s="6">
        <v>60</v>
      </c>
      <c r="I146" s="6">
        <v>512</v>
      </c>
    </row>
    <row r="147" spans="1:9" x14ac:dyDescent="0.25">
      <c r="A147" s="6">
        <v>3568</v>
      </c>
      <c r="B147" s="6" t="s">
        <v>27</v>
      </c>
      <c r="C147" s="6" t="s">
        <v>29</v>
      </c>
      <c r="D147" s="6" t="s">
        <v>15</v>
      </c>
      <c r="E147" s="6" t="s">
        <v>24</v>
      </c>
      <c r="F147" s="6" t="s">
        <v>16</v>
      </c>
      <c r="G147" s="6">
        <v>2302</v>
      </c>
      <c r="H147" s="6">
        <v>60</v>
      </c>
      <c r="I147" s="6">
        <v>256</v>
      </c>
    </row>
    <row r="148" spans="1:9" x14ac:dyDescent="0.25">
      <c r="A148" s="6">
        <v>3575</v>
      </c>
      <c r="B148" s="6" t="s">
        <v>27</v>
      </c>
      <c r="C148" s="6" t="s">
        <v>29</v>
      </c>
      <c r="D148" s="6" t="s">
        <v>15</v>
      </c>
      <c r="E148" s="6" t="s">
        <v>24</v>
      </c>
      <c r="F148" s="6" t="s">
        <v>16</v>
      </c>
      <c r="G148" s="6">
        <v>2302</v>
      </c>
      <c r="H148" s="6">
        <v>60</v>
      </c>
      <c r="I148" s="6">
        <v>512</v>
      </c>
    </row>
    <row r="149" spans="1:9" x14ac:dyDescent="0.25">
      <c r="A149" s="6">
        <v>3586</v>
      </c>
      <c r="B149" s="6" t="s">
        <v>27</v>
      </c>
      <c r="C149" s="6" t="s">
        <v>29</v>
      </c>
      <c r="D149" s="6" t="s">
        <v>15</v>
      </c>
      <c r="E149" s="6" t="s">
        <v>24</v>
      </c>
      <c r="F149" s="6" t="s">
        <v>16</v>
      </c>
      <c r="G149" s="6">
        <v>2302</v>
      </c>
      <c r="H149" s="6">
        <v>60</v>
      </c>
      <c r="I149" s="6">
        <v>128</v>
      </c>
    </row>
    <row r="150" spans="1:9" x14ac:dyDescent="0.25">
      <c r="A150" s="6">
        <v>3587</v>
      </c>
      <c r="B150" s="6" t="s">
        <v>27</v>
      </c>
      <c r="C150" s="6" t="s">
        <v>26</v>
      </c>
      <c r="D150" s="6" t="s">
        <v>15</v>
      </c>
      <c r="E150" s="6" t="s">
        <v>24</v>
      </c>
      <c r="F150" s="6" t="s">
        <v>16</v>
      </c>
      <c r="G150" s="6">
        <v>2302</v>
      </c>
      <c r="H150" s="6">
        <v>60</v>
      </c>
      <c r="I150" s="6">
        <v>512</v>
      </c>
    </row>
    <row r="151" spans="1:9" x14ac:dyDescent="0.25">
      <c r="A151" s="6">
        <v>3588</v>
      </c>
      <c r="B151" s="6" t="s">
        <v>27</v>
      </c>
      <c r="C151" s="6" t="s">
        <v>29</v>
      </c>
      <c r="D151" s="6" t="s">
        <v>15</v>
      </c>
      <c r="E151" s="6" t="s">
        <v>24</v>
      </c>
      <c r="F151" s="6" t="s">
        <v>16</v>
      </c>
      <c r="G151" s="6">
        <v>2302</v>
      </c>
      <c r="H151" s="6">
        <v>60</v>
      </c>
      <c r="I151" s="6">
        <v>4</v>
      </c>
    </row>
    <row r="152" spans="1:9" x14ac:dyDescent="0.25">
      <c r="A152" s="6">
        <v>3598</v>
      </c>
      <c r="B152" s="6" t="s">
        <v>27</v>
      </c>
      <c r="C152" s="6" t="s">
        <v>26</v>
      </c>
      <c r="D152" s="6" t="s">
        <v>15</v>
      </c>
      <c r="E152" s="6" t="s">
        <v>24</v>
      </c>
      <c r="F152" s="6" t="s">
        <v>16</v>
      </c>
      <c r="G152" s="6">
        <v>2302</v>
      </c>
      <c r="H152" s="6">
        <v>60</v>
      </c>
      <c r="I152" s="6">
        <v>2048</v>
      </c>
    </row>
    <row r="153" spans="1:9" x14ac:dyDescent="0.25">
      <c r="A153" s="6">
        <v>3602</v>
      </c>
      <c r="B153" s="6" t="s">
        <v>27</v>
      </c>
      <c r="C153" s="6" t="s">
        <v>26</v>
      </c>
      <c r="D153" s="6" t="s">
        <v>15</v>
      </c>
      <c r="E153" s="6" t="s">
        <v>24</v>
      </c>
      <c r="F153" s="6" t="s">
        <v>16</v>
      </c>
      <c r="G153" s="6">
        <v>2302</v>
      </c>
      <c r="H153" s="6">
        <v>60</v>
      </c>
      <c r="I153" s="6">
        <v>1024</v>
      </c>
    </row>
    <row r="154" spans="1:9" x14ac:dyDescent="0.25">
      <c r="A154" s="6">
        <v>3629</v>
      </c>
      <c r="B154" s="6" t="s">
        <v>27</v>
      </c>
      <c r="C154" s="6" t="s">
        <v>33</v>
      </c>
      <c r="D154" s="6" t="s">
        <v>15</v>
      </c>
      <c r="E154" s="6" t="s">
        <v>24</v>
      </c>
      <c r="F154" s="6" t="s">
        <v>16</v>
      </c>
      <c r="G154" s="6">
        <v>2302</v>
      </c>
      <c r="H154" s="6">
        <v>60</v>
      </c>
      <c r="I154" s="6">
        <v>256</v>
      </c>
    </row>
    <row r="155" spans="1:9" x14ac:dyDescent="0.25">
      <c r="A155" s="6">
        <v>3636</v>
      </c>
      <c r="B155" s="6" t="s">
        <v>27</v>
      </c>
      <c r="C155" s="6" t="s">
        <v>26</v>
      </c>
      <c r="D155" s="6" t="s">
        <v>15</v>
      </c>
      <c r="E155" s="6" t="s">
        <v>24</v>
      </c>
      <c r="F155" s="6" t="s">
        <v>16</v>
      </c>
      <c r="G155" s="6">
        <v>2302</v>
      </c>
      <c r="H155" s="6">
        <v>60</v>
      </c>
      <c r="I155" s="6">
        <v>128</v>
      </c>
    </row>
    <row r="156" spans="1:9" x14ac:dyDescent="0.25">
      <c r="A156" s="6">
        <v>3642</v>
      </c>
      <c r="B156" s="6" t="s">
        <v>27</v>
      </c>
      <c r="C156" s="6" t="s">
        <v>29</v>
      </c>
      <c r="D156" s="6" t="s">
        <v>15</v>
      </c>
      <c r="E156" s="6" t="s">
        <v>24</v>
      </c>
      <c r="F156" s="6" t="s">
        <v>16</v>
      </c>
      <c r="G156" s="6">
        <v>2302</v>
      </c>
      <c r="H156" s="6">
        <v>60</v>
      </c>
      <c r="I156" s="6">
        <v>64</v>
      </c>
    </row>
    <row r="157" spans="1:9" x14ac:dyDescent="0.25">
      <c r="A157" s="6">
        <v>3683</v>
      </c>
      <c r="B157" s="6" t="s">
        <v>27</v>
      </c>
      <c r="C157" s="6" t="s">
        <v>33</v>
      </c>
      <c r="D157" s="6" t="s">
        <v>15</v>
      </c>
      <c r="E157" s="6" t="s">
        <v>24</v>
      </c>
      <c r="F157" s="6" t="s">
        <v>16</v>
      </c>
      <c r="G157" s="6">
        <v>2302</v>
      </c>
      <c r="H157" s="6">
        <v>60</v>
      </c>
      <c r="I157" s="6">
        <v>512</v>
      </c>
    </row>
    <row r="158" spans="1:9" x14ac:dyDescent="0.25">
      <c r="A158" s="6">
        <v>3504</v>
      </c>
      <c r="B158" s="6" t="s">
        <v>20</v>
      </c>
      <c r="C158" s="6" t="s">
        <v>31</v>
      </c>
      <c r="D158" s="6" t="s">
        <v>21</v>
      </c>
      <c r="E158" s="6" t="s">
        <v>15</v>
      </c>
      <c r="F158" s="6" t="s">
        <v>16</v>
      </c>
      <c r="G158" s="6">
        <v>2302</v>
      </c>
      <c r="H158" s="6">
        <v>60</v>
      </c>
      <c r="I158" s="6">
        <v>1024</v>
      </c>
    </row>
    <row r="159" spans="1:9" x14ac:dyDescent="0.25">
      <c r="A159" s="6">
        <v>3505</v>
      </c>
      <c r="B159" s="6" t="s">
        <v>20</v>
      </c>
      <c r="C159" s="6" t="s">
        <v>30</v>
      </c>
      <c r="D159" s="6" t="s">
        <v>21</v>
      </c>
      <c r="E159" s="6" t="s">
        <v>15</v>
      </c>
      <c r="F159" s="6" t="s">
        <v>16</v>
      </c>
      <c r="G159" s="6">
        <v>2302</v>
      </c>
      <c r="H159" s="6">
        <v>60</v>
      </c>
      <c r="I159" s="6">
        <v>64</v>
      </c>
    </row>
    <row r="160" spans="1:9" x14ac:dyDescent="0.25">
      <c r="A160" s="6">
        <v>3509</v>
      </c>
      <c r="B160" s="6" t="s">
        <v>20</v>
      </c>
      <c r="C160" s="6" t="s">
        <v>31</v>
      </c>
      <c r="D160" s="6" t="s">
        <v>21</v>
      </c>
      <c r="E160" s="6" t="s">
        <v>15</v>
      </c>
      <c r="F160" s="6" t="s">
        <v>16</v>
      </c>
      <c r="G160" s="6">
        <v>2302</v>
      </c>
      <c r="H160" s="6">
        <v>60</v>
      </c>
      <c r="I160" s="6">
        <v>512</v>
      </c>
    </row>
    <row r="161" spans="1:9" x14ac:dyDescent="0.25">
      <c r="A161" s="6">
        <v>3517</v>
      </c>
      <c r="B161" s="6" t="s">
        <v>20</v>
      </c>
      <c r="C161" s="6" t="s">
        <v>30</v>
      </c>
      <c r="D161" s="6" t="s">
        <v>21</v>
      </c>
      <c r="E161" s="6" t="s">
        <v>15</v>
      </c>
      <c r="F161" s="6" t="s">
        <v>16</v>
      </c>
      <c r="G161" s="6">
        <v>2302</v>
      </c>
      <c r="H161" s="6">
        <v>60</v>
      </c>
      <c r="I161" s="6">
        <v>256</v>
      </c>
    </row>
    <row r="162" spans="1:9" x14ac:dyDescent="0.25">
      <c r="A162" s="6">
        <v>3523</v>
      </c>
      <c r="B162" s="6" t="s">
        <v>20</v>
      </c>
      <c r="C162" s="6" t="s">
        <v>42</v>
      </c>
      <c r="D162" s="6" t="s">
        <v>21</v>
      </c>
      <c r="E162" s="6" t="s">
        <v>15</v>
      </c>
      <c r="F162" s="6" t="s">
        <v>16</v>
      </c>
      <c r="G162" s="6">
        <v>2302</v>
      </c>
      <c r="H162" s="6">
        <v>60</v>
      </c>
      <c r="I162" s="6">
        <v>64</v>
      </c>
    </row>
    <row r="163" spans="1:9" x14ac:dyDescent="0.25">
      <c r="A163" s="6">
        <v>3534</v>
      </c>
      <c r="B163" s="6" t="s">
        <v>20</v>
      </c>
      <c r="C163" s="6" t="s">
        <v>42</v>
      </c>
      <c r="D163" s="6" t="s">
        <v>21</v>
      </c>
      <c r="E163" s="6" t="s">
        <v>15</v>
      </c>
      <c r="F163" s="6" t="s">
        <v>16</v>
      </c>
      <c r="G163" s="6">
        <v>2302</v>
      </c>
      <c r="H163" s="6">
        <v>60</v>
      </c>
      <c r="I163" s="6">
        <v>128</v>
      </c>
    </row>
    <row r="164" spans="1:9" x14ac:dyDescent="0.25">
      <c r="A164" s="6">
        <v>3554</v>
      </c>
      <c r="B164" s="6" t="s">
        <v>20</v>
      </c>
      <c r="C164" s="6" t="s">
        <v>30</v>
      </c>
      <c r="D164" s="6" t="s">
        <v>21</v>
      </c>
      <c r="E164" s="6" t="s">
        <v>15</v>
      </c>
      <c r="F164" s="6" t="s">
        <v>16</v>
      </c>
      <c r="G164" s="6">
        <v>2302</v>
      </c>
      <c r="H164" s="6">
        <v>60</v>
      </c>
      <c r="I164" s="6">
        <v>64</v>
      </c>
    </row>
    <row r="165" spans="1:9" x14ac:dyDescent="0.25">
      <c r="A165" s="6">
        <v>3559</v>
      </c>
      <c r="B165" s="6" t="s">
        <v>20</v>
      </c>
      <c r="C165" s="6" t="s">
        <v>31</v>
      </c>
      <c r="D165" s="6" t="s">
        <v>21</v>
      </c>
      <c r="E165" s="6" t="s">
        <v>15</v>
      </c>
      <c r="F165" s="6" t="s">
        <v>16</v>
      </c>
      <c r="G165" s="6">
        <v>2302</v>
      </c>
      <c r="H165" s="6">
        <v>60</v>
      </c>
      <c r="I165" s="6">
        <v>1024</v>
      </c>
    </row>
    <row r="166" spans="1:9" x14ac:dyDescent="0.25">
      <c r="A166" s="6">
        <v>3571</v>
      </c>
      <c r="B166" s="6" t="s">
        <v>20</v>
      </c>
      <c r="C166" s="6" t="s">
        <v>31</v>
      </c>
      <c r="D166" s="6" t="s">
        <v>21</v>
      </c>
      <c r="E166" s="6" t="s">
        <v>15</v>
      </c>
      <c r="F166" s="6" t="s">
        <v>16</v>
      </c>
      <c r="G166" s="6">
        <v>2302</v>
      </c>
      <c r="H166" s="6">
        <v>60</v>
      </c>
      <c r="I166" s="6">
        <v>256</v>
      </c>
    </row>
    <row r="167" spans="1:9" x14ac:dyDescent="0.25">
      <c r="A167" s="6">
        <v>3579</v>
      </c>
      <c r="B167" s="6" t="s">
        <v>20</v>
      </c>
      <c r="C167" s="6" t="s">
        <v>35</v>
      </c>
      <c r="D167" s="6" t="s">
        <v>21</v>
      </c>
      <c r="E167" s="6" t="s">
        <v>15</v>
      </c>
      <c r="F167" s="6" t="s">
        <v>16</v>
      </c>
      <c r="G167" s="6">
        <v>2302</v>
      </c>
      <c r="H167" s="6">
        <v>60</v>
      </c>
      <c r="I167" s="6">
        <v>256</v>
      </c>
    </row>
    <row r="168" spans="1:9" x14ac:dyDescent="0.25">
      <c r="A168" s="6">
        <v>3580</v>
      </c>
      <c r="B168" s="6" t="s">
        <v>20</v>
      </c>
      <c r="C168" s="6" t="s">
        <v>35</v>
      </c>
      <c r="D168" s="6" t="s">
        <v>21</v>
      </c>
      <c r="E168" s="6" t="s">
        <v>15</v>
      </c>
      <c r="F168" s="6" t="s">
        <v>16</v>
      </c>
      <c r="G168" s="6">
        <v>2302</v>
      </c>
      <c r="H168" s="6">
        <v>60</v>
      </c>
      <c r="I168" s="6">
        <v>16</v>
      </c>
    </row>
    <row r="169" spans="1:9" x14ac:dyDescent="0.25">
      <c r="A169" s="6">
        <v>3581</v>
      </c>
      <c r="B169" s="6" t="s">
        <v>20</v>
      </c>
      <c r="C169" s="6" t="s">
        <v>31</v>
      </c>
      <c r="D169" s="6" t="s">
        <v>21</v>
      </c>
      <c r="E169" s="6" t="s">
        <v>15</v>
      </c>
      <c r="F169" s="6" t="s">
        <v>16</v>
      </c>
      <c r="G169" s="6">
        <v>2302</v>
      </c>
      <c r="H169" s="6">
        <v>60</v>
      </c>
      <c r="I169" s="6">
        <v>256</v>
      </c>
    </row>
    <row r="170" spans="1:9" x14ac:dyDescent="0.25">
      <c r="A170" s="6">
        <v>3584</v>
      </c>
      <c r="B170" s="6" t="s">
        <v>20</v>
      </c>
      <c r="C170" s="6" t="s">
        <v>31</v>
      </c>
      <c r="D170" s="6" t="s">
        <v>21</v>
      </c>
      <c r="E170" s="6" t="s">
        <v>15</v>
      </c>
      <c r="F170" s="6" t="s">
        <v>16</v>
      </c>
      <c r="G170" s="6">
        <v>2302</v>
      </c>
      <c r="H170" s="6">
        <v>60</v>
      </c>
      <c r="I170" s="6">
        <v>64</v>
      </c>
    </row>
    <row r="171" spans="1:9" x14ac:dyDescent="0.25">
      <c r="A171" s="6">
        <v>3599</v>
      </c>
      <c r="B171" s="6" t="s">
        <v>20</v>
      </c>
      <c r="C171" s="6" t="s">
        <v>31</v>
      </c>
      <c r="D171" s="6" t="s">
        <v>21</v>
      </c>
      <c r="E171" s="6" t="s">
        <v>15</v>
      </c>
      <c r="F171" s="6" t="s">
        <v>16</v>
      </c>
      <c r="G171" s="6">
        <v>2302</v>
      </c>
      <c r="H171" s="6">
        <v>60</v>
      </c>
      <c r="I171" s="6">
        <v>64</v>
      </c>
    </row>
    <row r="172" spans="1:9" x14ac:dyDescent="0.25">
      <c r="A172" s="6">
        <v>3603</v>
      </c>
      <c r="B172" s="6" t="s">
        <v>20</v>
      </c>
      <c r="C172" s="6" t="s">
        <v>30</v>
      </c>
      <c r="D172" s="6" t="s">
        <v>21</v>
      </c>
      <c r="E172" s="6" t="s">
        <v>15</v>
      </c>
      <c r="F172" s="6" t="s">
        <v>16</v>
      </c>
      <c r="G172" s="6">
        <v>2302</v>
      </c>
      <c r="H172" s="6">
        <v>60</v>
      </c>
      <c r="I172" s="6">
        <v>64</v>
      </c>
    </row>
    <row r="173" spans="1:9" x14ac:dyDescent="0.25">
      <c r="A173" s="6">
        <v>3607</v>
      </c>
      <c r="B173" s="6" t="s">
        <v>20</v>
      </c>
      <c r="C173" s="6" t="s">
        <v>30</v>
      </c>
      <c r="D173" s="6" t="s">
        <v>21</v>
      </c>
      <c r="E173" s="6" t="s">
        <v>15</v>
      </c>
      <c r="F173" s="6" t="s">
        <v>16</v>
      </c>
      <c r="G173" s="6">
        <v>2302</v>
      </c>
      <c r="H173" s="6">
        <v>60</v>
      </c>
      <c r="I173" s="6">
        <v>512</v>
      </c>
    </row>
    <row r="174" spans="1:9" x14ac:dyDescent="0.25">
      <c r="A174" s="6">
        <v>3608</v>
      </c>
      <c r="B174" s="6" t="s">
        <v>20</v>
      </c>
      <c r="C174" s="6" t="s">
        <v>31</v>
      </c>
      <c r="D174" s="6" t="s">
        <v>21</v>
      </c>
      <c r="E174" s="6" t="s">
        <v>15</v>
      </c>
      <c r="F174" s="6" t="s">
        <v>16</v>
      </c>
      <c r="G174" s="6">
        <v>2302</v>
      </c>
      <c r="H174" s="6">
        <v>60</v>
      </c>
      <c r="I174" s="6">
        <v>2048</v>
      </c>
    </row>
    <row r="175" spans="1:9" x14ac:dyDescent="0.25">
      <c r="A175" s="6">
        <v>3609</v>
      </c>
      <c r="B175" s="6" t="s">
        <v>20</v>
      </c>
      <c r="C175" s="6" t="s">
        <v>42</v>
      </c>
      <c r="D175" s="6" t="s">
        <v>21</v>
      </c>
      <c r="E175" s="6" t="s">
        <v>15</v>
      </c>
      <c r="F175" s="6" t="s">
        <v>16</v>
      </c>
      <c r="G175" s="6">
        <v>2302</v>
      </c>
      <c r="H175" s="6">
        <v>60</v>
      </c>
      <c r="I175" s="6">
        <v>1024</v>
      </c>
    </row>
    <row r="176" spans="1:9" x14ac:dyDescent="0.25">
      <c r="A176" s="6">
        <v>3617</v>
      </c>
      <c r="B176" s="6" t="s">
        <v>20</v>
      </c>
      <c r="C176" s="6" t="s">
        <v>35</v>
      </c>
      <c r="D176" s="6" t="s">
        <v>21</v>
      </c>
      <c r="E176" s="6" t="s">
        <v>15</v>
      </c>
      <c r="F176" s="6" t="s">
        <v>16</v>
      </c>
      <c r="G176" s="6">
        <v>2302</v>
      </c>
      <c r="H176" s="6">
        <v>60</v>
      </c>
      <c r="I176" s="6">
        <v>256</v>
      </c>
    </row>
    <row r="177" spans="1:9" x14ac:dyDescent="0.25">
      <c r="A177" s="6">
        <v>3623</v>
      </c>
      <c r="B177" s="6" t="s">
        <v>20</v>
      </c>
      <c r="C177" s="6" t="s">
        <v>30</v>
      </c>
      <c r="D177" s="6" t="s">
        <v>21</v>
      </c>
      <c r="E177" s="6" t="s">
        <v>15</v>
      </c>
      <c r="F177" s="6" t="s">
        <v>16</v>
      </c>
      <c r="G177" s="6">
        <v>2302</v>
      </c>
      <c r="H177" s="6">
        <v>60</v>
      </c>
      <c r="I177" s="6">
        <v>256</v>
      </c>
    </row>
    <row r="178" spans="1:9" x14ac:dyDescent="0.25">
      <c r="A178" s="6">
        <v>3651</v>
      </c>
      <c r="B178" s="6" t="s">
        <v>20</v>
      </c>
      <c r="C178" s="6" t="s">
        <v>42</v>
      </c>
      <c r="D178" s="6" t="s">
        <v>21</v>
      </c>
      <c r="E178" s="6" t="s">
        <v>15</v>
      </c>
      <c r="F178" s="6" t="s">
        <v>16</v>
      </c>
      <c r="G178" s="6">
        <v>2302</v>
      </c>
      <c r="H178" s="6">
        <v>60</v>
      </c>
      <c r="I178" s="6">
        <v>1024</v>
      </c>
    </row>
    <row r="179" spans="1:9" x14ac:dyDescent="0.25">
      <c r="A179" s="6">
        <v>3653</v>
      </c>
      <c r="B179" s="6" t="s">
        <v>20</v>
      </c>
      <c r="C179" s="6" t="s">
        <v>42</v>
      </c>
      <c r="D179" s="6" t="s">
        <v>21</v>
      </c>
      <c r="E179" s="6" t="s">
        <v>15</v>
      </c>
      <c r="F179" s="6" t="s">
        <v>16</v>
      </c>
      <c r="G179" s="6">
        <v>2302</v>
      </c>
      <c r="H179" s="6">
        <v>60</v>
      </c>
      <c r="I179" s="6">
        <v>256</v>
      </c>
    </row>
    <row r="180" spans="1:9" x14ac:dyDescent="0.25">
      <c r="A180" s="6">
        <v>3655</v>
      </c>
      <c r="B180" s="6" t="s">
        <v>20</v>
      </c>
      <c r="C180" s="6" t="s">
        <v>42</v>
      </c>
      <c r="D180" s="6" t="s">
        <v>21</v>
      </c>
      <c r="E180" s="6" t="s">
        <v>15</v>
      </c>
      <c r="F180" s="6" t="s">
        <v>16</v>
      </c>
      <c r="G180" s="6">
        <v>2302</v>
      </c>
      <c r="H180" s="6">
        <v>60</v>
      </c>
      <c r="I180" s="6">
        <v>16</v>
      </c>
    </row>
    <row r="181" spans="1:9" x14ac:dyDescent="0.25">
      <c r="A181" s="6">
        <v>3546</v>
      </c>
      <c r="B181" s="6" t="s">
        <v>23</v>
      </c>
      <c r="C181" s="6" t="s">
        <v>25</v>
      </c>
      <c r="D181" s="6" t="s">
        <v>21</v>
      </c>
      <c r="E181" s="6" t="s">
        <v>24</v>
      </c>
      <c r="F181" s="6" t="s">
        <v>16</v>
      </c>
      <c r="G181" s="6">
        <v>2302</v>
      </c>
      <c r="H181" s="6">
        <v>60</v>
      </c>
      <c r="I181" s="6">
        <v>256</v>
      </c>
    </row>
    <row r="182" spans="1:9" x14ac:dyDescent="0.25">
      <c r="A182" s="6">
        <v>3553</v>
      </c>
      <c r="B182" s="6" t="s">
        <v>23</v>
      </c>
      <c r="C182" s="6" t="s">
        <v>25</v>
      </c>
      <c r="D182" s="6" t="s">
        <v>21</v>
      </c>
      <c r="E182" s="6" t="s">
        <v>24</v>
      </c>
      <c r="F182" s="6" t="s">
        <v>16</v>
      </c>
      <c r="G182" s="6">
        <v>2302</v>
      </c>
      <c r="H182" s="6">
        <v>60</v>
      </c>
      <c r="I182" s="6">
        <v>2048</v>
      </c>
    </row>
    <row r="183" spans="1:9" x14ac:dyDescent="0.25">
      <c r="A183" s="6">
        <v>3557</v>
      </c>
      <c r="B183" s="6" t="s">
        <v>23</v>
      </c>
      <c r="C183" s="6" t="s">
        <v>32</v>
      </c>
      <c r="D183" s="6" t="s">
        <v>21</v>
      </c>
      <c r="E183" s="6" t="s">
        <v>24</v>
      </c>
      <c r="F183" s="6" t="s">
        <v>16</v>
      </c>
      <c r="G183" s="6">
        <v>2302</v>
      </c>
      <c r="H183" s="6">
        <v>60</v>
      </c>
      <c r="I183" s="6">
        <v>512</v>
      </c>
    </row>
    <row r="184" spans="1:9" x14ac:dyDescent="0.25">
      <c r="A184" s="6">
        <v>3570</v>
      </c>
      <c r="B184" s="6" t="s">
        <v>23</v>
      </c>
      <c r="C184" s="6" t="s">
        <v>32</v>
      </c>
      <c r="D184" s="6" t="s">
        <v>21</v>
      </c>
      <c r="E184" s="6" t="s">
        <v>24</v>
      </c>
      <c r="F184" s="6" t="s">
        <v>16</v>
      </c>
      <c r="G184" s="6">
        <v>2302</v>
      </c>
      <c r="H184" s="6">
        <v>60</v>
      </c>
      <c r="I184" s="6">
        <v>64</v>
      </c>
    </row>
    <row r="185" spans="1:9" x14ac:dyDescent="0.25">
      <c r="A185" s="6">
        <v>3593</v>
      </c>
      <c r="B185" s="6" t="s">
        <v>23</v>
      </c>
      <c r="C185" s="6" t="s">
        <v>65</v>
      </c>
      <c r="D185" s="6" t="s">
        <v>21</v>
      </c>
      <c r="E185" s="6" t="s">
        <v>24</v>
      </c>
      <c r="F185" s="6" t="s">
        <v>16</v>
      </c>
      <c r="G185" s="6">
        <v>2302</v>
      </c>
      <c r="H185" s="6">
        <v>60</v>
      </c>
      <c r="I185" s="6">
        <v>16</v>
      </c>
    </row>
    <row r="186" spans="1:9" x14ac:dyDescent="0.25">
      <c r="A186" s="6">
        <v>3610</v>
      </c>
      <c r="B186" s="6" t="s">
        <v>23</v>
      </c>
      <c r="C186" s="6" t="s">
        <v>22</v>
      </c>
      <c r="D186" s="6" t="s">
        <v>21</v>
      </c>
      <c r="E186" s="6" t="s">
        <v>24</v>
      </c>
      <c r="F186" s="6" t="s">
        <v>16</v>
      </c>
      <c r="G186" s="6">
        <v>2302</v>
      </c>
      <c r="H186" s="6">
        <v>60</v>
      </c>
      <c r="I186" s="6">
        <v>32</v>
      </c>
    </row>
    <row r="187" spans="1:9" x14ac:dyDescent="0.25">
      <c r="A187" s="6">
        <v>3613</v>
      </c>
      <c r="B187" s="6" t="s">
        <v>23</v>
      </c>
      <c r="C187" s="6" t="s">
        <v>32</v>
      </c>
      <c r="D187" s="6" t="s">
        <v>21</v>
      </c>
      <c r="E187" s="6" t="s">
        <v>24</v>
      </c>
      <c r="F187" s="6" t="s">
        <v>16</v>
      </c>
      <c r="G187" s="6">
        <v>2302</v>
      </c>
      <c r="H187" s="6">
        <v>60</v>
      </c>
      <c r="I187" s="6">
        <v>64</v>
      </c>
    </row>
    <row r="188" spans="1:9" x14ac:dyDescent="0.25">
      <c r="A188" s="6">
        <v>3660</v>
      </c>
      <c r="B188" s="6" t="s">
        <v>23</v>
      </c>
      <c r="C188" s="6" t="s">
        <v>22</v>
      </c>
      <c r="D188" s="6" t="s">
        <v>21</v>
      </c>
      <c r="E188" s="6" t="s">
        <v>24</v>
      </c>
      <c r="F188" s="6" t="s">
        <v>16</v>
      </c>
      <c r="G188" s="6">
        <v>2302</v>
      </c>
      <c r="H188" s="6">
        <v>60</v>
      </c>
      <c r="I188" s="6">
        <v>512</v>
      </c>
    </row>
    <row r="189" spans="1:9" x14ac:dyDescent="0.25">
      <c r="A189" s="6">
        <v>3662</v>
      </c>
      <c r="B189" s="6" t="s">
        <v>23</v>
      </c>
      <c r="C189" s="6" t="s">
        <v>22</v>
      </c>
      <c r="D189" s="6" t="s">
        <v>21</v>
      </c>
      <c r="E189" s="6" t="s">
        <v>24</v>
      </c>
      <c r="F189" s="6" t="s">
        <v>16</v>
      </c>
      <c r="G189" s="6">
        <v>2302</v>
      </c>
      <c r="H189" s="6">
        <v>60</v>
      </c>
      <c r="I189" s="6">
        <v>16</v>
      </c>
    </row>
    <row r="190" spans="1:9" x14ac:dyDescent="0.25">
      <c r="A190" s="6">
        <v>3677</v>
      </c>
      <c r="B190" s="6" t="s">
        <v>27</v>
      </c>
      <c r="C190" s="6" t="s">
        <v>33</v>
      </c>
      <c r="D190" s="6" t="s">
        <v>15</v>
      </c>
      <c r="E190" s="6" t="s">
        <v>24</v>
      </c>
      <c r="F190" s="6" t="s">
        <v>16</v>
      </c>
      <c r="G190" s="6">
        <v>2302</v>
      </c>
      <c r="H190" s="6">
        <v>60</v>
      </c>
      <c r="I190" s="6">
        <v>128</v>
      </c>
    </row>
    <row r="191" spans="1:9" x14ac:dyDescent="0.25">
      <c r="A191" s="6">
        <v>3012</v>
      </c>
      <c r="B191" s="6" t="s">
        <v>14</v>
      </c>
      <c r="C191" s="6" t="s">
        <v>45</v>
      </c>
      <c r="D191" s="6" t="s">
        <v>15</v>
      </c>
      <c r="E191" s="6" t="s">
        <v>15</v>
      </c>
      <c r="F191" s="6" t="s">
        <v>37</v>
      </c>
      <c r="G191" s="6">
        <v>2301</v>
      </c>
      <c r="H191" s="6">
        <v>0</v>
      </c>
      <c r="I191" s="6">
        <v>16</v>
      </c>
    </row>
    <row r="192" spans="1:9" x14ac:dyDescent="0.25">
      <c r="A192" s="6">
        <v>3013</v>
      </c>
      <c r="B192" s="6" t="s">
        <v>14</v>
      </c>
      <c r="C192" s="6" t="s">
        <v>13</v>
      </c>
      <c r="D192" s="6" t="s">
        <v>15</v>
      </c>
      <c r="E192" s="6" t="s">
        <v>15</v>
      </c>
      <c r="F192" s="6" t="s">
        <v>37</v>
      </c>
      <c r="G192" s="6">
        <v>2301</v>
      </c>
      <c r="H192" s="6">
        <v>0</v>
      </c>
      <c r="I192" s="6">
        <v>1024</v>
      </c>
    </row>
    <row r="193" spans="1:9" x14ac:dyDescent="0.25">
      <c r="A193" s="6">
        <v>3016</v>
      </c>
      <c r="B193" s="6" t="s">
        <v>14</v>
      </c>
      <c r="C193" s="6" t="s">
        <v>18</v>
      </c>
      <c r="D193" s="6" t="s">
        <v>15</v>
      </c>
      <c r="E193" s="6" t="s">
        <v>15</v>
      </c>
      <c r="F193" s="6" t="s">
        <v>37</v>
      </c>
      <c r="G193" s="6">
        <v>2301</v>
      </c>
      <c r="H193" s="6">
        <v>0</v>
      </c>
      <c r="I193" s="6"/>
    </row>
    <row r="194" spans="1:9" x14ac:dyDescent="0.25">
      <c r="A194" s="6">
        <v>3018</v>
      </c>
      <c r="B194" s="6" t="s">
        <v>14</v>
      </c>
      <c r="C194" s="6" t="s">
        <v>18</v>
      </c>
      <c r="D194" s="6" t="s">
        <v>15</v>
      </c>
      <c r="E194" s="6" t="s">
        <v>15</v>
      </c>
      <c r="F194" s="6" t="s">
        <v>37</v>
      </c>
      <c r="G194" s="6">
        <v>2301</v>
      </c>
      <c r="H194" s="6">
        <v>0</v>
      </c>
      <c r="I194" s="6"/>
    </row>
    <row r="195" spans="1:9" x14ac:dyDescent="0.25">
      <c r="A195" s="6">
        <v>3019</v>
      </c>
      <c r="B195" s="6" t="s">
        <v>14</v>
      </c>
      <c r="C195" s="6" t="s">
        <v>45</v>
      </c>
      <c r="D195" s="6" t="s">
        <v>15</v>
      </c>
      <c r="E195" s="6" t="s">
        <v>15</v>
      </c>
      <c r="F195" s="6" t="s">
        <v>37</v>
      </c>
      <c r="G195" s="6">
        <v>2301</v>
      </c>
      <c r="H195" s="6">
        <v>0</v>
      </c>
      <c r="I195" s="6">
        <v>32</v>
      </c>
    </row>
    <row r="196" spans="1:9" x14ac:dyDescent="0.25">
      <c r="A196" s="6">
        <v>3030</v>
      </c>
      <c r="B196" s="6" t="s">
        <v>14</v>
      </c>
      <c r="C196" s="6" t="s">
        <v>66</v>
      </c>
      <c r="D196" s="6" t="s">
        <v>15</v>
      </c>
      <c r="E196" s="6" t="s">
        <v>15</v>
      </c>
      <c r="F196" s="6" t="s">
        <v>37</v>
      </c>
      <c r="G196" s="6">
        <v>2301</v>
      </c>
      <c r="H196" s="6">
        <v>0</v>
      </c>
      <c r="I196" s="6">
        <v>32</v>
      </c>
    </row>
    <row r="197" spans="1:9" x14ac:dyDescent="0.25">
      <c r="A197" s="6">
        <v>3034</v>
      </c>
      <c r="B197" s="6" t="s">
        <v>14</v>
      </c>
      <c r="C197" s="6" t="s">
        <v>66</v>
      </c>
      <c r="D197" s="6" t="s">
        <v>15</v>
      </c>
      <c r="E197" s="6" t="s">
        <v>15</v>
      </c>
      <c r="F197" s="6" t="s">
        <v>37</v>
      </c>
      <c r="G197" s="6">
        <v>2301</v>
      </c>
      <c r="H197" s="6">
        <v>0</v>
      </c>
      <c r="I197" s="6">
        <v>16</v>
      </c>
    </row>
    <row r="198" spans="1:9" x14ac:dyDescent="0.25">
      <c r="A198" s="6">
        <v>3113</v>
      </c>
      <c r="B198" s="6" t="s">
        <v>14</v>
      </c>
      <c r="C198" s="6" t="s">
        <v>45</v>
      </c>
      <c r="D198" s="6" t="s">
        <v>15</v>
      </c>
      <c r="E198" s="6" t="s">
        <v>15</v>
      </c>
      <c r="F198" s="6" t="s">
        <v>37</v>
      </c>
      <c r="G198" s="6">
        <v>2301</v>
      </c>
      <c r="H198" s="6">
        <v>0</v>
      </c>
      <c r="I198" s="6">
        <v>16</v>
      </c>
    </row>
    <row r="199" spans="1:9" x14ac:dyDescent="0.25">
      <c r="A199" s="6">
        <v>3117</v>
      </c>
      <c r="B199" s="6" t="s">
        <v>14</v>
      </c>
      <c r="C199" s="6" t="s">
        <v>17</v>
      </c>
      <c r="D199" s="6" t="s">
        <v>15</v>
      </c>
      <c r="E199" s="6" t="s">
        <v>15</v>
      </c>
      <c r="F199" s="6" t="s">
        <v>37</v>
      </c>
      <c r="G199" s="6">
        <v>2301</v>
      </c>
      <c r="H199" s="6">
        <v>0</v>
      </c>
      <c r="I199" s="6"/>
    </row>
    <row r="200" spans="1:9" x14ac:dyDescent="0.25">
      <c r="A200" s="6">
        <v>3129</v>
      </c>
      <c r="B200" s="6" t="s">
        <v>14</v>
      </c>
      <c r="C200" s="6" t="s">
        <v>17</v>
      </c>
      <c r="D200" s="6" t="s">
        <v>15</v>
      </c>
      <c r="E200" s="6" t="s">
        <v>15</v>
      </c>
      <c r="F200" s="6" t="s">
        <v>37</v>
      </c>
      <c r="G200" s="6">
        <v>2301</v>
      </c>
      <c r="H200" s="6">
        <v>0</v>
      </c>
      <c r="I200" s="6"/>
    </row>
    <row r="201" spans="1:9" x14ac:dyDescent="0.25">
      <c r="A201" s="6">
        <v>3130</v>
      </c>
      <c r="B201" s="6" t="s">
        <v>14</v>
      </c>
      <c r="C201" s="6" t="s">
        <v>13</v>
      </c>
      <c r="D201" s="6" t="s">
        <v>15</v>
      </c>
      <c r="E201" s="6" t="s">
        <v>15</v>
      </c>
      <c r="F201" s="6" t="s">
        <v>37</v>
      </c>
      <c r="G201" s="6">
        <v>2301</v>
      </c>
      <c r="H201" s="6">
        <v>0</v>
      </c>
      <c r="I201" s="6"/>
    </row>
    <row r="202" spans="1:9" x14ac:dyDescent="0.25">
      <c r="A202" s="6">
        <v>3131</v>
      </c>
      <c r="B202" s="6" t="s">
        <v>14</v>
      </c>
      <c r="C202" s="6" t="s">
        <v>13</v>
      </c>
      <c r="D202" s="6" t="s">
        <v>15</v>
      </c>
      <c r="E202" s="6" t="s">
        <v>15</v>
      </c>
      <c r="F202" s="6" t="s">
        <v>37</v>
      </c>
      <c r="G202" s="6">
        <v>2301</v>
      </c>
      <c r="H202" s="6">
        <v>0</v>
      </c>
      <c r="I202" s="6"/>
    </row>
    <row r="203" spans="1:9" x14ac:dyDescent="0.25">
      <c r="A203" s="6">
        <v>3165</v>
      </c>
      <c r="B203" s="6" t="s">
        <v>14</v>
      </c>
      <c r="C203" s="6" t="s">
        <v>34</v>
      </c>
      <c r="D203" s="6" t="s">
        <v>15</v>
      </c>
      <c r="E203" s="6" t="s">
        <v>15</v>
      </c>
      <c r="F203" s="6" t="s">
        <v>37</v>
      </c>
      <c r="G203" s="6">
        <v>2301</v>
      </c>
      <c r="H203" s="6">
        <v>0</v>
      </c>
      <c r="I203" s="6">
        <v>16</v>
      </c>
    </row>
    <row r="204" spans="1:9" x14ac:dyDescent="0.25">
      <c r="A204" s="6">
        <v>3169</v>
      </c>
      <c r="B204" s="6" t="s">
        <v>14</v>
      </c>
      <c r="C204" s="6" t="s">
        <v>34</v>
      </c>
      <c r="D204" s="6" t="s">
        <v>15</v>
      </c>
      <c r="E204" s="6" t="s">
        <v>15</v>
      </c>
      <c r="F204" s="6" t="s">
        <v>37</v>
      </c>
      <c r="G204" s="6">
        <v>2301</v>
      </c>
      <c r="H204" s="6">
        <v>0</v>
      </c>
      <c r="I204" s="6">
        <v>4</v>
      </c>
    </row>
    <row r="205" spans="1:9" x14ac:dyDescent="0.25">
      <c r="A205" s="6">
        <v>3171</v>
      </c>
      <c r="B205" s="6" t="s">
        <v>14</v>
      </c>
      <c r="C205" s="6" t="s">
        <v>34</v>
      </c>
      <c r="D205" s="6" t="s">
        <v>15</v>
      </c>
      <c r="E205" s="6" t="s">
        <v>15</v>
      </c>
      <c r="F205" s="6" t="s">
        <v>37</v>
      </c>
      <c r="G205" s="6">
        <v>2301</v>
      </c>
      <c r="H205" s="6">
        <v>0</v>
      </c>
      <c r="I205" s="6">
        <v>16</v>
      </c>
    </row>
    <row r="206" spans="1:9" x14ac:dyDescent="0.25">
      <c r="A206" s="6">
        <v>3172</v>
      </c>
      <c r="B206" s="6" t="s">
        <v>14</v>
      </c>
      <c r="C206" s="6" t="s">
        <v>34</v>
      </c>
      <c r="D206" s="6" t="s">
        <v>15</v>
      </c>
      <c r="E206" s="6" t="s">
        <v>15</v>
      </c>
      <c r="F206" s="6" t="s">
        <v>37</v>
      </c>
      <c r="G206" s="6">
        <v>2301</v>
      </c>
      <c r="H206" s="6">
        <v>0</v>
      </c>
      <c r="I206" s="6">
        <v>4</v>
      </c>
    </row>
    <row r="207" spans="1:9" x14ac:dyDescent="0.25">
      <c r="A207" s="6">
        <v>3174</v>
      </c>
      <c r="B207" s="6" t="s">
        <v>14</v>
      </c>
      <c r="C207" s="6" t="s">
        <v>34</v>
      </c>
      <c r="D207" s="6" t="s">
        <v>15</v>
      </c>
      <c r="E207" s="6" t="s">
        <v>15</v>
      </c>
      <c r="F207" s="6" t="s">
        <v>37</v>
      </c>
      <c r="G207" s="6">
        <v>2301</v>
      </c>
      <c r="H207" s="6">
        <v>0</v>
      </c>
      <c r="I207" s="6">
        <v>32</v>
      </c>
    </row>
    <row r="208" spans="1:9" x14ac:dyDescent="0.25">
      <c r="A208" s="6">
        <v>3175</v>
      </c>
      <c r="B208" s="6" t="s">
        <v>14</v>
      </c>
      <c r="C208" s="6" t="s">
        <v>34</v>
      </c>
      <c r="D208" s="6" t="s">
        <v>15</v>
      </c>
      <c r="E208" s="6" t="s">
        <v>15</v>
      </c>
      <c r="F208" s="6" t="s">
        <v>37</v>
      </c>
      <c r="G208" s="6">
        <v>2301</v>
      </c>
      <c r="H208" s="6">
        <v>0</v>
      </c>
      <c r="I208" s="6">
        <v>4</v>
      </c>
    </row>
    <row r="209" spans="1:9" x14ac:dyDescent="0.25">
      <c r="A209" s="6">
        <v>3201</v>
      </c>
      <c r="B209" s="6" t="s">
        <v>14</v>
      </c>
      <c r="C209" s="6" t="s">
        <v>17</v>
      </c>
      <c r="D209" s="6" t="s">
        <v>15</v>
      </c>
      <c r="E209" s="6" t="s">
        <v>15</v>
      </c>
      <c r="F209" s="6" t="s">
        <v>37</v>
      </c>
      <c r="G209" s="6">
        <v>2301</v>
      </c>
      <c r="H209" s="6">
        <v>0</v>
      </c>
      <c r="I209" s="6">
        <v>4</v>
      </c>
    </row>
    <row r="210" spans="1:9" x14ac:dyDescent="0.25">
      <c r="A210" s="6">
        <v>3205</v>
      </c>
      <c r="B210" s="6" t="s">
        <v>14</v>
      </c>
      <c r="C210" s="6" t="s">
        <v>17</v>
      </c>
      <c r="D210" s="6" t="s">
        <v>15</v>
      </c>
      <c r="E210" s="6" t="s">
        <v>15</v>
      </c>
      <c r="F210" s="6" t="s">
        <v>37</v>
      </c>
      <c r="G210" s="6">
        <v>2301</v>
      </c>
      <c r="H210" s="6">
        <v>0</v>
      </c>
      <c r="I210" s="6"/>
    </row>
    <row r="211" spans="1:9" x14ac:dyDescent="0.25">
      <c r="A211" s="6">
        <v>3215</v>
      </c>
      <c r="B211" s="6" t="s">
        <v>14</v>
      </c>
      <c r="C211" s="6" t="s">
        <v>45</v>
      </c>
      <c r="D211" s="6" t="s">
        <v>15</v>
      </c>
      <c r="E211" s="6" t="s">
        <v>15</v>
      </c>
      <c r="F211" s="6" t="s">
        <v>37</v>
      </c>
      <c r="G211" s="6">
        <v>2301</v>
      </c>
      <c r="H211" s="6">
        <v>0</v>
      </c>
      <c r="I211" s="6"/>
    </row>
    <row r="212" spans="1:9" x14ac:dyDescent="0.25">
      <c r="A212" s="6">
        <v>3217</v>
      </c>
      <c r="B212" s="6" t="s">
        <v>14</v>
      </c>
      <c r="C212" s="6" t="s">
        <v>13</v>
      </c>
      <c r="D212" s="6" t="s">
        <v>15</v>
      </c>
      <c r="E212" s="6" t="s">
        <v>15</v>
      </c>
      <c r="F212" s="6" t="s">
        <v>37</v>
      </c>
      <c r="G212" s="6">
        <v>2301</v>
      </c>
      <c r="H212" s="6">
        <v>0</v>
      </c>
      <c r="I212" s="6"/>
    </row>
    <row r="213" spans="1:9" x14ac:dyDescent="0.25">
      <c r="A213" s="6">
        <v>3219</v>
      </c>
      <c r="B213" s="6" t="s">
        <v>14</v>
      </c>
      <c r="C213" s="6" t="s">
        <v>13</v>
      </c>
      <c r="D213" s="6" t="s">
        <v>15</v>
      </c>
      <c r="E213" s="6" t="s">
        <v>15</v>
      </c>
      <c r="F213" s="6" t="s">
        <v>37</v>
      </c>
      <c r="G213" s="6">
        <v>2301</v>
      </c>
      <c r="H213" s="6">
        <v>0</v>
      </c>
      <c r="I213" s="6">
        <v>4</v>
      </c>
    </row>
    <row r="214" spans="1:9" x14ac:dyDescent="0.25">
      <c r="A214" s="6">
        <v>3220</v>
      </c>
      <c r="B214" s="6" t="s">
        <v>14</v>
      </c>
      <c r="C214" s="6" t="s">
        <v>13</v>
      </c>
      <c r="D214" s="6" t="s">
        <v>15</v>
      </c>
      <c r="E214" s="6" t="s">
        <v>15</v>
      </c>
      <c r="F214" s="6" t="s">
        <v>37</v>
      </c>
      <c r="G214" s="6">
        <v>2301</v>
      </c>
      <c r="H214" s="6">
        <v>0</v>
      </c>
      <c r="I214" s="6">
        <v>32</v>
      </c>
    </row>
    <row r="215" spans="1:9" x14ac:dyDescent="0.25">
      <c r="A215" s="6">
        <v>3132</v>
      </c>
      <c r="B215" s="6" t="s">
        <v>27</v>
      </c>
      <c r="C215" s="6" t="s">
        <v>26</v>
      </c>
      <c r="D215" s="6" t="s">
        <v>15</v>
      </c>
      <c r="E215" s="6" t="s">
        <v>24</v>
      </c>
      <c r="F215" s="6" t="s">
        <v>37</v>
      </c>
      <c r="G215" s="6">
        <v>2301</v>
      </c>
      <c r="H215" s="6">
        <v>0</v>
      </c>
      <c r="I215" s="6">
        <v>64</v>
      </c>
    </row>
    <row r="216" spans="1:9" x14ac:dyDescent="0.25">
      <c r="A216" s="6">
        <v>3211</v>
      </c>
      <c r="B216" s="6" t="s">
        <v>27</v>
      </c>
      <c r="C216" s="6" t="s">
        <v>26</v>
      </c>
      <c r="D216" s="6" t="s">
        <v>15</v>
      </c>
      <c r="E216" s="6" t="s">
        <v>24</v>
      </c>
      <c r="F216" s="6" t="s">
        <v>37</v>
      </c>
      <c r="G216" s="6">
        <v>2301</v>
      </c>
      <c r="H216" s="6">
        <v>0</v>
      </c>
      <c r="I216" s="6"/>
    </row>
    <row r="217" spans="1:9" x14ac:dyDescent="0.25">
      <c r="A217" s="6">
        <v>3227</v>
      </c>
      <c r="B217" s="6" t="s">
        <v>27</v>
      </c>
      <c r="C217" s="6" t="s">
        <v>67</v>
      </c>
      <c r="D217" s="6" t="s">
        <v>15</v>
      </c>
      <c r="E217" s="6" t="s">
        <v>24</v>
      </c>
      <c r="F217" s="6" t="s">
        <v>37</v>
      </c>
      <c r="G217" s="6">
        <v>2301</v>
      </c>
      <c r="H217" s="6">
        <v>0</v>
      </c>
      <c r="I217" s="6"/>
    </row>
    <row r="218" spans="1:9" x14ac:dyDescent="0.25">
      <c r="A218" s="6">
        <v>3231</v>
      </c>
      <c r="B218" s="6" t="s">
        <v>27</v>
      </c>
      <c r="C218" s="6" t="s">
        <v>67</v>
      </c>
      <c r="D218" s="6" t="s">
        <v>15</v>
      </c>
      <c r="E218" s="6" t="s">
        <v>24</v>
      </c>
      <c r="F218" s="6" t="s">
        <v>37</v>
      </c>
      <c r="G218" s="6">
        <v>2301</v>
      </c>
      <c r="H218" s="6">
        <v>0</v>
      </c>
      <c r="I218" s="6"/>
    </row>
    <row r="219" spans="1:9" x14ac:dyDescent="0.25">
      <c r="A219" s="6">
        <v>3233</v>
      </c>
      <c r="B219" s="6" t="s">
        <v>27</v>
      </c>
      <c r="C219" s="6" t="s">
        <v>67</v>
      </c>
      <c r="D219" s="6" t="s">
        <v>15</v>
      </c>
      <c r="E219" s="6" t="s">
        <v>24</v>
      </c>
      <c r="F219" s="6" t="s">
        <v>37</v>
      </c>
      <c r="G219" s="6">
        <v>2301</v>
      </c>
      <c r="H219" s="6">
        <v>0</v>
      </c>
      <c r="I219" s="6">
        <v>4</v>
      </c>
    </row>
    <row r="220" spans="1:9" x14ac:dyDescent="0.25">
      <c r="A220" s="6">
        <v>3239</v>
      </c>
      <c r="B220" s="6" t="s">
        <v>27</v>
      </c>
      <c r="C220" s="6" t="s">
        <v>67</v>
      </c>
      <c r="D220" s="6" t="s">
        <v>15</v>
      </c>
      <c r="E220" s="6" t="s">
        <v>24</v>
      </c>
      <c r="F220" s="6" t="s">
        <v>37</v>
      </c>
      <c r="G220" s="6">
        <v>2301</v>
      </c>
      <c r="H220" s="6">
        <v>0</v>
      </c>
      <c r="I220" s="6">
        <v>4</v>
      </c>
    </row>
    <row r="221" spans="1:9" x14ac:dyDescent="0.25">
      <c r="A221" s="6">
        <v>3240</v>
      </c>
      <c r="B221" s="6" t="s">
        <v>27</v>
      </c>
      <c r="C221" s="6" t="s">
        <v>67</v>
      </c>
      <c r="D221" s="6" t="s">
        <v>15</v>
      </c>
      <c r="E221" s="6" t="s">
        <v>24</v>
      </c>
      <c r="F221" s="6" t="s">
        <v>37</v>
      </c>
      <c r="G221" s="6">
        <v>2301</v>
      </c>
      <c r="H221" s="6">
        <v>0</v>
      </c>
      <c r="I221" s="6">
        <v>8</v>
      </c>
    </row>
    <row r="222" spans="1:9" x14ac:dyDescent="0.25">
      <c r="A222" s="6">
        <v>3241</v>
      </c>
      <c r="B222" s="6" t="s">
        <v>27</v>
      </c>
      <c r="C222" s="6" t="s">
        <v>67</v>
      </c>
      <c r="D222" s="6" t="s">
        <v>15</v>
      </c>
      <c r="E222" s="6" t="s">
        <v>24</v>
      </c>
      <c r="F222" s="6" t="s">
        <v>37</v>
      </c>
      <c r="G222" s="6">
        <v>2301</v>
      </c>
      <c r="H222" s="6">
        <v>0</v>
      </c>
      <c r="I222" s="6"/>
    </row>
    <row r="223" spans="1:9" x14ac:dyDescent="0.25">
      <c r="A223" s="6">
        <v>3003</v>
      </c>
      <c r="B223" s="6" t="s">
        <v>20</v>
      </c>
      <c r="C223" s="6" t="s">
        <v>30</v>
      </c>
      <c r="D223" s="6" t="s">
        <v>21</v>
      </c>
      <c r="E223" s="6" t="s">
        <v>15</v>
      </c>
      <c r="F223" s="6" t="s">
        <v>37</v>
      </c>
      <c r="G223" s="6">
        <v>2301</v>
      </c>
      <c r="H223" s="6">
        <v>0</v>
      </c>
      <c r="I223" s="6"/>
    </row>
    <row r="224" spans="1:9" x14ac:dyDescent="0.25">
      <c r="A224" s="6">
        <v>3010</v>
      </c>
      <c r="B224" s="6" t="s">
        <v>20</v>
      </c>
      <c r="C224" s="6" t="s">
        <v>30</v>
      </c>
      <c r="D224" s="6" t="s">
        <v>21</v>
      </c>
      <c r="E224" s="6" t="s">
        <v>15</v>
      </c>
      <c r="F224" s="6" t="s">
        <v>37</v>
      </c>
      <c r="G224" s="6">
        <v>2301</v>
      </c>
      <c r="H224" s="6">
        <v>0</v>
      </c>
      <c r="I224" s="6"/>
    </row>
    <row r="225" spans="1:9" x14ac:dyDescent="0.25">
      <c r="A225" s="6">
        <v>3015</v>
      </c>
      <c r="B225" s="6" t="s">
        <v>20</v>
      </c>
      <c r="C225" s="6" t="s">
        <v>44</v>
      </c>
      <c r="D225" s="6" t="s">
        <v>21</v>
      </c>
      <c r="E225" s="6" t="s">
        <v>15</v>
      </c>
      <c r="F225" s="6" t="s">
        <v>37</v>
      </c>
      <c r="G225" s="6">
        <v>2301</v>
      </c>
      <c r="H225" s="6">
        <v>0</v>
      </c>
      <c r="I225" s="6">
        <v>32</v>
      </c>
    </row>
    <row r="226" spans="1:9" x14ac:dyDescent="0.25">
      <c r="A226" s="6">
        <v>3022</v>
      </c>
      <c r="B226" s="6" t="s">
        <v>20</v>
      </c>
      <c r="C226" s="6" t="s">
        <v>44</v>
      </c>
      <c r="D226" s="6" t="s">
        <v>21</v>
      </c>
      <c r="E226" s="6" t="s">
        <v>15</v>
      </c>
      <c r="F226" s="6" t="s">
        <v>37</v>
      </c>
      <c r="G226" s="6">
        <v>2301</v>
      </c>
      <c r="H226" s="6">
        <v>0</v>
      </c>
      <c r="I226" s="6">
        <v>16</v>
      </c>
    </row>
    <row r="227" spans="1:9" x14ac:dyDescent="0.25">
      <c r="A227" s="6">
        <v>3112</v>
      </c>
      <c r="B227" s="6" t="s">
        <v>20</v>
      </c>
      <c r="C227" s="6" t="s">
        <v>30</v>
      </c>
      <c r="D227" s="6" t="s">
        <v>21</v>
      </c>
      <c r="E227" s="6" t="s">
        <v>15</v>
      </c>
      <c r="F227" s="6" t="s">
        <v>37</v>
      </c>
      <c r="G227" s="6">
        <v>2301</v>
      </c>
      <c r="H227" s="6">
        <v>0</v>
      </c>
      <c r="I227" s="6">
        <v>4</v>
      </c>
    </row>
    <row r="228" spans="1:9" x14ac:dyDescent="0.25">
      <c r="A228" s="6">
        <v>3115</v>
      </c>
      <c r="B228" s="6" t="s">
        <v>20</v>
      </c>
      <c r="C228" s="6" t="s">
        <v>30</v>
      </c>
      <c r="D228" s="6" t="s">
        <v>21</v>
      </c>
      <c r="E228" s="6" t="s">
        <v>15</v>
      </c>
      <c r="F228" s="6" t="s">
        <v>37</v>
      </c>
      <c r="G228" s="6">
        <v>2301</v>
      </c>
      <c r="H228" s="6">
        <v>0</v>
      </c>
      <c r="I228" s="6"/>
    </row>
    <row r="229" spans="1:9" x14ac:dyDescent="0.25">
      <c r="A229" s="6">
        <v>3118</v>
      </c>
      <c r="B229" s="6" t="s">
        <v>20</v>
      </c>
      <c r="C229" s="6" t="s">
        <v>30</v>
      </c>
      <c r="D229" s="6" t="s">
        <v>21</v>
      </c>
      <c r="E229" s="6" t="s">
        <v>15</v>
      </c>
      <c r="F229" s="6" t="s">
        <v>37</v>
      </c>
      <c r="G229" s="6">
        <v>2301</v>
      </c>
      <c r="H229" s="6">
        <v>0</v>
      </c>
      <c r="I229" s="6"/>
    </row>
    <row r="230" spans="1:9" x14ac:dyDescent="0.25">
      <c r="A230" s="6">
        <v>3119</v>
      </c>
      <c r="B230" s="6" t="s">
        <v>20</v>
      </c>
      <c r="C230" s="6" t="s">
        <v>30</v>
      </c>
      <c r="D230" s="6" t="s">
        <v>21</v>
      </c>
      <c r="E230" s="6" t="s">
        <v>15</v>
      </c>
      <c r="F230" s="6" t="s">
        <v>37</v>
      </c>
      <c r="G230" s="6">
        <v>2301</v>
      </c>
      <c r="H230" s="6">
        <v>0</v>
      </c>
      <c r="I230" s="6">
        <v>4</v>
      </c>
    </row>
    <row r="231" spans="1:9" x14ac:dyDescent="0.25">
      <c r="A231" s="6">
        <v>3143</v>
      </c>
      <c r="B231" s="6" t="s">
        <v>20</v>
      </c>
      <c r="C231" s="6" t="s">
        <v>30</v>
      </c>
      <c r="D231" s="6" t="s">
        <v>21</v>
      </c>
      <c r="E231" s="6" t="s">
        <v>15</v>
      </c>
      <c r="F231" s="6" t="s">
        <v>37</v>
      </c>
      <c r="G231" s="6">
        <v>2301</v>
      </c>
      <c r="H231" s="6">
        <v>0</v>
      </c>
      <c r="I231" s="6"/>
    </row>
    <row r="232" spans="1:9" x14ac:dyDescent="0.25">
      <c r="A232" s="6">
        <v>3150</v>
      </c>
      <c r="B232" s="6" t="s">
        <v>20</v>
      </c>
      <c r="C232" s="6" t="s">
        <v>51</v>
      </c>
      <c r="D232" s="6" t="s">
        <v>21</v>
      </c>
      <c r="E232" s="6" t="s">
        <v>15</v>
      </c>
      <c r="F232" s="6" t="s">
        <v>37</v>
      </c>
      <c r="G232" s="6">
        <v>2301</v>
      </c>
      <c r="H232" s="6">
        <v>0</v>
      </c>
      <c r="I232" s="6">
        <v>64</v>
      </c>
    </row>
    <row r="233" spans="1:9" x14ac:dyDescent="0.25">
      <c r="A233" s="6">
        <v>3158</v>
      </c>
      <c r="B233" s="6" t="s">
        <v>20</v>
      </c>
      <c r="C233" s="6" t="s">
        <v>51</v>
      </c>
      <c r="D233" s="6" t="s">
        <v>21</v>
      </c>
      <c r="E233" s="6" t="s">
        <v>15</v>
      </c>
      <c r="F233" s="6" t="s">
        <v>37</v>
      </c>
      <c r="G233" s="6">
        <v>2301</v>
      </c>
      <c r="H233" s="6">
        <v>0</v>
      </c>
      <c r="I233" s="6"/>
    </row>
    <row r="234" spans="1:9" x14ac:dyDescent="0.25">
      <c r="A234" s="6">
        <v>3210</v>
      </c>
      <c r="B234" s="6" t="s">
        <v>20</v>
      </c>
      <c r="C234" s="6" t="s">
        <v>30</v>
      </c>
      <c r="D234" s="6" t="s">
        <v>21</v>
      </c>
      <c r="E234" s="6" t="s">
        <v>15</v>
      </c>
      <c r="F234" s="6" t="s">
        <v>37</v>
      </c>
      <c r="G234" s="6">
        <v>2301</v>
      </c>
      <c r="H234" s="6">
        <v>0</v>
      </c>
      <c r="I234" s="6"/>
    </row>
    <row r="235" spans="1:9" x14ac:dyDescent="0.25">
      <c r="A235" s="6">
        <v>3214</v>
      </c>
      <c r="B235" s="6" t="s">
        <v>20</v>
      </c>
      <c r="C235" s="6" t="s">
        <v>44</v>
      </c>
      <c r="D235" s="6" t="s">
        <v>21</v>
      </c>
      <c r="E235" s="6" t="s">
        <v>15</v>
      </c>
      <c r="F235" s="6" t="s">
        <v>37</v>
      </c>
      <c r="G235" s="6">
        <v>2301</v>
      </c>
      <c r="H235" s="6">
        <v>0</v>
      </c>
      <c r="I235" s="6"/>
    </row>
    <row r="236" spans="1:9" x14ac:dyDescent="0.25">
      <c r="A236" s="6">
        <v>3221</v>
      </c>
      <c r="B236" s="6" t="s">
        <v>20</v>
      </c>
      <c r="C236" s="6" t="s">
        <v>44</v>
      </c>
      <c r="D236" s="6" t="s">
        <v>21</v>
      </c>
      <c r="E236" s="6" t="s">
        <v>15</v>
      </c>
      <c r="F236" s="6" t="s">
        <v>37</v>
      </c>
      <c r="G236" s="6">
        <v>2301</v>
      </c>
      <c r="H236" s="6">
        <v>0</v>
      </c>
      <c r="I236" s="6"/>
    </row>
    <row r="237" spans="1:9" x14ac:dyDescent="0.25">
      <c r="A237" s="6">
        <v>3004</v>
      </c>
      <c r="B237" s="6" t="s">
        <v>23</v>
      </c>
      <c r="C237" s="6" t="s">
        <v>25</v>
      </c>
      <c r="D237" s="6" t="s">
        <v>21</v>
      </c>
      <c r="E237" s="6" t="s">
        <v>24</v>
      </c>
      <c r="F237" s="6" t="s">
        <v>37</v>
      </c>
      <c r="G237" s="6">
        <v>2301</v>
      </c>
      <c r="H237" s="6">
        <v>0</v>
      </c>
      <c r="I237" s="6">
        <v>4</v>
      </c>
    </row>
    <row r="238" spans="1:9" x14ac:dyDescent="0.25">
      <c r="A238" s="6">
        <v>3005</v>
      </c>
      <c r="B238" s="6" t="s">
        <v>23</v>
      </c>
      <c r="C238" s="6" t="s">
        <v>25</v>
      </c>
      <c r="D238" s="6" t="s">
        <v>21</v>
      </c>
      <c r="E238" s="6" t="s">
        <v>24</v>
      </c>
      <c r="F238" s="6" t="s">
        <v>37</v>
      </c>
      <c r="G238" s="6">
        <v>2301</v>
      </c>
      <c r="H238" s="6">
        <v>0</v>
      </c>
      <c r="I238" s="6">
        <v>4</v>
      </c>
    </row>
    <row r="239" spans="1:9" x14ac:dyDescent="0.25">
      <c r="A239" s="6">
        <v>3007</v>
      </c>
      <c r="B239" s="6" t="s">
        <v>23</v>
      </c>
      <c r="C239" s="6" t="s">
        <v>25</v>
      </c>
      <c r="D239" s="6" t="s">
        <v>21</v>
      </c>
      <c r="E239" s="6" t="s">
        <v>24</v>
      </c>
      <c r="F239" s="6" t="s">
        <v>37</v>
      </c>
      <c r="G239" s="6">
        <v>2301</v>
      </c>
      <c r="H239" s="6">
        <v>0</v>
      </c>
      <c r="I239" s="6"/>
    </row>
    <row r="240" spans="1:9" x14ac:dyDescent="0.25">
      <c r="A240" s="6">
        <v>3014</v>
      </c>
      <c r="B240" s="6" t="s">
        <v>23</v>
      </c>
      <c r="C240" s="6" t="s">
        <v>25</v>
      </c>
      <c r="D240" s="6" t="s">
        <v>21</v>
      </c>
      <c r="E240" s="6" t="s">
        <v>24</v>
      </c>
      <c r="F240" s="6" t="s">
        <v>37</v>
      </c>
      <c r="G240" s="6">
        <v>2301</v>
      </c>
      <c r="H240" s="6">
        <v>0</v>
      </c>
      <c r="I240" s="6"/>
    </row>
    <row r="241" spans="1:9" x14ac:dyDescent="0.25">
      <c r="A241" s="6">
        <v>3017</v>
      </c>
      <c r="B241" s="6" t="s">
        <v>23</v>
      </c>
      <c r="C241" s="6" t="s">
        <v>25</v>
      </c>
      <c r="D241" s="6" t="s">
        <v>21</v>
      </c>
      <c r="E241" s="6" t="s">
        <v>24</v>
      </c>
      <c r="F241" s="6" t="s">
        <v>37</v>
      </c>
      <c r="G241" s="6">
        <v>2301</v>
      </c>
      <c r="H241" s="6">
        <v>0</v>
      </c>
      <c r="I241" s="6">
        <v>8</v>
      </c>
    </row>
    <row r="242" spans="1:9" x14ac:dyDescent="0.25">
      <c r="A242" s="6">
        <v>3021</v>
      </c>
      <c r="B242" s="6" t="s">
        <v>23</v>
      </c>
      <c r="C242" s="6" t="s">
        <v>25</v>
      </c>
      <c r="D242" s="6" t="s">
        <v>21</v>
      </c>
      <c r="E242" s="6" t="s">
        <v>24</v>
      </c>
      <c r="F242" s="6" t="s">
        <v>37</v>
      </c>
      <c r="G242" s="6">
        <v>2301</v>
      </c>
      <c r="H242" s="6">
        <v>0</v>
      </c>
      <c r="I242" s="6">
        <v>16</v>
      </c>
    </row>
    <row r="243" spans="1:9" x14ac:dyDescent="0.25">
      <c r="A243" s="6">
        <v>3023</v>
      </c>
      <c r="B243" s="6" t="s">
        <v>23</v>
      </c>
      <c r="C243" s="6" t="s">
        <v>68</v>
      </c>
      <c r="D243" s="6" t="s">
        <v>21</v>
      </c>
      <c r="E243" s="6" t="s">
        <v>24</v>
      </c>
      <c r="F243" s="6" t="s">
        <v>37</v>
      </c>
      <c r="G243" s="6">
        <v>2301</v>
      </c>
      <c r="H243" s="6">
        <v>0</v>
      </c>
      <c r="I243" s="6"/>
    </row>
    <row r="244" spans="1:9" x14ac:dyDescent="0.25">
      <c r="A244" s="6">
        <v>3114</v>
      </c>
      <c r="B244" s="6" t="s">
        <v>23</v>
      </c>
      <c r="C244" s="6" t="s">
        <v>46</v>
      </c>
      <c r="D244" s="6" t="s">
        <v>21</v>
      </c>
      <c r="E244" s="6" t="s">
        <v>24</v>
      </c>
      <c r="F244" s="6" t="s">
        <v>37</v>
      </c>
      <c r="G244" s="6">
        <v>2301</v>
      </c>
      <c r="H244" s="6">
        <v>0</v>
      </c>
      <c r="I244" s="6">
        <v>4</v>
      </c>
    </row>
    <row r="245" spans="1:9" x14ac:dyDescent="0.25">
      <c r="A245" s="6">
        <v>3116</v>
      </c>
      <c r="B245" s="6" t="s">
        <v>23</v>
      </c>
      <c r="C245" s="6" t="s">
        <v>25</v>
      </c>
      <c r="D245" s="6" t="s">
        <v>21</v>
      </c>
      <c r="E245" s="6" t="s">
        <v>24</v>
      </c>
      <c r="F245" s="6" t="s">
        <v>37</v>
      </c>
      <c r="G245" s="6">
        <v>2301</v>
      </c>
      <c r="H245" s="6">
        <v>0</v>
      </c>
      <c r="I245" s="6">
        <v>32</v>
      </c>
    </row>
    <row r="246" spans="1:9" x14ac:dyDescent="0.25">
      <c r="A246" s="6">
        <v>3137</v>
      </c>
      <c r="B246" s="6" t="s">
        <v>23</v>
      </c>
      <c r="C246" s="6" t="s">
        <v>46</v>
      </c>
      <c r="D246" s="6" t="s">
        <v>21</v>
      </c>
      <c r="E246" s="6" t="s">
        <v>24</v>
      </c>
      <c r="F246" s="6" t="s">
        <v>37</v>
      </c>
      <c r="G246" s="6">
        <v>2301</v>
      </c>
      <c r="H246" s="6">
        <v>0</v>
      </c>
      <c r="I246" s="6">
        <v>4</v>
      </c>
    </row>
    <row r="247" spans="1:9" x14ac:dyDescent="0.25">
      <c r="A247" s="6">
        <v>3144</v>
      </c>
      <c r="B247" s="6" t="s">
        <v>23</v>
      </c>
      <c r="C247" s="6" t="s">
        <v>46</v>
      </c>
      <c r="D247" s="6" t="s">
        <v>21</v>
      </c>
      <c r="E247" s="6" t="s">
        <v>24</v>
      </c>
      <c r="F247" s="6" t="s">
        <v>37</v>
      </c>
      <c r="G247" s="6">
        <v>2301</v>
      </c>
      <c r="H247" s="6">
        <v>0</v>
      </c>
      <c r="I247" s="6">
        <v>8</v>
      </c>
    </row>
    <row r="248" spans="1:9" x14ac:dyDescent="0.25">
      <c r="A248" s="6">
        <v>3216</v>
      </c>
      <c r="B248" s="6" t="s">
        <v>23</v>
      </c>
      <c r="C248" s="6" t="s">
        <v>25</v>
      </c>
      <c r="D248" s="6" t="s">
        <v>21</v>
      </c>
      <c r="E248" s="6" t="s">
        <v>24</v>
      </c>
      <c r="F248" s="6" t="s">
        <v>37</v>
      </c>
      <c r="G248" s="6">
        <v>2301</v>
      </c>
      <c r="H248" s="6">
        <v>0</v>
      </c>
      <c r="I248" s="6"/>
    </row>
    <row r="249" spans="1:9" x14ac:dyDescent="0.25">
      <c r="A249" s="6">
        <v>3225</v>
      </c>
      <c r="B249" s="6" t="s">
        <v>23</v>
      </c>
      <c r="C249" s="6" t="s">
        <v>32</v>
      </c>
      <c r="D249" s="6" t="s">
        <v>21</v>
      </c>
      <c r="E249" s="6" t="s">
        <v>24</v>
      </c>
      <c r="F249" s="6" t="s">
        <v>37</v>
      </c>
      <c r="G249" s="6">
        <v>2301</v>
      </c>
      <c r="H249" s="6">
        <v>0</v>
      </c>
      <c r="I249" s="6"/>
    </row>
    <row r="250" spans="1:9" x14ac:dyDescent="0.25">
      <c r="A250" s="6">
        <v>3009</v>
      </c>
      <c r="B250" s="6" t="s">
        <v>14</v>
      </c>
      <c r="C250" s="6" t="s">
        <v>17</v>
      </c>
      <c r="D250" s="6" t="s">
        <v>15</v>
      </c>
      <c r="E250" s="6" t="s">
        <v>15</v>
      </c>
      <c r="F250" s="6" t="s">
        <v>37</v>
      </c>
      <c r="G250" s="6">
        <v>2301</v>
      </c>
      <c r="H250" s="6">
        <v>14</v>
      </c>
      <c r="I250" s="6">
        <v>512</v>
      </c>
    </row>
    <row r="251" spans="1:9" x14ac:dyDescent="0.25">
      <c r="A251" s="6">
        <v>3012</v>
      </c>
      <c r="B251" s="6" t="s">
        <v>14</v>
      </c>
      <c r="C251" s="6" t="s">
        <v>45</v>
      </c>
      <c r="D251" s="6" t="s">
        <v>15</v>
      </c>
      <c r="E251" s="6" t="s">
        <v>15</v>
      </c>
      <c r="F251" s="6" t="s">
        <v>37</v>
      </c>
      <c r="G251" s="6">
        <v>2301</v>
      </c>
      <c r="H251" s="6">
        <v>14</v>
      </c>
      <c r="I251" s="6">
        <v>1024</v>
      </c>
    </row>
    <row r="252" spans="1:9" x14ac:dyDescent="0.25">
      <c r="A252" s="6">
        <v>3013</v>
      </c>
      <c r="B252" s="6" t="s">
        <v>14</v>
      </c>
      <c r="C252" s="6" t="s">
        <v>13</v>
      </c>
      <c r="D252" s="6" t="s">
        <v>15</v>
      </c>
      <c r="E252" s="6" t="s">
        <v>15</v>
      </c>
      <c r="F252" s="6" t="s">
        <v>37</v>
      </c>
      <c r="G252" s="6">
        <v>2301</v>
      </c>
      <c r="H252" s="6">
        <v>14</v>
      </c>
      <c r="I252" s="6">
        <v>512</v>
      </c>
    </row>
    <row r="253" spans="1:9" x14ac:dyDescent="0.25">
      <c r="A253" s="6">
        <v>3016</v>
      </c>
      <c r="B253" s="6" t="s">
        <v>14</v>
      </c>
      <c r="C253" s="6" t="s">
        <v>18</v>
      </c>
      <c r="D253" s="6" t="s">
        <v>15</v>
      </c>
      <c r="E253" s="6" t="s">
        <v>15</v>
      </c>
      <c r="F253" s="6" t="s">
        <v>37</v>
      </c>
      <c r="G253" s="6">
        <v>2301</v>
      </c>
      <c r="H253" s="6">
        <v>14</v>
      </c>
      <c r="I253" s="6">
        <v>256</v>
      </c>
    </row>
    <row r="254" spans="1:9" x14ac:dyDescent="0.25">
      <c r="A254" s="6">
        <v>3018</v>
      </c>
      <c r="B254" s="6" t="s">
        <v>14</v>
      </c>
      <c r="C254" s="6" t="s">
        <v>18</v>
      </c>
      <c r="D254" s="6" t="s">
        <v>15</v>
      </c>
      <c r="E254" s="6" t="s">
        <v>15</v>
      </c>
      <c r="F254" s="6" t="s">
        <v>37</v>
      </c>
      <c r="G254" s="6">
        <v>2301</v>
      </c>
      <c r="H254" s="6">
        <v>14</v>
      </c>
      <c r="I254" s="6">
        <v>128</v>
      </c>
    </row>
    <row r="255" spans="1:9" x14ac:dyDescent="0.25">
      <c r="A255" s="6">
        <v>3019</v>
      </c>
      <c r="B255" s="6" t="s">
        <v>14</v>
      </c>
      <c r="C255" s="6" t="s">
        <v>45</v>
      </c>
      <c r="D255" s="6" t="s">
        <v>15</v>
      </c>
      <c r="E255" s="6" t="s">
        <v>15</v>
      </c>
      <c r="F255" s="6" t="s">
        <v>37</v>
      </c>
      <c r="G255" s="6">
        <v>2301</v>
      </c>
      <c r="H255" s="6">
        <v>14</v>
      </c>
      <c r="I255" s="6">
        <v>64</v>
      </c>
    </row>
    <row r="256" spans="1:9" x14ac:dyDescent="0.25">
      <c r="A256" s="6">
        <v>3030</v>
      </c>
      <c r="B256" s="6" t="s">
        <v>14</v>
      </c>
      <c r="C256" s="6" t="s">
        <v>66</v>
      </c>
      <c r="D256" s="6" t="s">
        <v>15</v>
      </c>
      <c r="E256" s="6" t="s">
        <v>15</v>
      </c>
      <c r="F256" s="6" t="s">
        <v>37</v>
      </c>
      <c r="G256" s="6">
        <v>2301</v>
      </c>
      <c r="H256" s="6">
        <v>14</v>
      </c>
      <c r="I256" s="6">
        <v>1024</v>
      </c>
    </row>
    <row r="257" spans="1:9" x14ac:dyDescent="0.25">
      <c r="A257" s="6">
        <v>3034</v>
      </c>
      <c r="B257" s="6" t="s">
        <v>14</v>
      </c>
      <c r="C257" s="6" t="s">
        <v>66</v>
      </c>
      <c r="D257" s="6" t="s">
        <v>15</v>
      </c>
      <c r="E257" s="6" t="s">
        <v>15</v>
      </c>
      <c r="F257" s="6" t="s">
        <v>37</v>
      </c>
      <c r="G257" s="6">
        <v>2301</v>
      </c>
      <c r="H257" s="6">
        <v>14</v>
      </c>
      <c r="I257" s="6">
        <v>128</v>
      </c>
    </row>
    <row r="258" spans="1:9" x14ac:dyDescent="0.25">
      <c r="A258" s="6">
        <v>3113</v>
      </c>
      <c r="B258" s="6" t="s">
        <v>14</v>
      </c>
      <c r="C258" s="6" t="s">
        <v>45</v>
      </c>
      <c r="D258" s="6" t="s">
        <v>15</v>
      </c>
      <c r="E258" s="6" t="s">
        <v>15</v>
      </c>
      <c r="F258" s="6" t="s">
        <v>37</v>
      </c>
      <c r="G258" s="6">
        <v>2301</v>
      </c>
      <c r="H258" s="6">
        <v>14</v>
      </c>
      <c r="I258" s="6">
        <v>128</v>
      </c>
    </row>
    <row r="259" spans="1:9" x14ac:dyDescent="0.25">
      <c r="A259" s="6">
        <v>3117</v>
      </c>
      <c r="B259" s="6" t="s">
        <v>14</v>
      </c>
      <c r="C259" s="6" t="s">
        <v>17</v>
      </c>
      <c r="D259" s="6" t="s">
        <v>15</v>
      </c>
      <c r="E259" s="6" t="s">
        <v>15</v>
      </c>
      <c r="F259" s="6" t="s">
        <v>37</v>
      </c>
      <c r="G259" s="6">
        <v>2301</v>
      </c>
      <c r="H259" s="6">
        <v>14</v>
      </c>
      <c r="I259" s="6"/>
    </row>
    <row r="260" spans="1:9" x14ac:dyDescent="0.25">
      <c r="A260" s="6">
        <v>3129</v>
      </c>
      <c r="B260" s="6" t="s">
        <v>14</v>
      </c>
      <c r="C260" s="6" t="s">
        <v>17</v>
      </c>
      <c r="D260" s="6" t="s">
        <v>15</v>
      </c>
      <c r="E260" s="6" t="s">
        <v>15</v>
      </c>
      <c r="F260" s="6" t="s">
        <v>37</v>
      </c>
      <c r="G260" s="6">
        <v>2301</v>
      </c>
      <c r="H260" s="6">
        <v>14</v>
      </c>
      <c r="I260" s="6">
        <v>64</v>
      </c>
    </row>
    <row r="261" spans="1:9" x14ac:dyDescent="0.25">
      <c r="A261" s="6">
        <v>3130</v>
      </c>
      <c r="B261" s="6" t="s">
        <v>14</v>
      </c>
      <c r="C261" s="6" t="s">
        <v>13</v>
      </c>
      <c r="D261" s="6" t="s">
        <v>15</v>
      </c>
      <c r="E261" s="6" t="s">
        <v>15</v>
      </c>
      <c r="F261" s="6" t="s">
        <v>37</v>
      </c>
      <c r="G261" s="6">
        <v>2301</v>
      </c>
      <c r="H261" s="6">
        <v>14</v>
      </c>
      <c r="I261" s="6">
        <v>256</v>
      </c>
    </row>
    <row r="262" spans="1:9" x14ac:dyDescent="0.25">
      <c r="A262" s="6">
        <v>3131</v>
      </c>
      <c r="B262" s="6" t="s">
        <v>14</v>
      </c>
      <c r="C262" s="6" t="s">
        <v>13</v>
      </c>
      <c r="D262" s="6" t="s">
        <v>15</v>
      </c>
      <c r="E262" s="6" t="s">
        <v>15</v>
      </c>
      <c r="F262" s="6" t="s">
        <v>37</v>
      </c>
      <c r="G262" s="6">
        <v>2301</v>
      </c>
      <c r="H262" s="6">
        <v>14</v>
      </c>
      <c r="I262" s="6">
        <v>128</v>
      </c>
    </row>
    <row r="263" spans="1:9" x14ac:dyDescent="0.25">
      <c r="A263" s="6">
        <v>3165</v>
      </c>
      <c r="B263" s="6" t="s">
        <v>14</v>
      </c>
      <c r="C263" s="6" t="s">
        <v>34</v>
      </c>
      <c r="D263" s="6" t="s">
        <v>15</v>
      </c>
      <c r="E263" s="6" t="s">
        <v>15</v>
      </c>
      <c r="F263" s="6" t="s">
        <v>37</v>
      </c>
      <c r="G263" s="6">
        <v>2301</v>
      </c>
      <c r="H263" s="6">
        <v>14</v>
      </c>
      <c r="I263" s="6">
        <v>16</v>
      </c>
    </row>
    <row r="264" spans="1:9" x14ac:dyDescent="0.25">
      <c r="A264" s="6">
        <v>3169</v>
      </c>
      <c r="B264" s="6" t="s">
        <v>14</v>
      </c>
      <c r="C264" s="6" t="s">
        <v>34</v>
      </c>
      <c r="D264" s="6" t="s">
        <v>15</v>
      </c>
      <c r="E264" s="6" t="s">
        <v>15</v>
      </c>
      <c r="F264" s="6" t="s">
        <v>37</v>
      </c>
      <c r="G264" s="6">
        <v>2301</v>
      </c>
      <c r="H264" s="6">
        <v>14</v>
      </c>
      <c r="I264" s="6">
        <v>16</v>
      </c>
    </row>
    <row r="265" spans="1:9" x14ac:dyDescent="0.25">
      <c r="A265" s="6">
        <v>3171</v>
      </c>
      <c r="B265" s="6" t="s">
        <v>14</v>
      </c>
      <c r="C265" s="6" t="s">
        <v>34</v>
      </c>
      <c r="D265" s="6" t="s">
        <v>15</v>
      </c>
      <c r="E265" s="6" t="s">
        <v>15</v>
      </c>
      <c r="F265" s="6" t="s">
        <v>37</v>
      </c>
      <c r="G265" s="6">
        <v>2301</v>
      </c>
      <c r="H265" s="6">
        <v>14</v>
      </c>
      <c r="I265" s="6">
        <v>128</v>
      </c>
    </row>
    <row r="266" spans="1:9" x14ac:dyDescent="0.25">
      <c r="A266" s="6">
        <v>3172</v>
      </c>
      <c r="B266" s="6" t="s">
        <v>14</v>
      </c>
      <c r="C266" s="6" t="s">
        <v>34</v>
      </c>
      <c r="D266" s="6" t="s">
        <v>15</v>
      </c>
      <c r="E266" s="6" t="s">
        <v>15</v>
      </c>
      <c r="F266" s="6" t="s">
        <v>37</v>
      </c>
      <c r="G266" s="6">
        <v>2301</v>
      </c>
      <c r="H266" s="6">
        <v>14</v>
      </c>
      <c r="I266" s="6">
        <v>256</v>
      </c>
    </row>
    <row r="267" spans="1:9" x14ac:dyDescent="0.25">
      <c r="A267" s="6">
        <v>3174</v>
      </c>
      <c r="B267" s="6" t="s">
        <v>14</v>
      </c>
      <c r="C267" s="6" t="s">
        <v>34</v>
      </c>
      <c r="D267" s="6" t="s">
        <v>15</v>
      </c>
      <c r="E267" s="6" t="s">
        <v>15</v>
      </c>
      <c r="F267" s="6" t="s">
        <v>37</v>
      </c>
      <c r="G267" s="6">
        <v>2301</v>
      </c>
      <c r="H267" s="6">
        <v>14</v>
      </c>
      <c r="I267" s="6">
        <v>64</v>
      </c>
    </row>
    <row r="268" spans="1:9" x14ac:dyDescent="0.25">
      <c r="A268" s="6">
        <v>3175</v>
      </c>
      <c r="B268" s="6" t="s">
        <v>14</v>
      </c>
      <c r="C268" s="6" t="s">
        <v>34</v>
      </c>
      <c r="D268" s="6" t="s">
        <v>15</v>
      </c>
      <c r="E268" s="6" t="s">
        <v>15</v>
      </c>
      <c r="F268" s="6" t="s">
        <v>37</v>
      </c>
      <c r="G268" s="6">
        <v>2301</v>
      </c>
      <c r="H268" s="6">
        <v>14</v>
      </c>
      <c r="I268" s="6">
        <v>256</v>
      </c>
    </row>
    <row r="269" spans="1:9" x14ac:dyDescent="0.25">
      <c r="A269" s="6">
        <v>3201</v>
      </c>
      <c r="B269" s="6" t="s">
        <v>14</v>
      </c>
      <c r="C269" s="6" t="s">
        <v>17</v>
      </c>
      <c r="D269" s="6" t="s">
        <v>15</v>
      </c>
      <c r="E269" s="6" t="s">
        <v>15</v>
      </c>
      <c r="F269" s="6" t="s">
        <v>37</v>
      </c>
      <c r="G269" s="6">
        <v>2301</v>
      </c>
      <c r="H269" s="6">
        <v>14</v>
      </c>
      <c r="I269" s="6">
        <v>128</v>
      </c>
    </row>
    <row r="270" spans="1:9" x14ac:dyDescent="0.25">
      <c r="A270" s="6">
        <v>3205</v>
      </c>
      <c r="B270" s="6" t="s">
        <v>14</v>
      </c>
      <c r="C270" s="6" t="s">
        <v>17</v>
      </c>
      <c r="D270" s="6" t="s">
        <v>15</v>
      </c>
      <c r="E270" s="6" t="s">
        <v>15</v>
      </c>
      <c r="F270" s="6" t="s">
        <v>37</v>
      </c>
      <c r="G270" s="6">
        <v>2301</v>
      </c>
      <c r="H270" s="6">
        <v>14</v>
      </c>
      <c r="I270" s="6">
        <v>8</v>
      </c>
    </row>
    <row r="271" spans="1:9" x14ac:dyDescent="0.25">
      <c r="A271" s="6">
        <v>3215</v>
      </c>
      <c r="B271" s="6" t="s">
        <v>14</v>
      </c>
      <c r="C271" s="6" t="s">
        <v>45</v>
      </c>
      <c r="D271" s="6" t="s">
        <v>15</v>
      </c>
      <c r="E271" s="6" t="s">
        <v>15</v>
      </c>
      <c r="F271" s="6" t="s">
        <v>37</v>
      </c>
      <c r="G271" s="6">
        <v>2301</v>
      </c>
      <c r="H271" s="6">
        <v>14</v>
      </c>
      <c r="I271" s="6"/>
    </row>
    <row r="272" spans="1:9" x14ac:dyDescent="0.25">
      <c r="A272" s="6">
        <v>3217</v>
      </c>
      <c r="B272" s="6" t="s">
        <v>14</v>
      </c>
      <c r="C272" s="6" t="s">
        <v>13</v>
      </c>
      <c r="D272" s="6" t="s">
        <v>15</v>
      </c>
      <c r="E272" s="6" t="s">
        <v>15</v>
      </c>
      <c r="F272" s="6" t="s">
        <v>37</v>
      </c>
      <c r="G272" s="6">
        <v>2301</v>
      </c>
      <c r="H272" s="6">
        <v>14</v>
      </c>
      <c r="I272" s="6">
        <v>16</v>
      </c>
    </row>
    <row r="273" spans="1:9" x14ac:dyDescent="0.25">
      <c r="A273" s="6">
        <v>3219</v>
      </c>
      <c r="B273" s="6" t="s">
        <v>14</v>
      </c>
      <c r="C273" s="6" t="s">
        <v>13</v>
      </c>
      <c r="D273" s="6" t="s">
        <v>15</v>
      </c>
      <c r="E273" s="6" t="s">
        <v>15</v>
      </c>
      <c r="F273" s="6" t="s">
        <v>37</v>
      </c>
      <c r="G273" s="6">
        <v>2301</v>
      </c>
      <c r="H273" s="6">
        <v>14</v>
      </c>
      <c r="I273" s="6">
        <v>512</v>
      </c>
    </row>
    <row r="274" spans="1:9" x14ac:dyDescent="0.25">
      <c r="A274" s="6">
        <v>3220</v>
      </c>
      <c r="B274" s="6" t="s">
        <v>14</v>
      </c>
      <c r="C274" s="6" t="s">
        <v>13</v>
      </c>
      <c r="D274" s="6" t="s">
        <v>15</v>
      </c>
      <c r="E274" s="6" t="s">
        <v>15</v>
      </c>
      <c r="F274" s="6" t="s">
        <v>37</v>
      </c>
      <c r="G274" s="6">
        <v>2301</v>
      </c>
      <c r="H274" s="6">
        <v>14</v>
      </c>
      <c r="I274" s="6"/>
    </row>
    <row r="275" spans="1:9" x14ac:dyDescent="0.25">
      <c r="A275" s="6">
        <v>3132</v>
      </c>
      <c r="B275" s="6" t="s">
        <v>27</v>
      </c>
      <c r="C275" s="6" t="s">
        <v>26</v>
      </c>
      <c r="D275" s="6" t="s">
        <v>15</v>
      </c>
      <c r="E275" s="6" t="s">
        <v>24</v>
      </c>
      <c r="F275" s="6" t="s">
        <v>37</v>
      </c>
      <c r="G275" s="6">
        <v>2301</v>
      </c>
      <c r="H275" s="6">
        <v>14</v>
      </c>
      <c r="I275" s="6">
        <v>32</v>
      </c>
    </row>
    <row r="276" spans="1:9" x14ac:dyDescent="0.25">
      <c r="A276" s="6">
        <v>3211</v>
      </c>
      <c r="B276" s="6" t="s">
        <v>27</v>
      </c>
      <c r="C276" s="6" t="s">
        <v>26</v>
      </c>
      <c r="D276" s="6" t="s">
        <v>15</v>
      </c>
      <c r="E276" s="6" t="s">
        <v>24</v>
      </c>
      <c r="F276" s="6" t="s">
        <v>37</v>
      </c>
      <c r="G276" s="6">
        <v>2301</v>
      </c>
      <c r="H276" s="6">
        <v>14</v>
      </c>
      <c r="I276" s="6">
        <v>32</v>
      </c>
    </row>
    <row r="277" spans="1:9" x14ac:dyDescent="0.25">
      <c r="A277" s="6">
        <v>3227</v>
      </c>
      <c r="B277" s="6" t="s">
        <v>27</v>
      </c>
      <c r="C277" s="6" t="s">
        <v>67</v>
      </c>
      <c r="D277" s="6" t="s">
        <v>15</v>
      </c>
      <c r="E277" s="6" t="s">
        <v>24</v>
      </c>
      <c r="F277" s="6" t="s">
        <v>37</v>
      </c>
      <c r="G277" s="6">
        <v>2301</v>
      </c>
      <c r="H277" s="6">
        <v>14</v>
      </c>
      <c r="I277" s="6">
        <v>16</v>
      </c>
    </row>
    <row r="278" spans="1:9" x14ac:dyDescent="0.25">
      <c r="A278" s="6">
        <v>3231</v>
      </c>
      <c r="B278" s="6" t="s">
        <v>27</v>
      </c>
      <c r="C278" s="6" t="s">
        <v>67</v>
      </c>
      <c r="D278" s="6" t="s">
        <v>15</v>
      </c>
      <c r="E278" s="6" t="s">
        <v>24</v>
      </c>
      <c r="F278" s="6" t="s">
        <v>37</v>
      </c>
      <c r="G278" s="6">
        <v>2301</v>
      </c>
      <c r="H278" s="6">
        <v>14</v>
      </c>
      <c r="I278" s="6">
        <v>64</v>
      </c>
    </row>
    <row r="279" spans="1:9" x14ac:dyDescent="0.25">
      <c r="A279" s="6">
        <v>3233</v>
      </c>
      <c r="B279" s="6" t="s">
        <v>27</v>
      </c>
      <c r="C279" s="6" t="s">
        <v>67</v>
      </c>
      <c r="D279" s="6" t="s">
        <v>15</v>
      </c>
      <c r="E279" s="6" t="s">
        <v>24</v>
      </c>
      <c r="F279" s="6" t="s">
        <v>37</v>
      </c>
      <c r="G279" s="6">
        <v>2301</v>
      </c>
      <c r="H279" s="6">
        <v>14</v>
      </c>
      <c r="I279" s="6">
        <v>32</v>
      </c>
    </row>
    <row r="280" spans="1:9" x14ac:dyDescent="0.25">
      <c r="A280" s="6">
        <v>3239</v>
      </c>
      <c r="B280" s="6" t="s">
        <v>27</v>
      </c>
      <c r="C280" s="6" t="s">
        <v>67</v>
      </c>
      <c r="D280" s="6" t="s">
        <v>15</v>
      </c>
      <c r="E280" s="6" t="s">
        <v>24</v>
      </c>
      <c r="F280" s="6" t="s">
        <v>37</v>
      </c>
      <c r="G280" s="6">
        <v>2301</v>
      </c>
      <c r="H280" s="6">
        <v>14</v>
      </c>
      <c r="I280" s="6">
        <v>8</v>
      </c>
    </row>
    <row r="281" spans="1:9" x14ac:dyDescent="0.25">
      <c r="A281" s="6">
        <v>3240</v>
      </c>
      <c r="B281" s="6" t="s">
        <v>27</v>
      </c>
      <c r="C281" s="6" t="s">
        <v>67</v>
      </c>
      <c r="D281" s="6" t="s">
        <v>15</v>
      </c>
      <c r="E281" s="6" t="s">
        <v>24</v>
      </c>
      <c r="F281" s="6" t="s">
        <v>37</v>
      </c>
      <c r="G281" s="6">
        <v>2301</v>
      </c>
      <c r="H281" s="6">
        <v>14</v>
      </c>
      <c r="I281" s="6">
        <v>128</v>
      </c>
    </row>
    <row r="282" spans="1:9" x14ac:dyDescent="0.25">
      <c r="A282" s="6">
        <v>3241</v>
      </c>
      <c r="B282" s="6" t="s">
        <v>27</v>
      </c>
      <c r="C282" s="6" t="s">
        <v>67</v>
      </c>
      <c r="D282" s="6" t="s">
        <v>15</v>
      </c>
      <c r="E282" s="6" t="s">
        <v>24</v>
      </c>
      <c r="F282" s="6" t="s">
        <v>37</v>
      </c>
      <c r="G282" s="6">
        <v>2301</v>
      </c>
      <c r="H282" s="6">
        <v>14</v>
      </c>
      <c r="I282" s="6">
        <v>16</v>
      </c>
    </row>
    <row r="283" spans="1:9" x14ac:dyDescent="0.25">
      <c r="A283" s="6">
        <v>3003</v>
      </c>
      <c r="B283" s="6" t="s">
        <v>20</v>
      </c>
      <c r="C283" s="6" t="s">
        <v>30</v>
      </c>
      <c r="D283" s="6" t="s">
        <v>21</v>
      </c>
      <c r="E283" s="6" t="s">
        <v>15</v>
      </c>
      <c r="F283" s="6" t="s">
        <v>37</v>
      </c>
      <c r="G283" s="6">
        <v>2301</v>
      </c>
      <c r="H283" s="6">
        <v>14</v>
      </c>
      <c r="I283" s="6">
        <v>256</v>
      </c>
    </row>
    <row r="284" spans="1:9" x14ac:dyDescent="0.25">
      <c r="A284" s="6">
        <v>3010</v>
      </c>
      <c r="B284" s="6" t="s">
        <v>20</v>
      </c>
      <c r="C284" s="6" t="s">
        <v>30</v>
      </c>
      <c r="D284" s="6" t="s">
        <v>21</v>
      </c>
      <c r="E284" s="6" t="s">
        <v>15</v>
      </c>
      <c r="F284" s="6" t="s">
        <v>37</v>
      </c>
      <c r="G284" s="6">
        <v>2301</v>
      </c>
      <c r="H284" s="6">
        <v>14</v>
      </c>
      <c r="I284" s="6">
        <v>128</v>
      </c>
    </row>
    <row r="285" spans="1:9" x14ac:dyDescent="0.25">
      <c r="A285" s="6">
        <v>3015</v>
      </c>
      <c r="B285" s="6" t="s">
        <v>20</v>
      </c>
      <c r="C285" s="6" t="s">
        <v>44</v>
      </c>
      <c r="D285" s="6" t="s">
        <v>21</v>
      </c>
      <c r="E285" s="6" t="s">
        <v>15</v>
      </c>
      <c r="F285" s="6" t="s">
        <v>37</v>
      </c>
      <c r="G285" s="6">
        <v>2301</v>
      </c>
      <c r="H285" s="6">
        <v>14</v>
      </c>
      <c r="I285" s="6">
        <v>32</v>
      </c>
    </row>
    <row r="286" spans="1:9" x14ac:dyDescent="0.25">
      <c r="A286" s="6">
        <v>3022</v>
      </c>
      <c r="B286" s="6" t="s">
        <v>20</v>
      </c>
      <c r="C286" s="6" t="s">
        <v>44</v>
      </c>
      <c r="D286" s="6" t="s">
        <v>21</v>
      </c>
      <c r="E286" s="6" t="s">
        <v>15</v>
      </c>
      <c r="F286" s="6" t="s">
        <v>37</v>
      </c>
      <c r="G286" s="6">
        <v>2301</v>
      </c>
      <c r="H286" s="6">
        <v>14</v>
      </c>
      <c r="I286" s="6">
        <v>256</v>
      </c>
    </row>
    <row r="287" spans="1:9" x14ac:dyDescent="0.25">
      <c r="A287" s="6">
        <v>3112</v>
      </c>
      <c r="B287" s="6" t="s">
        <v>20</v>
      </c>
      <c r="C287" s="6" t="s">
        <v>30</v>
      </c>
      <c r="D287" s="6" t="s">
        <v>21</v>
      </c>
      <c r="E287" s="6" t="s">
        <v>15</v>
      </c>
      <c r="F287" s="6" t="s">
        <v>37</v>
      </c>
      <c r="G287" s="6">
        <v>2301</v>
      </c>
      <c r="H287" s="6">
        <v>14</v>
      </c>
      <c r="I287" s="6">
        <v>128</v>
      </c>
    </row>
    <row r="288" spans="1:9" x14ac:dyDescent="0.25">
      <c r="A288" s="6">
        <v>3115</v>
      </c>
      <c r="B288" s="6" t="s">
        <v>20</v>
      </c>
      <c r="C288" s="6" t="s">
        <v>30</v>
      </c>
      <c r="D288" s="6" t="s">
        <v>21</v>
      </c>
      <c r="E288" s="6" t="s">
        <v>15</v>
      </c>
      <c r="F288" s="6" t="s">
        <v>37</v>
      </c>
      <c r="G288" s="6">
        <v>2301</v>
      </c>
      <c r="H288" s="6">
        <v>14</v>
      </c>
      <c r="I288" s="6">
        <v>64</v>
      </c>
    </row>
    <row r="289" spans="1:9" x14ac:dyDescent="0.25">
      <c r="A289" s="6">
        <v>3118</v>
      </c>
      <c r="B289" s="6" t="s">
        <v>20</v>
      </c>
      <c r="C289" s="6" t="s">
        <v>30</v>
      </c>
      <c r="D289" s="6" t="s">
        <v>21</v>
      </c>
      <c r="E289" s="6" t="s">
        <v>15</v>
      </c>
      <c r="F289" s="6" t="s">
        <v>37</v>
      </c>
      <c r="G289" s="6">
        <v>2301</v>
      </c>
      <c r="H289" s="6">
        <v>14</v>
      </c>
      <c r="I289" s="6">
        <v>32</v>
      </c>
    </row>
    <row r="290" spans="1:9" x14ac:dyDescent="0.25">
      <c r="A290" s="6">
        <v>3119</v>
      </c>
      <c r="B290" s="6" t="s">
        <v>20</v>
      </c>
      <c r="C290" s="6" t="s">
        <v>30</v>
      </c>
      <c r="D290" s="6" t="s">
        <v>21</v>
      </c>
      <c r="E290" s="6" t="s">
        <v>15</v>
      </c>
      <c r="F290" s="6" t="s">
        <v>37</v>
      </c>
      <c r="G290" s="6">
        <v>2301</v>
      </c>
      <c r="H290" s="6">
        <v>14</v>
      </c>
      <c r="I290" s="6">
        <v>16</v>
      </c>
    </row>
    <row r="291" spans="1:9" x14ac:dyDescent="0.25">
      <c r="A291" s="6">
        <v>3143</v>
      </c>
      <c r="B291" s="6" t="s">
        <v>20</v>
      </c>
      <c r="C291" s="6" t="s">
        <v>30</v>
      </c>
      <c r="D291" s="6" t="s">
        <v>21</v>
      </c>
      <c r="E291" s="6" t="s">
        <v>15</v>
      </c>
      <c r="F291" s="6" t="s">
        <v>37</v>
      </c>
      <c r="G291" s="6">
        <v>2301</v>
      </c>
      <c r="H291" s="6">
        <v>14</v>
      </c>
      <c r="I291" s="6">
        <v>1024</v>
      </c>
    </row>
    <row r="292" spans="1:9" x14ac:dyDescent="0.25">
      <c r="A292" s="6">
        <v>3150</v>
      </c>
      <c r="B292" s="6" t="s">
        <v>20</v>
      </c>
      <c r="C292" s="6" t="s">
        <v>51</v>
      </c>
      <c r="D292" s="6" t="s">
        <v>21</v>
      </c>
      <c r="E292" s="6" t="s">
        <v>15</v>
      </c>
      <c r="F292" s="6" t="s">
        <v>37</v>
      </c>
      <c r="G292" s="6">
        <v>2301</v>
      </c>
      <c r="H292" s="6">
        <v>14</v>
      </c>
      <c r="I292" s="6">
        <v>32</v>
      </c>
    </row>
    <row r="293" spans="1:9" x14ac:dyDescent="0.25">
      <c r="A293" s="6">
        <v>3158</v>
      </c>
      <c r="B293" s="6" t="s">
        <v>20</v>
      </c>
      <c r="C293" s="6" t="s">
        <v>51</v>
      </c>
      <c r="D293" s="6" t="s">
        <v>21</v>
      </c>
      <c r="E293" s="6" t="s">
        <v>15</v>
      </c>
      <c r="F293" s="6" t="s">
        <v>37</v>
      </c>
      <c r="G293" s="6">
        <v>2301</v>
      </c>
      <c r="H293" s="6">
        <v>14</v>
      </c>
      <c r="I293" s="6">
        <v>256</v>
      </c>
    </row>
    <row r="294" spans="1:9" x14ac:dyDescent="0.25">
      <c r="A294" s="6">
        <v>3210</v>
      </c>
      <c r="B294" s="6" t="s">
        <v>20</v>
      </c>
      <c r="C294" s="6" t="s">
        <v>30</v>
      </c>
      <c r="D294" s="6" t="s">
        <v>21</v>
      </c>
      <c r="E294" s="6" t="s">
        <v>15</v>
      </c>
      <c r="F294" s="6" t="s">
        <v>37</v>
      </c>
      <c r="G294" s="6">
        <v>2301</v>
      </c>
      <c r="H294" s="6">
        <v>14</v>
      </c>
      <c r="I294" s="6">
        <v>256</v>
      </c>
    </row>
    <row r="295" spans="1:9" x14ac:dyDescent="0.25">
      <c r="A295" s="6">
        <v>3214</v>
      </c>
      <c r="B295" s="6" t="s">
        <v>20</v>
      </c>
      <c r="C295" s="6" t="s">
        <v>44</v>
      </c>
      <c r="D295" s="6" t="s">
        <v>21</v>
      </c>
      <c r="E295" s="6" t="s">
        <v>15</v>
      </c>
      <c r="F295" s="6" t="s">
        <v>37</v>
      </c>
      <c r="G295" s="6">
        <v>2301</v>
      </c>
      <c r="H295" s="6">
        <v>14</v>
      </c>
      <c r="I295" s="6">
        <v>64</v>
      </c>
    </row>
    <row r="296" spans="1:9" x14ac:dyDescent="0.25">
      <c r="A296" s="6">
        <v>3221</v>
      </c>
      <c r="B296" s="6" t="s">
        <v>20</v>
      </c>
      <c r="C296" s="6" t="s">
        <v>44</v>
      </c>
      <c r="D296" s="6" t="s">
        <v>21</v>
      </c>
      <c r="E296" s="6" t="s">
        <v>15</v>
      </c>
      <c r="F296" s="6" t="s">
        <v>37</v>
      </c>
      <c r="G296" s="6">
        <v>2301</v>
      </c>
      <c r="H296" s="6">
        <v>14</v>
      </c>
      <c r="I296" s="6">
        <v>512</v>
      </c>
    </row>
    <row r="297" spans="1:9" x14ac:dyDescent="0.25">
      <c r="A297" s="6">
        <v>3004</v>
      </c>
      <c r="B297" s="6" t="s">
        <v>23</v>
      </c>
      <c r="C297" s="6" t="s">
        <v>25</v>
      </c>
      <c r="D297" s="6" t="s">
        <v>21</v>
      </c>
      <c r="E297" s="6" t="s">
        <v>24</v>
      </c>
      <c r="F297" s="6" t="s">
        <v>37</v>
      </c>
      <c r="G297" s="6">
        <v>2301</v>
      </c>
      <c r="H297" s="6">
        <v>14</v>
      </c>
      <c r="I297" s="6">
        <v>4</v>
      </c>
    </row>
    <row r="298" spans="1:9" x14ac:dyDescent="0.25">
      <c r="A298" s="6">
        <v>3005</v>
      </c>
      <c r="B298" s="6" t="s">
        <v>23</v>
      </c>
      <c r="C298" s="6" t="s">
        <v>25</v>
      </c>
      <c r="D298" s="6" t="s">
        <v>21</v>
      </c>
      <c r="E298" s="6" t="s">
        <v>24</v>
      </c>
      <c r="F298" s="6" t="s">
        <v>37</v>
      </c>
      <c r="G298" s="6">
        <v>2301</v>
      </c>
      <c r="H298" s="6">
        <v>14</v>
      </c>
      <c r="I298" s="6">
        <v>1024</v>
      </c>
    </row>
    <row r="299" spans="1:9" x14ac:dyDescent="0.25">
      <c r="A299" s="6">
        <v>3007</v>
      </c>
      <c r="B299" s="6" t="s">
        <v>23</v>
      </c>
      <c r="C299" s="6" t="s">
        <v>25</v>
      </c>
      <c r="D299" s="6" t="s">
        <v>21</v>
      </c>
      <c r="E299" s="6" t="s">
        <v>24</v>
      </c>
      <c r="F299" s="6" t="s">
        <v>37</v>
      </c>
      <c r="G299" s="6">
        <v>2301</v>
      </c>
      <c r="H299" s="6">
        <v>14</v>
      </c>
      <c r="I299" s="6">
        <v>128</v>
      </c>
    </row>
    <row r="300" spans="1:9" x14ac:dyDescent="0.25">
      <c r="A300" s="6">
        <v>3014</v>
      </c>
      <c r="B300" s="6" t="s">
        <v>23</v>
      </c>
      <c r="C300" s="6" t="s">
        <v>25</v>
      </c>
      <c r="D300" s="6" t="s">
        <v>21</v>
      </c>
      <c r="E300" s="6" t="s">
        <v>24</v>
      </c>
      <c r="F300" s="6" t="s">
        <v>37</v>
      </c>
      <c r="G300" s="6">
        <v>2301</v>
      </c>
      <c r="H300" s="6">
        <v>14</v>
      </c>
      <c r="I300" s="6"/>
    </row>
    <row r="301" spans="1:9" x14ac:dyDescent="0.25">
      <c r="A301" s="6">
        <v>3017</v>
      </c>
      <c r="B301" s="6" t="s">
        <v>23</v>
      </c>
      <c r="C301" s="6" t="s">
        <v>25</v>
      </c>
      <c r="D301" s="6" t="s">
        <v>21</v>
      </c>
      <c r="E301" s="6" t="s">
        <v>24</v>
      </c>
      <c r="F301" s="6" t="s">
        <v>37</v>
      </c>
      <c r="G301" s="6">
        <v>2301</v>
      </c>
      <c r="H301" s="6">
        <v>14</v>
      </c>
      <c r="I301" s="6">
        <v>16</v>
      </c>
    </row>
    <row r="302" spans="1:9" x14ac:dyDescent="0.25">
      <c r="A302" s="6">
        <v>3021</v>
      </c>
      <c r="B302" s="6" t="s">
        <v>23</v>
      </c>
      <c r="C302" s="6" t="s">
        <v>25</v>
      </c>
      <c r="D302" s="6" t="s">
        <v>21</v>
      </c>
      <c r="E302" s="6" t="s">
        <v>24</v>
      </c>
      <c r="F302" s="6" t="s">
        <v>37</v>
      </c>
      <c r="G302" s="6">
        <v>2301</v>
      </c>
      <c r="H302" s="6">
        <v>14</v>
      </c>
      <c r="I302" s="6">
        <v>128</v>
      </c>
    </row>
    <row r="303" spans="1:9" x14ac:dyDescent="0.25">
      <c r="A303" s="6">
        <v>3023</v>
      </c>
      <c r="B303" s="6" t="s">
        <v>23</v>
      </c>
      <c r="C303" s="6" t="s">
        <v>68</v>
      </c>
      <c r="D303" s="6" t="s">
        <v>21</v>
      </c>
      <c r="E303" s="6" t="s">
        <v>24</v>
      </c>
      <c r="F303" s="6" t="s">
        <v>37</v>
      </c>
      <c r="G303" s="6">
        <v>2301</v>
      </c>
      <c r="H303" s="6">
        <v>14</v>
      </c>
      <c r="I303" s="6">
        <v>512</v>
      </c>
    </row>
    <row r="304" spans="1:9" x14ac:dyDescent="0.25">
      <c r="A304" s="6">
        <v>3114</v>
      </c>
      <c r="B304" s="6" t="s">
        <v>23</v>
      </c>
      <c r="C304" s="6" t="s">
        <v>46</v>
      </c>
      <c r="D304" s="6" t="s">
        <v>21</v>
      </c>
      <c r="E304" s="6" t="s">
        <v>24</v>
      </c>
      <c r="F304" s="6" t="s">
        <v>37</v>
      </c>
      <c r="G304" s="6">
        <v>2301</v>
      </c>
      <c r="H304" s="6">
        <v>14</v>
      </c>
      <c r="I304" s="6">
        <v>4</v>
      </c>
    </row>
    <row r="305" spans="1:9" x14ac:dyDescent="0.25">
      <c r="A305" s="6">
        <v>3116</v>
      </c>
      <c r="B305" s="6" t="s">
        <v>23</v>
      </c>
      <c r="C305" s="6" t="s">
        <v>25</v>
      </c>
      <c r="D305" s="6" t="s">
        <v>21</v>
      </c>
      <c r="E305" s="6" t="s">
        <v>24</v>
      </c>
      <c r="F305" s="6" t="s">
        <v>37</v>
      </c>
      <c r="G305" s="6">
        <v>2301</v>
      </c>
      <c r="H305" s="6">
        <v>14</v>
      </c>
      <c r="I305" s="6">
        <v>8</v>
      </c>
    </row>
    <row r="306" spans="1:9" x14ac:dyDescent="0.25">
      <c r="A306" s="6">
        <v>3137</v>
      </c>
      <c r="B306" s="6" t="s">
        <v>23</v>
      </c>
      <c r="C306" s="6" t="s">
        <v>46</v>
      </c>
      <c r="D306" s="6" t="s">
        <v>21</v>
      </c>
      <c r="E306" s="6" t="s">
        <v>24</v>
      </c>
      <c r="F306" s="6" t="s">
        <v>37</v>
      </c>
      <c r="G306" s="6">
        <v>2301</v>
      </c>
      <c r="H306" s="6">
        <v>14</v>
      </c>
      <c r="I306" s="6">
        <v>256</v>
      </c>
    </row>
    <row r="307" spans="1:9" x14ac:dyDescent="0.25">
      <c r="A307" s="6">
        <v>3144</v>
      </c>
      <c r="B307" s="6" t="s">
        <v>23</v>
      </c>
      <c r="C307" s="6" t="s">
        <v>46</v>
      </c>
      <c r="D307" s="6" t="s">
        <v>21</v>
      </c>
      <c r="E307" s="6" t="s">
        <v>24</v>
      </c>
      <c r="F307" s="6" t="s">
        <v>37</v>
      </c>
      <c r="G307" s="6">
        <v>2301</v>
      </c>
      <c r="H307" s="6">
        <v>14</v>
      </c>
      <c r="I307" s="6"/>
    </row>
    <row r="308" spans="1:9" x14ac:dyDescent="0.25">
      <c r="A308" s="6">
        <v>3216</v>
      </c>
      <c r="B308" s="6" t="s">
        <v>23</v>
      </c>
      <c r="C308" s="6" t="s">
        <v>25</v>
      </c>
      <c r="D308" s="6" t="s">
        <v>21</v>
      </c>
      <c r="E308" s="6" t="s">
        <v>24</v>
      </c>
      <c r="F308" s="6" t="s">
        <v>37</v>
      </c>
      <c r="G308" s="6">
        <v>2301</v>
      </c>
      <c r="H308" s="6">
        <v>14</v>
      </c>
      <c r="I308" s="6">
        <v>64</v>
      </c>
    </row>
    <row r="309" spans="1:9" x14ac:dyDescent="0.25">
      <c r="A309" s="6">
        <v>3225</v>
      </c>
      <c r="B309" s="6" t="s">
        <v>23</v>
      </c>
      <c r="C309" s="6" t="s">
        <v>32</v>
      </c>
      <c r="D309" s="6" t="s">
        <v>21</v>
      </c>
      <c r="E309" s="6" t="s">
        <v>24</v>
      </c>
      <c r="F309" s="6" t="s">
        <v>37</v>
      </c>
      <c r="G309" s="6">
        <v>2301</v>
      </c>
      <c r="H309" s="6">
        <v>14</v>
      </c>
      <c r="I309" s="6">
        <v>8</v>
      </c>
    </row>
    <row r="310" spans="1:9" x14ac:dyDescent="0.25">
      <c r="A310" s="6">
        <v>3009</v>
      </c>
      <c r="B310" s="6" t="s">
        <v>14</v>
      </c>
      <c r="C310" s="6" t="s">
        <v>17</v>
      </c>
      <c r="D310" s="6" t="s">
        <v>15</v>
      </c>
      <c r="E310" s="6" t="s">
        <v>15</v>
      </c>
      <c r="F310" s="6" t="s">
        <v>37</v>
      </c>
      <c r="G310" s="6">
        <v>2301</v>
      </c>
      <c r="H310" s="6">
        <v>60</v>
      </c>
      <c r="I310" s="6">
        <v>256</v>
      </c>
    </row>
    <row r="311" spans="1:9" x14ac:dyDescent="0.25">
      <c r="A311" s="6">
        <v>3012</v>
      </c>
      <c r="B311" s="6" t="s">
        <v>14</v>
      </c>
      <c r="C311" s="6" t="s">
        <v>45</v>
      </c>
      <c r="D311" s="6" t="s">
        <v>15</v>
      </c>
      <c r="E311" s="6" t="s">
        <v>15</v>
      </c>
      <c r="F311" s="6" t="s">
        <v>37</v>
      </c>
      <c r="G311" s="6">
        <v>2301</v>
      </c>
      <c r="H311" s="6">
        <v>60</v>
      </c>
      <c r="I311" s="6">
        <v>64</v>
      </c>
    </row>
    <row r="312" spans="1:9" x14ac:dyDescent="0.25">
      <c r="A312" s="6">
        <v>3013</v>
      </c>
      <c r="B312" s="6" t="s">
        <v>14</v>
      </c>
      <c r="C312" s="6" t="s">
        <v>13</v>
      </c>
      <c r="D312" s="6" t="s">
        <v>15</v>
      </c>
      <c r="E312" s="6" t="s">
        <v>15</v>
      </c>
      <c r="F312" s="6" t="s">
        <v>37</v>
      </c>
      <c r="G312" s="6">
        <v>2301</v>
      </c>
      <c r="H312" s="6">
        <v>60</v>
      </c>
      <c r="I312" s="6">
        <v>256</v>
      </c>
    </row>
    <row r="313" spans="1:9" x14ac:dyDescent="0.25">
      <c r="A313" s="6">
        <v>3016</v>
      </c>
      <c r="B313" s="6" t="s">
        <v>14</v>
      </c>
      <c r="C313" s="6" t="s">
        <v>18</v>
      </c>
      <c r="D313" s="6" t="s">
        <v>15</v>
      </c>
      <c r="E313" s="6" t="s">
        <v>15</v>
      </c>
      <c r="F313" s="6" t="s">
        <v>37</v>
      </c>
      <c r="G313" s="6">
        <v>2301</v>
      </c>
      <c r="H313" s="6">
        <v>60</v>
      </c>
      <c r="I313" s="6">
        <v>128</v>
      </c>
    </row>
    <row r="314" spans="1:9" x14ac:dyDescent="0.25">
      <c r="A314" s="6">
        <v>3018</v>
      </c>
      <c r="B314" s="6" t="s">
        <v>14</v>
      </c>
      <c r="C314" s="6" t="s">
        <v>18</v>
      </c>
      <c r="D314" s="6" t="s">
        <v>15</v>
      </c>
      <c r="E314" s="6" t="s">
        <v>15</v>
      </c>
      <c r="F314" s="6" t="s">
        <v>37</v>
      </c>
      <c r="G314" s="6">
        <v>2301</v>
      </c>
      <c r="H314" s="6">
        <v>60</v>
      </c>
      <c r="I314" s="6">
        <v>512</v>
      </c>
    </row>
    <row r="315" spans="1:9" x14ac:dyDescent="0.25">
      <c r="A315" s="6">
        <v>3019</v>
      </c>
      <c r="B315" s="6" t="s">
        <v>14</v>
      </c>
      <c r="C315" s="6" t="s">
        <v>45</v>
      </c>
      <c r="D315" s="6" t="s">
        <v>15</v>
      </c>
      <c r="E315" s="6" t="s">
        <v>15</v>
      </c>
      <c r="F315" s="6" t="s">
        <v>37</v>
      </c>
      <c r="G315" s="6">
        <v>2301</v>
      </c>
      <c r="H315" s="6">
        <v>60</v>
      </c>
      <c r="I315" s="6">
        <v>32</v>
      </c>
    </row>
    <row r="316" spans="1:9" x14ac:dyDescent="0.25">
      <c r="A316" s="6">
        <v>3030</v>
      </c>
      <c r="B316" s="6" t="s">
        <v>14</v>
      </c>
      <c r="C316" s="6" t="s">
        <v>66</v>
      </c>
      <c r="D316" s="6" t="s">
        <v>15</v>
      </c>
      <c r="E316" s="6" t="s">
        <v>15</v>
      </c>
      <c r="F316" s="6" t="s">
        <v>37</v>
      </c>
      <c r="G316" s="6">
        <v>2301</v>
      </c>
      <c r="H316" s="6">
        <v>60</v>
      </c>
      <c r="I316" s="6">
        <v>32</v>
      </c>
    </row>
    <row r="317" spans="1:9" x14ac:dyDescent="0.25">
      <c r="A317" s="6">
        <v>3034</v>
      </c>
      <c r="B317" s="6" t="s">
        <v>14</v>
      </c>
      <c r="C317" s="6" t="s">
        <v>66</v>
      </c>
      <c r="D317" s="6" t="s">
        <v>15</v>
      </c>
      <c r="E317" s="6" t="s">
        <v>15</v>
      </c>
      <c r="F317" s="6" t="s">
        <v>37</v>
      </c>
      <c r="G317" s="6">
        <v>2301</v>
      </c>
      <c r="H317" s="6">
        <v>60</v>
      </c>
      <c r="I317" s="6">
        <v>32</v>
      </c>
    </row>
    <row r="318" spans="1:9" x14ac:dyDescent="0.25">
      <c r="A318" s="6">
        <v>3113</v>
      </c>
      <c r="B318" s="6" t="s">
        <v>14</v>
      </c>
      <c r="C318" s="6" t="s">
        <v>45</v>
      </c>
      <c r="D318" s="6" t="s">
        <v>15</v>
      </c>
      <c r="E318" s="6" t="s">
        <v>15</v>
      </c>
      <c r="F318" s="6" t="s">
        <v>37</v>
      </c>
      <c r="G318" s="6">
        <v>2301</v>
      </c>
      <c r="H318" s="6">
        <v>60</v>
      </c>
      <c r="I318" s="6">
        <v>8</v>
      </c>
    </row>
    <row r="319" spans="1:9" x14ac:dyDescent="0.25">
      <c r="A319" s="6">
        <v>3117</v>
      </c>
      <c r="B319" s="6" t="s">
        <v>14</v>
      </c>
      <c r="C319" s="6" t="s">
        <v>17</v>
      </c>
      <c r="D319" s="6" t="s">
        <v>15</v>
      </c>
      <c r="E319" s="6" t="s">
        <v>15</v>
      </c>
      <c r="F319" s="6" t="s">
        <v>37</v>
      </c>
      <c r="G319" s="6">
        <v>2301</v>
      </c>
      <c r="H319" s="6">
        <v>60</v>
      </c>
      <c r="I319" s="6">
        <v>32</v>
      </c>
    </row>
    <row r="320" spans="1:9" x14ac:dyDescent="0.25">
      <c r="A320" s="6">
        <v>3129</v>
      </c>
      <c r="B320" s="6" t="s">
        <v>14</v>
      </c>
      <c r="C320" s="6" t="s">
        <v>17</v>
      </c>
      <c r="D320" s="6" t="s">
        <v>15</v>
      </c>
      <c r="E320" s="6" t="s">
        <v>15</v>
      </c>
      <c r="F320" s="6" t="s">
        <v>37</v>
      </c>
      <c r="G320" s="6">
        <v>2301</v>
      </c>
      <c r="H320" s="6">
        <v>60</v>
      </c>
      <c r="I320" s="6">
        <v>256</v>
      </c>
    </row>
    <row r="321" spans="1:9" x14ac:dyDescent="0.25">
      <c r="A321" s="6">
        <v>3130</v>
      </c>
      <c r="B321" s="6" t="s">
        <v>14</v>
      </c>
      <c r="C321" s="6" t="s">
        <v>13</v>
      </c>
      <c r="D321" s="6" t="s">
        <v>15</v>
      </c>
      <c r="E321" s="6" t="s">
        <v>15</v>
      </c>
      <c r="F321" s="6" t="s">
        <v>37</v>
      </c>
      <c r="G321" s="6">
        <v>2301</v>
      </c>
      <c r="H321" s="6">
        <v>60</v>
      </c>
      <c r="I321" s="6">
        <v>64</v>
      </c>
    </row>
    <row r="322" spans="1:9" x14ac:dyDescent="0.25">
      <c r="A322" s="6">
        <v>3131</v>
      </c>
      <c r="B322" s="6" t="s">
        <v>14</v>
      </c>
      <c r="C322" s="6" t="s">
        <v>13</v>
      </c>
      <c r="D322" s="6" t="s">
        <v>15</v>
      </c>
      <c r="E322" s="6" t="s">
        <v>15</v>
      </c>
      <c r="F322" s="6" t="s">
        <v>37</v>
      </c>
      <c r="G322" s="6">
        <v>2301</v>
      </c>
      <c r="H322" s="6">
        <v>60</v>
      </c>
      <c r="I322" s="6">
        <v>64</v>
      </c>
    </row>
    <row r="323" spans="1:9" x14ac:dyDescent="0.25">
      <c r="A323" s="6">
        <v>3165</v>
      </c>
      <c r="B323" s="6" t="s">
        <v>14</v>
      </c>
      <c r="C323" s="6" t="s">
        <v>34</v>
      </c>
      <c r="D323" s="6" t="s">
        <v>15</v>
      </c>
      <c r="E323" s="6" t="s">
        <v>15</v>
      </c>
      <c r="F323" s="6" t="s">
        <v>37</v>
      </c>
      <c r="G323" s="6">
        <v>2301</v>
      </c>
      <c r="H323" s="6">
        <v>60</v>
      </c>
      <c r="I323" s="6">
        <v>32</v>
      </c>
    </row>
    <row r="324" spans="1:9" x14ac:dyDescent="0.25">
      <c r="A324" s="6">
        <v>3169</v>
      </c>
      <c r="B324" s="6" t="s">
        <v>14</v>
      </c>
      <c r="C324" s="6" t="s">
        <v>34</v>
      </c>
      <c r="D324" s="6" t="s">
        <v>15</v>
      </c>
      <c r="E324" s="6" t="s">
        <v>15</v>
      </c>
      <c r="F324" s="6" t="s">
        <v>37</v>
      </c>
      <c r="G324" s="6">
        <v>2301</v>
      </c>
      <c r="H324" s="6">
        <v>60</v>
      </c>
      <c r="I324" s="6">
        <v>64</v>
      </c>
    </row>
    <row r="325" spans="1:9" x14ac:dyDescent="0.25">
      <c r="A325" s="6">
        <v>3171</v>
      </c>
      <c r="B325" s="6" t="s">
        <v>14</v>
      </c>
      <c r="C325" s="6" t="s">
        <v>34</v>
      </c>
      <c r="D325" s="6" t="s">
        <v>15</v>
      </c>
      <c r="E325" s="6" t="s">
        <v>15</v>
      </c>
      <c r="F325" s="6" t="s">
        <v>37</v>
      </c>
      <c r="G325" s="6">
        <v>2301</v>
      </c>
      <c r="H325" s="6">
        <v>60</v>
      </c>
      <c r="I325" s="6">
        <v>64</v>
      </c>
    </row>
    <row r="326" spans="1:9" x14ac:dyDescent="0.25">
      <c r="A326" s="6">
        <v>3172</v>
      </c>
      <c r="B326" s="6" t="s">
        <v>14</v>
      </c>
      <c r="C326" s="6" t="s">
        <v>34</v>
      </c>
      <c r="D326" s="6" t="s">
        <v>15</v>
      </c>
      <c r="E326" s="6" t="s">
        <v>15</v>
      </c>
      <c r="F326" s="6" t="s">
        <v>37</v>
      </c>
      <c r="G326" s="6">
        <v>2301</v>
      </c>
      <c r="H326" s="6">
        <v>60</v>
      </c>
      <c r="I326" s="6">
        <v>64</v>
      </c>
    </row>
    <row r="327" spans="1:9" x14ac:dyDescent="0.25">
      <c r="A327" s="6">
        <v>3174</v>
      </c>
      <c r="B327" s="6" t="s">
        <v>14</v>
      </c>
      <c r="C327" s="6" t="s">
        <v>34</v>
      </c>
      <c r="D327" s="6" t="s">
        <v>15</v>
      </c>
      <c r="E327" s="6" t="s">
        <v>15</v>
      </c>
      <c r="F327" s="6" t="s">
        <v>37</v>
      </c>
      <c r="G327" s="6">
        <v>2301</v>
      </c>
      <c r="H327" s="6">
        <v>60</v>
      </c>
      <c r="I327" s="6">
        <v>32</v>
      </c>
    </row>
    <row r="328" spans="1:9" x14ac:dyDescent="0.25">
      <c r="A328" s="6">
        <v>3175</v>
      </c>
      <c r="B328" s="6" t="s">
        <v>14</v>
      </c>
      <c r="C328" s="6" t="s">
        <v>34</v>
      </c>
      <c r="D328" s="6" t="s">
        <v>15</v>
      </c>
      <c r="E328" s="6" t="s">
        <v>15</v>
      </c>
      <c r="F328" s="6" t="s">
        <v>37</v>
      </c>
      <c r="G328" s="6">
        <v>2301</v>
      </c>
      <c r="H328" s="6">
        <v>60</v>
      </c>
      <c r="I328" s="6">
        <v>16</v>
      </c>
    </row>
    <row r="329" spans="1:9" x14ac:dyDescent="0.25">
      <c r="A329" s="6">
        <v>3201</v>
      </c>
      <c r="B329" s="6" t="s">
        <v>14</v>
      </c>
      <c r="C329" s="6" t="s">
        <v>17</v>
      </c>
      <c r="D329" s="6" t="s">
        <v>15</v>
      </c>
      <c r="E329" s="6" t="s">
        <v>15</v>
      </c>
      <c r="F329" s="6" t="s">
        <v>37</v>
      </c>
      <c r="G329" s="6">
        <v>2302</v>
      </c>
      <c r="H329" s="6">
        <v>60</v>
      </c>
      <c r="I329" s="6">
        <v>16</v>
      </c>
    </row>
    <row r="330" spans="1:9" x14ac:dyDescent="0.25">
      <c r="A330" s="6">
        <v>3205</v>
      </c>
      <c r="B330" s="6" t="s">
        <v>14</v>
      </c>
      <c r="C330" s="6" t="s">
        <v>17</v>
      </c>
      <c r="D330" s="6" t="s">
        <v>15</v>
      </c>
      <c r="E330" s="6" t="s">
        <v>15</v>
      </c>
      <c r="F330" s="6" t="s">
        <v>37</v>
      </c>
      <c r="G330" s="6">
        <v>2302</v>
      </c>
      <c r="H330" s="6">
        <v>60</v>
      </c>
      <c r="I330" s="6">
        <v>128</v>
      </c>
    </row>
    <row r="331" spans="1:9" x14ac:dyDescent="0.25">
      <c r="A331" s="6">
        <v>3215</v>
      </c>
      <c r="B331" s="6" t="s">
        <v>14</v>
      </c>
      <c r="C331" s="6" t="s">
        <v>45</v>
      </c>
      <c r="D331" s="6" t="s">
        <v>15</v>
      </c>
      <c r="E331" s="6" t="s">
        <v>15</v>
      </c>
      <c r="F331" s="6" t="s">
        <v>37</v>
      </c>
      <c r="G331" s="6">
        <v>2302</v>
      </c>
      <c r="H331" s="6">
        <v>60</v>
      </c>
      <c r="I331" s="6">
        <v>64</v>
      </c>
    </row>
    <row r="332" spans="1:9" x14ac:dyDescent="0.25">
      <c r="A332" s="6">
        <v>3217</v>
      </c>
      <c r="B332" s="6" t="s">
        <v>14</v>
      </c>
      <c r="C332" s="6" t="s">
        <v>13</v>
      </c>
      <c r="D332" s="6" t="s">
        <v>15</v>
      </c>
      <c r="E332" s="6" t="s">
        <v>15</v>
      </c>
      <c r="F332" s="6" t="s">
        <v>37</v>
      </c>
      <c r="G332" s="6">
        <v>2302</v>
      </c>
      <c r="H332" s="6">
        <v>60</v>
      </c>
      <c r="I332" s="6">
        <v>128</v>
      </c>
    </row>
    <row r="333" spans="1:9" x14ac:dyDescent="0.25">
      <c r="A333" s="6">
        <v>3219</v>
      </c>
      <c r="B333" s="6" t="s">
        <v>14</v>
      </c>
      <c r="C333" s="6" t="s">
        <v>13</v>
      </c>
      <c r="D333" s="6" t="s">
        <v>15</v>
      </c>
      <c r="E333" s="6" t="s">
        <v>15</v>
      </c>
      <c r="F333" s="6" t="s">
        <v>37</v>
      </c>
      <c r="G333" s="6">
        <v>2302</v>
      </c>
      <c r="H333" s="6">
        <v>60</v>
      </c>
      <c r="I333" s="6">
        <v>256</v>
      </c>
    </row>
    <row r="334" spans="1:9" x14ac:dyDescent="0.25">
      <c r="A334" s="6">
        <v>3220</v>
      </c>
      <c r="B334" s="6" t="s">
        <v>14</v>
      </c>
      <c r="C334" s="6" t="s">
        <v>13</v>
      </c>
      <c r="D334" s="6" t="s">
        <v>15</v>
      </c>
      <c r="E334" s="6" t="s">
        <v>15</v>
      </c>
      <c r="F334" s="6" t="s">
        <v>37</v>
      </c>
      <c r="G334" s="6">
        <v>2302</v>
      </c>
      <c r="H334" s="6">
        <v>60</v>
      </c>
      <c r="I334" s="6">
        <v>128</v>
      </c>
    </row>
    <row r="335" spans="1:9" x14ac:dyDescent="0.25">
      <c r="A335" s="6">
        <v>3132</v>
      </c>
      <c r="B335" s="6" t="s">
        <v>27</v>
      </c>
      <c r="C335" s="6" t="s">
        <v>26</v>
      </c>
      <c r="D335" s="6" t="s">
        <v>15</v>
      </c>
      <c r="E335" s="6" t="s">
        <v>24</v>
      </c>
      <c r="F335" s="6" t="s">
        <v>37</v>
      </c>
      <c r="G335" s="6">
        <v>2301</v>
      </c>
      <c r="H335" s="6">
        <v>60</v>
      </c>
      <c r="I335" s="6">
        <v>128</v>
      </c>
    </row>
    <row r="336" spans="1:9" x14ac:dyDescent="0.25">
      <c r="A336" s="6">
        <v>3211</v>
      </c>
      <c r="B336" s="6" t="s">
        <v>27</v>
      </c>
      <c r="C336" s="6" t="s">
        <v>26</v>
      </c>
      <c r="D336" s="6" t="s">
        <v>15</v>
      </c>
      <c r="E336" s="6" t="s">
        <v>24</v>
      </c>
      <c r="F336" s="6" t="s">
        <v>37</v>
      </c>
      <c r="G336" s="6">
        <v>2302</v>
      </c>
      <c r="H336" s="6">
        <v>60</v>
      </c>
      <c r="I336" s="6">
        <v>128</v>
      </c>
    </row>
    <row r="337" spans="1:9" x14ac:dyDescent="0.25">
      <c r="A337" s="6">
        <v>3227</v>
      </c>
      <c r="B337" s="6" t="s">
        <v>27</v>
      </c>
      <c r="C337" s="6" t="s">
        <v>67</v>
      </c>
      <c r="D337" s="6" t="s">
        <v>15</v>
      </c>
      <c r="E337" s="6" t="s">
        <v>24</v>
      </c>
      <c r="F337" s="6" t="s">
        <v>37</v>
      </c>
      <c r="G337" s="6">
        <v>2302</v>
      </c>
      <c r="H337" s="6">
        <v>60</v>
      </c>
      <c r="I337" s="6">
        <v>64</v>
      </c>
    </row>
    <row r="338" spans="1:9" x14ac:dyDescent="0.25">
      <c r="A338" s="6">
        <v>3231</v>
      </c>
      <c r="B338" s="6" t="s">
        <v>27</v>
      </c>
      <c r="C338" s="6" t="s">
        <v>67</v>
      </c>
      <c r="D338" s="6" t="s">
        <v>15</v>
      </c>
      <c r="E338" s="6" t="s">
        <v>24</v>
      </c>
      <c r="F338" s="6" t="s">
        <v>37</v>
      </c>
      <c r="G338" s="6">
        <v>2302</v>
      </c>
      <c r="H338" s="6">
        <v>60</v>
      </c>
      <c r="I338" s="6">
        <v>32</v>
      </c>
    </row>
    <row r="339" spans="1:9" x14ac:dyDescent="0.25">
      <c r="A339" s="6">
        <v>3233</v>
      </c>
      <c r="B339" s="6" t="s">
        <v>27</v>
      </c>
      <c r="C339" s="6" t="s">
        <v>67</v>
      </c>
      <c r="D339" s="6" t="s">
        <v>15</v>
      </c>
      <c r="E339" s="6" t="s">
        <v>24</v>
      </c>
      <c r="F339" s="6" t="s">
        <v>37</v>
      </c>
      <c r="G339" s="6">
        <v>2302</v>
      </c>
      <c r="H339" s="6">
        <v>60</v>
      </c>
      <c r="I339" s="6">
        <v>16</v>
      </c>
    </row>
    <row r="340" spans="1:9" x14ac:dyDescent="0.25">
      <c r="A340" s="6">
        <v>3239</v>
      </c>
      <c r="B340" s="6" t="s">
        <v>27</v>
      </c>
      <c r="C340" s="6" t="s">
        <v>67</v>
      </c>
      <c r="D340" s="6" t="s">
        <v>15</v>
      </c>
      <c r="E340" s="6" t="s">
        <v>24</v>
      </c>
      <c r="F340" s="6" t="s">
        <v>37</v>
      </c>
      <c r="G340" s="6">
        <v>2302</v>
      </c>
      <c r="H340" s="6">
        <v>60</v>
      </c>
      <c r="I340" s="6">
        <v>256</v>
      </c>
    </row>
    <row r="341" spans="1:9" x14ac:dyDescent="0.25">
      <c r="A341" s="6">
        <v>3240</v>
      </c>
      <c r="B341" s="6" t="s">
        <v>27</v>
      </c>
      <c r="C341" s="6" t="s">
        <v>67</v>
      </c>
      <c r="D341" s="6" t="s">
        <v>15</v>
      </c>
      <c r="E341" s="6" t="s">
        <v>24</v>
      </c>
      <c r="F341" s="6" t="s">
        <v>37</v>
      </c>
      <c r="G341" s="6">
        <v>2302</v>
      </c>
      <c r="H341" s="6">
        <v>60</v>
      </c>
      <c r="I341" s="6">
        <v>64</v>
      </c>
    </row>
    <row r="342" spans="1:9" x14ac:dyDescent="0.25">
      <c r="A342" s="6">
        <v>3241</v>
      </c>
      <c r="B342" s="6" t="s">
        <v>27</v>
      </c>
      <c r="C342" s="6" t="s">
        <v>67</v>
      </c>
      <c r="D342" s="6" t="s">
        <v>15</v>
      </c>
      <c r="E342" s="6" t="s">
        <v>24</v>
      </c>
      <c r="F342" s="6" t="s">
        <v>37</v>
      </c>
      <c r="G342" s="6">
        <v>2302</v>
      </c>
      <c r="H342" s="6">
        <v>60</v>
      </c>
      <c r="I342" s="6">
        <v>128</v>
      </c>
    </row>
    <row r="343" spans="1:9" x14ac:dyDescent="0.25">
      <c r="A343" s="6">
        <v>3003</v>
      </c>
      <c r="B343" s="6" t="s">
        <v>20</v>
      </c>
      <c r="C343" s="6" t="s">
        <v>30</v>
      </c>
      <c r="D343" s="6" t="s">
        <v>21</v>
      </c>
      <c r="E343" s="6" t="s">
        <v>15</v>
      </c>
      <c r="F343" s="6" t="s">
        <v>37</v>
      </c>
      <c r="G343" s="6">
        <v>2301</v>
      </c>
      <c r="H343" s="6">
        <v>60</v>
      </c>
      <c r="I343" s="6">
        <v>32</v>
      </c>
    </row>
    <row r="344" spans="1:9" x14ac:dyDescent="0.25">
      <c r="A344" s="6">
        <v>3010</v>
      </c>
      <c r="B344" s="6" t="s">
        <v>20</v>
      </c>
      <c r="C344" s="6" t="s">
        <v>30</v>
      </c>
      <c r="D344" s="6" t="s">
        <v>21</v>
      </c>
      <c r="E344" s="6" t="s">
        <v>15</v>
      </c>
      <c r="F344" s="6" t="s">
        <v>37</v>
      </c>
      <c r="G344" s="6">
        <v>2301</v>
      </c>
      <c r="H344" s="6">
        <v>60</v>
      </c>
      <c r="I344" s="6">
        <v>128</v>
      </c>
    </row>
    <row r="345" spans="1:9" x14ac:dyDescent="0.25">
      <c r="A345" s="6">
        <v>3015</v>
      </c>
      <c r="B345" s="6" t="s">
        <v>20</v>
      </c>
      <c r="C345" s="6" t="s">
        <v>44</v>
      </c>
      <c r="D345" s="6" t="s">
        <v>21</v>
      </c>
      <c r="E345" s="6" t="s">
        <v>15</v>
      </c>
      <c r="F345" s="6" t="s">
        <v>37</v>
      </c>
      <c r="G345" s="6">
        <v>2301</v>
      </c>
      <c r="H345" s="6">
        <v>60</v>
      </c>
      <c r="I345" s="6">
        <v>128</v>
      </c>
    </row>
    <row r="346" spans="1:9" x14ac:dyDescent="0.25">
      <c r="A346" s="6">
        <v>3022</v>
      </c>
      <c r="B346" s="6" t="s">
        <v>20</v>
      </c>
      <c r="C346" s="6" t="s">
        <v>44</v>
      </c>
      <c r="D346" s="6" t="s">
        <v>21</v>
      </c>
      <c r="E346" s="6" t="s">
        <v>15</v>
      </c>
      <c r="F346" s="6" t="s">
        <v>37</v>
      </c>
      <c r="G346" s="6">
        <v>2301</v>
      </c>
      <c r="H346" s="6">
        <v>60</v>
      </c>
      <c r="I346" s="6">
        <v>64</v>
      </c>
    </row>
    <row r="347" spans="1:9" x14ac:dyDescent="0.25">
      <c r="A347" s="6">
        <v>3112</v>
      </c>
      <c r="B347" s="6" t="s">
        <v>20</v>
      </c>
      <c r="C347" s="6" t="s">
        <v>30</v>
      </c>
      <c r="D347" s="6" t="s">
        <v>21</v>
      </c>
      <c r="E347" s="6" t="s">
        <v>15</v>
      </c>
      <c r="F347" s="6" t="s">
        <v>37</v>
      </c>
      <c r="G347" s="6">
        <v>2301</v>
      </c>
      <c r="H347" s="6">
        <v>60</v>
      </c>
      <c r="I347" s="6">
        <v>64</v>
      </c>
    </row>
    <row r="348" spans="1:9" x14ac:dyDescent="0.25">
      <c r="A348" s="6">
        <v>3115</v>
      </c>
      <c r="B348" s="6" t="s">
        <v>20</v>
      </c>
      <c r="C348" s="6" t="s">
        <v>30</v>
      </c>
      <c r="D348" s="6" t="s">
        <v>21</v>
      </c>
      <c r="E348" s="6" t="s">
        <v>15</v>
      </c>
      <c r="F348" s="6" t="s">
        <v>37</v>
      </c>
      <c r="G348" s="6">
        <v>2301</v>
      </c>
      <c r="H348" s="6">
        <v>60</v>
      </c>
      <c r="I348" s="6">
        <v>64</v>
      </c>
    </row>
    <row r="349" spans="1:9" x14ac:dyDescent="0.25">
      <c r="A349" s="6">
        <v>3115</v>
      </c>
      <c r="B349" s="6" t="s">
        <v>20</v>
      </c>
      <c r="C349" s="6" t="s">
        <v>30</v>
      </c>
      <c r="D349" s="6" t="s">
        <v>21</v>
      </c>
      <c r="E349" s="6" t="s">
        <v>15</v>
      </c>
      <c r="F349" s="6" t="s">
        <v>37</v>
      </c>
      <c r="G349" s="6">
        <v>2301</v>
      </c>
      <c r="H349" s="6">
        <v>60</v>
      </c>
      <c r="I349" s="6">
        <v>16</v>
      </c>
    </row>
    <row r="350" spans="1:9" x14ac:dyDescent="0.25">
      <c r="A350" s="6">
        <v>3118</v>
      </c>
      <c r="B350" s="6" t="s">
        <v>20</v>
      </c>
      <c r="C350" s="6" t="s">
        <v>30</v>
      </c>
      <c r="D350" s="6" t="s">
        <v>21</v>
      </c>
      <c r="E350" s="6" t="s">
        <v>15</v>
      </c>
      <c r="F350" s="6" t="s">
        <v>37</v>
      </c>
      <c r="G350" s="6">
        <v>2301</v>
      </c>
      <c r="H350" s="6">
        <v>60</v>
      </c>
      <c r="I350" s="6"/>
    </row>
    <row r="351" spans="1:9" x14ac:dyDescent="0.25">
      <c r="A351" s="6">
        <v>3119</v>
      </c>
      <c r="B351" s="6" t="s">
        <v>20</v>
      </c>
      <c r="C351" s="6" t="s">
        <v>30</v>
      </c>
      <c r="D351" s="6" t="s">
        <v>21</v>
      </c>
      <c r="E351" s="6" t="s">
        <v>15</v>
      </c>
      <c r="F351" s="6" t="s">
        <v>37</v>
      </c>
      <c r="G351" s="6">
        <v>2301</v>
      </c>
      <c r="H351" s="6">
        <v>60</v>
      </c>
      <c r="I351" s="6">
        <v>8</v>
      </c>
    </row>
    <row r="352" spans="1:9" x14ac:dyDescent="0.25">
      <c r="A352" s="6">
        <v>3158</v>
      </c>
      <c r="B352" s="6" t="s">
        <v>20</v>
      </c>
      <c r="C352" s="6" t="s">
        <v>51</v>
      </c>
      <c r="D352" s="6" t="s">
        <v>21</v>
      </c>
      <c r="E352" s="6" t="s">
        <v>15</v>
      </c>
      <c r="F352" s="6" t="s">
        <v>37</v>
      </c>
      <c r="G352" s="6">
        <v>2301</v>
      </c>
      <c r="H352" s="6">
        <v>60</v>
      </c>
      <c r="I352" s="6">
        <v>16</v>
      </c>
    </row>
    <row r="353" spans="1:9" x14ac:dyDescent="0.25">
      <c r="A353" s="6">
        <v>3210</v>
      </c>
      <c r="B353" s="6" t="s">
        <v>20</v>
      </c>
      <c r="C353" s="6" t="s">
        <v>30</v>
      </c>
      <c r="D353" s="6" t="s">
        <v>21</v>
      </c>
      <c r="E353" s="6" t="s">
        <v>15</v>
      </c>
      <c r="F353" s="6" t="s">
        <v>37</v>
      </c>
      <c r="G353" s="6">
        <v>2302</v>
      </c>
      <c r="H353" s="6">
        <v>60</v>
      </c>
      <c r="I353" s="6">
        <v>128</v>
      </c>
    </row>
    <row r="354" spans="1:9" x14ac:dyDescent="0.25">
      <c r="A354" s="6">
        <v>3214</v>
      </c>
      <c r="B354" s="6" t="s">
        <v>20</v>
      </c>
      <c r="C354" s="6" t="s">
        <v>44</v>
      </c>
      <c r="D354" s="6" t="s">
        <v>21</v>
      </c>
      <c r="E354" s="6" t="s">
        <v>15</v>
      </c>
      <c r="F354" s="6" t="s">
        <v>37</v>
      </c>
      <c r="G354" s="6">
        <v>2302</v>
      </c>
      <c r="H354" s="6">
        <v>60</v>
      </c>
      <c r="I354" s="6">
        <v>8</v>
      </c>
    </row>
    <row r="355" spans="1:9" x14ac:dyDescent="0.25">
      <c r="A355" s="6">
        <v>3221</v>
      </c>
      <c r="B355" s="6" t="s">
        <v>20</v>
      </c>
      <c r="C355" s="6" t="s">
        <v>44</v>
      </c>
      <c r="D355" s="6" t="s">
        <v>21</v>
      </c>
      <c r="E355" s="6" t="s">
        <v>15</v>
      </c>
      <c r="F355" s="6" t="s">
        <v>37</v>
      </c>
      <c r="G355" s="6">
        <v>2302</v>
      </c>
      <c r="H355" s="6">
        <v>60</v>
      </c>
      <c r="I355" s="6">
        <v>32</v>
      </c>
    </row>
    <row r="356" spans="1:9" x14ac:dyDescent="0.25">
      <c r="A356" s="6">
        <v>3004</v>
      </c>
      <c r="B356" s="6" t="s">
        <v>23</v>
      </c>
      <c r="C356" s="6" t="s">
        <v>25</v>
      </c>
      <c r="D356" s="6" t="s">
        <v>21</v>
      </c>
      <c r="E356" s="6" t="s">
        <v>24</v>
      </c>
      <c r="F356" s="6" t="s">
        <v>37</v>
      </c>
      <c r="G356" s="6">
        <v>2301</v>
      </c>
      <c r="H356" s="6">
        <v>60</v>
      </c>
      <c r="I356" s="6">
        <v>32</v>
      </c>
    </row>
    <row r="357" spans="1:9" x14ac:dyDescent="0.25">
      <c r="A357" s="6">
        <v>3005</v>
      </c>
      <c r="B357" s="6" t="s">
        <v>23</v>
      </c>
      <c r="C357" s="6" t="s">
        <v>25</v>
      </c>
      <c r="D357" s="6" t="s">
        <v>21</v>
      </c>
      <c r="E357" s="6" t="s">
        <v>24</v>
      </c>
      <c r="F357" s="6" t="s">
        <v>37</v>
      </c>
      <c r="G357" s="6">
        <v>2301</v>
      </c>
      <c r="H357" s="6">
        <v>60</v>
      </c>
      <c r="I357" s="6">
        <v>32</v>
      </c>
    </row>
    <row r="358" spans="1:9" x14ac:dyDescent="0.25">
      <c r="A358" s="6">
        <v>3007</v>
      </c>
      <c r="B358" s="6" t="s">
        <v>23</v>
      </c>
      <c r="C358" s="6" t="s">
        <v>25</v>
      </c>
      <c r="D358" s="6" t="s">
        <v>21</v>
      </c>
      <c r="E358" s="6" t="s">
        <v>24</v>
      </c>
      <c r="F358" s="6" t="s">
        <v>37</v>
      </c>
      <c r="G358" s="6">
        <v>2301</v>
      </c>
      <c r="H358" s="6">
        <v>60</v>
      </c>
      <c r="I358" s="6">
        <v>32</v>
      </c>
    </row>
    <row r="359" spans="1:9" x14ac:dyDescent="0.25">
      <c r="A359" s="6">
        <v>3014</v>
      </c>
      <c r="B359" s="6" t="s">
        <v>23</v>
      </c>
      <c r="C359" s="6" t="s">
        <v>25</v>
      </c>
      <c r="D359" s="6" t="s">
        <v>21</v>
      </c>
      <c r="E359" s="6" t="s">
        <v>24</v>
      </c>
      <c r="F359" s="6" t="s">
        <v>37</v>
      </c>
      <c r="G359" s="6">
        <v>2301</v>
      </c>
      <c r="H359" s="6">
        <v>60</v>
      </c>
      <c r="I359" s="6">
        <v>64</v>
      </c>
    </row>
    <row r="360" spans="1:9" x14ac:dyDescent="0.25">
      <c r="A360" s="6">
        <v>3017</v>
      </c>
      <c r="B360" s="6" t="s">
        <v>23</v>
      </c>
      <c r="C360" s="6" t="s">
        <v>25</v>
      </c>
      <c r="D360" s="6" t="s">
        <v>21</v>
      </c>
      <c r="E360" s="6" t="s">
        <v>24</v>
      </c>
      <c r="F360" s="6" t="s">
        <v>37</v>
      </c>
      <c r="G360" s="6">
        <v>2301</v>
      </c>
      <c r="H360" s="6">
        <v>60</v>
      </c>
      <c r="I360" s="6">
        <v>64</v>
      </c>
    </row>
    <row r="361" spans="1:9" x14ac:dyDescent="0.25">
      <c r="A361" s="6">
        <v>3021</v>
      </c>
      <c r="B361" s="6" t="s">
        <v>23</v>
      </c>
      <c r="C361" s="6" t="s">
        <v>25</v>
      </c>
      <c r="D361" s="6" t="s">
        <v>21</v>
      </c>
      <c r="E361" s="6" t="s">
        <v>24</v>
      </c>
      <c r="F361" s="6" t="s">
        <v>37</v>
      </c>
      <c r="G361" s="6">
        <v>2301</v>
      </c>
      <c r="H361" s="6">
        <v>60</v>
      </c>
      <c r="I361" s="6">
        <v>32</v>
      </c>
    </row>
    <row r="362" spans="1:9" x14ac:dyDescent="0.25">
      <c r="A362" s="6">
        <v>3023</v>
      </c>
      <c r="B362" s="6" t="s">
        <v>23</v>
      </c>
      <c r="C362" s="6" t="s">
        <v>68</v>
      </c>
      <c r="D362" s="6" t="s">
        <v>21</v>
      </c>
      <c r="E362" s="6" t="s">
        <v>24</v>
      </c>
      <c r="F362" s="6" t="s">
        <v>37</v>
      </c>
      <c r="G362" s="6">
        <v>2301</v>
      </c>
      <c r="H362" s="6">
        <v>60</v>
      </c>
      <c r="I362" s="6">
        <v>128</v>
      </c>
    </row>
    <row r="363" spans="1:9" x14ac:dyDescent="0.25">
      <c r="A363" s="6">
        <v>3114</v>
      </c>
      <c r="B363" s="6" t="s">
        <v>23</v>
      </c>
      <c r="C363" s="6" t="s">
        <v>46</v>
      </c>
      <c r="D363" s="6" t="s">
        <v>21</v>
      </c>
      <c r="E363" s="6" t="s">
        <v>24</v>
      </c>
      <c r="F363" s="6" t="s">
        <v>37</v>
      </c>
      <c r="G363" s="6">
        <v>2301</v>
      </c>
      <c r="H363" s="6">
        <v>60</v>
      </c>
      <c r="I363" s="6">
        <v>32</v>
      </c>
    </row>
    <row r="364" spans="1:9" x14ac:dyDescent="0.25">
      <c r="A364" s="6">
        <v>3116</v>
      </c>
      <c r="B364" s="6" t="s">
        <v>23</v>
      </c>
      <c r="C364" s="6" t="s">
        <v>25</v>
      </c>
      <c r="D364" s="6" t="s">
        <v>21</v>
      </c>
      <c r="E364" s="6" t="s">
        <v>24</v>
      </c>
      <c r="F364" s="6" t="s">
        <v>37</v>
      </c>
      <c r="G364" s="6">
        <v>2301</v>
      </c>
      <c r="H364" s="6">
        <v>60</v>
      </c>
      <c r="I364" s="6">
        <v>64</v>
      </c>
    </row>
    <row r="365" spans="1:9" x14ac:dyDescent="0.25">
      <c r="A365" s="6">
        <v>3137</v>
      </c>
      <c r="B365" s="6" t="s">
        <v>23</v>
      </c>
      <c r="C365" s="6" t="s">
        <v>46</v>
      </c>
      <c r="D365" s="6" t="s">
        <v>21</v>
      </c>
      <c r="E365" s="6" t="s">
        <v>24</v>
      </c>
      <c r="F365" s="6" t="s">
        <v>37</v>
      </c>
      <c r="G365" s="6">
        <v>2301</v>
      </c>
      <c r="H365" s="6">
        <v>60</v>
      </c>
      <c r="I365" s="6">
        <v>32</v>
      </c>
    </row>
    <row r="366" spans="1:9" x14ac:dyDescent="0.25">
      <c r="A366" s="6">
        <v>3144</v>
      </c>
      <c r="B366" s="6" t="s">
        <v>23</v>
      </c>
      <c r="C366" s="6" t="s">
        <v>46</v>
      </c>
      <c r="D366" s="6" t="s">
        <v>21</v>
      </c>
      <c r="E366" s="6" t="s">
        <v>24</v>
      </c>
      <c r="F366" s="6" t="s">
        <v>37</v>
      </c>
      <c r="G366" s="6">
        <v>2301</v>
      </c>
      <c r="H366" s="6">
        <v>60</v>
      </c>
      <c r="I366" s="6">
        <v>64</v>
      </c>
    </row>
    <row r="367" spans="1:9" x14ac:dyDescent="0.25">
      <c r="A367" s="6">
        <v>3216</v>
      </c>
      <c r="B367" s="6" t="s">
        <v>23</v>
      </c>
      <c r="C367" s="6" t="s">
        <v>25</v>
      </c>
      <c r="D367" s="6" t="s">
        <v>21</v>
      </c>
      <c r="E367" s="6" t="s">
        <v>24</v>
      </c>
      <c r="F367" s="6" t="s">
        <v>37</v>
      </c>
      <c r="G367" s="6">
        <v>2302</v>
      </c>
      <c r="H367" s="6">
        <v>60</v>
      </c>
      <c r="I367" s="6">
        <v>64</v>
      </c>
    </row>
    <row r="368" spans="1:9" x14ac:dyDescent="0.25">
      <c r="A368" s="6">
        <v>3225</v>
      </c>
      <c r="B368" s="6" t="s">
        <v>23</v>
      </c>
      <c r="C368" s="6" t="s">
        <v>32</v>
      </c>
      <c r="D368" s="6" t="s">
        <v>21</v>
      </c>
      <c r="E368" s="6" t="s">
        <v>24</v>
      </c>
      <c r="F368" s="6" t="s">
        <v>37</v>
      </c>
      <c r="G368" s="6">
        <v>2302</v>
      </c>
      <c r="H368" s="6">
        <v>60</v>
      </c>
      <c r="I368" s="6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F455-1012-4ACE-805C-B2B4678ADCA4}">
  <dimension ref="A1:N228"/>
  <sheetViews>
    <sheetView workbookViewId="0">
      <selection activeCell="L2" sqref="L2"/>
    </sheetView>
  </sheetViews>
  <sheetFormatPr defaultRowHeight="15" x14ac:dyDescent="0.25"/>
  <cols>
    <col min="9" max="9" width="11" customWidth="1"/>
    <col min="10" max="10" width="11" bestFit="1" customWidth="1"/>
    <col min="11" max="11" width="11.140625" customWidth="1"/>
  </cols>
  <sheetData>
    <row r="1" spans="1:14" ht="15.75" x14ac:dyDescent="0.25">
      <c r="A1" s="7" t="s">
        <v>0</v>
      </c>
      <c r="B1" s="7" t="s">
        <v>48</v>
      </c>
      <c r="C1" s="7" t="s">
        <v>2</v>
      </c>
      <c r="D1" s="7" t="s">
        <v>49</v>
      </c>
      <c r="E1" s="7" t="s">
        <v>50</v>
      </c>
      <c r="F1" s="7" t="s">
        <v>7</v>
      </c>
      <c r="G1" s="6" t="s">
        <v>8</v>
      </c>
      <c r="H1" s="8" t="s">
        <v>70</v>
      </c>
      <c r="I1" s="8" t="s">
        <v>69</v>
      </c>
      <c r="J1" s="7" t="s">
        <v>71</v>
      </c>
      <c r="K1" s="7" t="s">
        <v>73</v>
      </c>
      <c r="L1" s="7" t="s">
        <v>75</v>
      </c>
      <c r="M1" s="7" t="s">
        <v>72</v>
      </c>
      <c r="N1" s="18" t="s">
        <v>74</v>
      </c>
    </row>
    <row r="2" spans="1:14" ht="21" x14ac:dyDescent="0.35">
      <c r="A2" s="7">
        <v>2001</v>
      </c>
      <c r="B2" s="7" t="s">
        <v>23</v>
      </c>
      <c r="C2" s="7" t="s">
        <v>36</v>
      </c>
      <c r="D2" s="7" t="s">
        <v>21</v>
      </c>
      <c r="E2" s="7" t="s">
        <v>24</v>
      </c>
      <c r="F2" s="7" t="s">
        <v>37</v>
      </c>
      <c r="G2">
        <v>2214</v>
      </c>
      <c r="H2" s="11">
        <v>5.6</v>
      </c>
      <c r="I2" s="11">
        <v>6.5</v>
      </c>
      <c r="J2" s="12">
        <f>LOG(H2/I2)</f>
        <v>-6.4725329636655185E-2</v>
      </c>
      <c r="K2" s="11">
        <v>11.2</v>
      </c>
      <c r="L2" s="11">
        <v>7.6</v>
      </c>
      <c r="M2" s="16">
        <f>LOG(K2/L2)</f>
        <v>0.16840443038939024</v>
      </c>
      <c r="N2" s="19">
        <f>(K2-L2)-(H2-I2)</f>
        <v>4.5</v>
      </c>
    </row>
    <row r="3" spans="1:14" ht="21" x14ac:dyDescent="0.35">
      <c r="A3" s="7">
        <v>2002</v>
      </c>
      <c r="B3" s="7" t="s">
        <v>14</v>
      </c>
      <c r="C3" s="7" t="s">
        <v>13</v>
      </c>
      <c r="D3" s="7" t="s">
        <v>15</v>
      </c>
      <c r="E3" s="7" t="s">
        <v>15</v>
      </c>
      <c r="F3" s="7" t="s">
        <v>37</v>
      </c>
      <c r="G3">
        <v>2214</v>
      </c>
      <c r="H3" s="11">
        <v>7.2</v>
      </c>
      <c r="I3" s="11">
        <v>6.6</v>
      </c>
      <c r="J3" s="12">
        <f t="shared" ref="J3:J66" si="0">LOG(H3/I3)</f>
        <v>3.7788560889399844E-2</v>
      </c>
      <c r="K3" s="11">
        <v>18.3</v>
      </c>
      <c r="L3" s="11">
        <v>7.8</v>
      </c>
      <c r="M3" s="16">
        <f t="shared" ref="M3:M66" si="1">LOG(K3/L3)</f>
        <v>0.37035648703994911</v>
      </c>
      <c r="N3" s="19">
        <f t="shared" ref="N3:N66" si="2">(K3-L3)-(H3-I3)</f>
        <v>9.8999999999999986</v>
      </c>
    </row>
    <row r="4" spans="1:14" ht="21" x14ac:dyDescent="0.35">
      <c r="A4" s="7">
        <v>2006</v>
      </c>
      <c r="B4" s="7" t="s">
        <v>20</v>
      </c>
      <c r="C4" s="7" t="s">
        <v>30</v>
      </c>
      <c r="D4" s="7" t="s">
        <v>21</v>
      </c>
      <c r="E4" s="7" t="s">
        <v>15</v>
      </c>
      <c r="F4" s="7" t="s">
        <v>37</v>
      </c>
      <c r="G4">
        <v>2214</v>
      </c>
      <c r="H4" s="11">
        <v>3.6</v>
      </c>
      <c r="I4" s="11">
        <v>5.3</v>
      </c>
      <c r="J4" s="12">
        <f t="shared" si="0"/>
        <v>-0.16797336883350172</v>
      </c>
      <c r="K4" s="11">
        <v>12.6</v>
      </c>
      <c r="L4" s="11">
        <v>4.7</v>
      </c>
      <c r="M4" s="16">
        <f t="shared" si="1"/>
        <v>0.42827268718184536</v>
      </c>
      <c r="N4" s="19">
        <f t="shared" si="2"/>
        <v>9.6</v>
      </c>
    </row>
    <row r="5" spans="1:14" ht="21" x14ac:dyDescent="0.35">
      <c r="A5" s="7">
        <v>2015</v>
      </c>
      <c r="B5" s="7" t="s">
        <v>23</v>
      </c>
      <c r="C5" s="7" t="s">
        <v>36</v>
      </c>
      <c r="D5" s="7" t="s">
        <v>21</v>
      </c>
      <c r="E5" s="7" t="s">
        <v>24</v>
      </c>
      <c r="F5" s="7" t="s">
        <v>37</v>
      </c>
      <c r="G5">
        <v>2214</v>
      </c>
      <c r="H5" s="11">
        <v>5.8</v>
      </c>
      <c r="I5" s="11">
        <v>7.3</v>
      </c>
      <c r="J5" s="12">
        <f t="shared" si="0"/>
        <v>-9.9894866557518641E-2</v>
      </c>
      <c r="K5" s="11">
        <v>7.9</v>
      </c>
      <c r="L5" s="11">
        <v>8</v>
      </c>
      <c r="M5" s="16">
        <f t="shared" si="1"/>
        <v>-5.4628957015021382E-3</v>
      </c>
      <c r="N5" s="19">
        <f t="shared" si="2"/>
        <v>1.4000000000000004</v>
      </c>
    </row>
    <row r="6" spans="1:14" ht="21" x14ac:dyDescent="0.35">
      <c r="A6" s="7">
        <v>2017</v>
      </c>
      <c r="B6" s="7" t="s">
        <v>23</v>
      </c>
      <c r="C6" s="7" t="s">
        <v>38</v>
      </c>
      <c r="D6" s="7" t="s">
        <v>21</v>
      </c>
      <c r="E6" s="7" t="s">
        <v>24</v>
      </c>
      <c r="F6" s="7" t="s">
        <v>37</v>
      </c>
      <c r="G6">
        <v>2214</v>
      </c>
      <c r="H6" s="11">
        <v>4.7</v>
      </c>
      <c r="I6" s="11">
        <v>5.5</v>
      </c>
      <c r="J6" s="12">
        <f t="shared" si="0"/>
        <v>-6.8264831558526348E-2</v>
      </c>
      <c r="K6" s="11">
        <v>12.9</v>
      </c>
      <c r="L6" s="11">
        <v>7.2</v>
      </c>
      <c r="M6" s="16">
        <f t="shared" si="1"/>
        <v>0.2532572138679805</v>
      </c>
      <c r="N6" s="19">
        <f t="shared" si="2"/>
        <v>6.5</v>
      </c>
    </row>
    <row r="7" spans="1:14" ht="21" x14ac:dyDescent="0.35">
      <c r="A7" s="7">
        <v>2021</v>
      </c>
      <c r="B7" s="7" t="s">
        <v>23</v>
      </c>
      <c r="C7" s="7" t="s">
        <v>36</v>
      </c>
      <c r="D7" s="7" t="s">
        <v>21</v>
      </c>
      <c r="E7" s="7" t="s">
        <v>24</v>
      </c>
      <c r="F7" s="7" t="s">
        <v>37</v>
      </c>
      <c r="G7">
        <v>2214</v>
      </c>
      <c r="H7" s="11">
        <v>6.2</v>
      </c>
      <c r="I7" s="11">
        <v>4.7</v>
      </c>
      <c r="J7" s="12">
        <f t="shared" si="0"/>
        <v>0.12029383156253638</v>
      </c>
      <c r="K7" s="11">
        <v>11.7</v>
      </c>
      <c r="L7" s="11">
        <v>5.7</v>
      </c>
      <c r="M7" s="16">
        <f t="shared" si="1"/>
        <v>0.31231100607367018</v>
      </c>
      <c r="N7" s="19">
        <f t="shared" si="2"/>
        <v>4.4999999999999991</v>
      </c>
    </row>
    <row r="8" spans="1:14" ht="21" x14ac:dyDescent="0.35">
      <c r="A8" s="7">
        <v>2030</v>
      </c>
      <c r="B8" s="7" t="s">
        <v>23</v>
      </c>
      <c r="C8" s="7" t="s">
        <v>36</v>
      </c>
      <c r="D8" s="7" t="s">
        <v>21</v>
      </c>
      <c r="E8" s="7" t="s">
        <v>24</v>
      </c>
      <c r="F8" s="7" t="s">
        <v>37</v>
      </c>
      <c r="G8">
        <v>2214</v>
      </c>
      <c r="H8" s="11">
        <v>5.9</v>
      </c>
      <c r="I8" s="11">
        <v>4.5999999999999996</v>
      </c>
      <c r="J8" s="12">
        <f t="shared" si="0"/>
        <v>0.10809417996057016</v>
      </c>
      <c r="K8" s="11">
        <v>9.5</v>
      </c>
      <c r="L8" s="11">
        <v>7.4</v>
      </c>
      <c r="M8" s="16">
        <f t="shared" si="1"/>
        <v>0.10849188555787156</v>
      </c>
      <c r="N8" s="19">
        <f t="shared" si="2"/>
        <v>0.79999999999999893</v>
      </c>
    </row>
    <row r="9" spans="1:14" ht="21" x14ac:dyDescent="0.35">
      <c r="A9" s="7">
        <v>2032</v>
      </c>
      <c r="B9" s="7" t="s">
        <v>20</v>
      </c>
      <c r="C9" s="7" t="s">
        <v>30</v>
      </c>
      <c r="D9" s="7" t="s">
        <v>21</v>
      </c>
      <c r="E9" s="7" t="s">
        <v>15</v>
      </c>
      <c r="F9" s="7" t="s">
        <v>37</v>
      </c>
      <c r="G9">
        <v>2214</v>
      </c>
      <c r="H9" s="11">
        <v>6.6</v>
      </c>
      <c r="I9" s="11">
        <v>5.9</v>
      </c>
      <c r="J9" s="12">
        <f t="shared" si="0"/>
        <v>4.8691923899724446E-2</v>
      </c>
      <c r="K9" s="11">
        <v>7.9</v>
      </c>
      <c r="L9" s="11">
        <v>6</v>
      </c>
      <c r="M9" s="16">
        <f t="shared" si="1"/>
        <v>0.11947584090679779</v>
      </c>
      <c r="N9" s="19">
        <f t="shared" si="2"/>
        <v>1.2000000000000011</v>
      </c>
    </row>
    <row r="10" spans="1:14" ht="21" x14ac:dyDescent="0.35">
      <c r="A10" s="7">
        <v>2101</v>
      </c>
      <c r="B10" s="7" t="s">
        <v>23</v>
      </c>
      <c r="C10" s="7" t="s">
        <v>38</v>
      </c>
      <c r="D10" s="7" t="s">
        <v>21</v>
      </c>
      <c r="E10" s="7" t="s">
        <v>24</v>
      </c>
      <c r="F10" s="7" t="s">
        <v>37</v>
      </c>
      <c r="G10">
        <v>2214</v>
      </c>
      <c r="H10" s="11">
        <v>6.4</v>
      </c>
      <c r="I10" s="11">
        <v>6.3</v>
      </c>
      <c r="J10" s="12">
        <f t="shared" si="0"/>
        <v>6.8394245303055367E-3</v>
      </c>
      <c r="K10" s="11">
        <v>14.3</v>
      </c>
      <c r="L10" s="11">
        <v>7.7</v>
      </c>
      <c r="M10" s="16">
        <f t="shared" si="1"/>
        <v>0.26884531229257996</v>
      </c>
      <c r="N10" s="19">
        <f t="shared" si="2"/>
        <v>6.5</v>
      </c>
    </row>
    <row r="11" spans="1:14" ht="21" x14ac:dyDescent="0.35">
      <c r="A11" s="7">
        <v>2102</v>
      </c>
      <c r="B11" s="7" t="s">
        <v>20</v>
      </c>
      <c r="C11" s="7" t="s">
        <v>28</v>
      </c>
      <c r="D11" s="7" t="s">
        <v>21</v>
      </c>
      <c r="E11" s="7" t="s">
        <v>15</v>
      </c>
      <c r="F11" s="7" t="s">
        <v>37</v>
      </c>
      <c r="G11">
        <v>2214</v>
      </c>
      <c r="H11" s="11">
        <v>9.3000000000000007</v>
      </c>
      <c r="I11" s="11">
        <v>5.9</v>
      </c>
      <c r="J11" s="12">
        <f t="shared" si="0"/>
        <v>0.19763093691179093</v>
      </c>
      <c r="K11" s="11">
        <v>10.8</v>
      </c>
      <c r="L11" s="11">
        <v>6</v>
      </c>
      <c r="M11" s="16">
        <f t="shared" si="1"/>
        <v>0.25527250510330607</v>
      </c>
      <c r="N11" s="19">
        <f t="shared" si="2"/>
        <v>1.4000000000000004</v>
      </c>
    </row>
    <row r="12" spans="1:14" ht="21" x14ac:dyDescent="0.35">
      <c r="A12" s="7">
        <v>2105</v>
      </c>
      <c r="B12" s="7" t="s">
        <v>14</v>
      </c>
      <c r="C12" s="7" t="s">
        <v>17</v>
      </c>
      <c r="D12" s="7" t="s">
        <v>15</v>
      </c>
      <c r="E12" s="7" t="s">
        <v>15</v>
      </c>
      <c r="F12" s="7" t="s">
        <v>37</v>
      </c>
      <c r="G12">
        <v>2214</v>
      </c>
      <c r="H12" s="11">
        <v>6.6</v>
      </c>
      <c r="I12" s="11">
        <v>4.5</v>
      </c>
      <c r="J12" s="12">
        <f t="shared" si="0"/>
        <v>0.16633142176652496</v>
      </c>
      <c r="K12" s="11">
        <v>10.7</v>
      </c>
      <c r="L12" s="11">
        <v>5.7</v>
      </c>
      <c r="M12" s="16">
        <f t="shared" si="1"/>
        <v>0.2735089220127182</v>
      </c>
      <c r="N12" s="19">
        <f t="shared" si="2"/>
        <v>2.8999999999999995</v>
      </c>
    </row>
    <row r="13" spans="1:14" ht="21" x14ac:dyDescent="0.35">
      <c r="A13" s="7">
        <v>2107</v>
      </c>
      <c r="B13" s="7" t="s">
        <v>27</v>
      </c>
      <c r="C13" s="7" t="s">
        <v>26</v>
      </c>
      <c r="D13" s="7" t="s">
        <v>15</v>
      </c>
      <c r="E13" s="7" t="s">
        <v>24</v>
      </c>
      <c r="F13" s="7" t="s">
        <v>37</v>
      </c>
      <c r="G13">
        <v>2214</v>
      </c>
      <c r="H13" s="11">
        <v>5.6</v>
      </c>
      <c r="I13" s="11">
        <v>5.0999999999999996</v>
      </c>
      <c r="J13" s="12">
        <f t="shared" si="0"/>
        <v>4.0617850908264086E-2</v>
      </c>
      <c r="K13" s="11">
        <v>13.7</v>
      </c>
      <c r="L13" s="11">
        <v>5.7</v>
      </c>
      <c r="M13" s="16">
        <f t="shared" si="1"/>
        <v>0.38084571148391533</v>
      </c>
      <c r="N13" s="19">
        <f t="shared" si="2"/>
        <v>7.4999999999999991</v>
      </c>
    </row>
    <row r="14" spans="1:14" ht="21" x14ac:dyDescent="0.35">
      <c r="A14" s="7">
        <v>2108</v>
      </c>
      <c r="B14" s="7" t="s">
        <v>27</v>
      </c>
      <c r="C14" s="7" t="s">
        <v>26</v>
      </c>
      <c r="D14" s="7" t="s">
        <v>15</v>
      </c>
      <c r="E14" s="7" t="s">
        <v>24</v>
      </c>
      <c r="F14" s="7" t="s">
        <v>37</v>
      </c>
      <c r="G14">
        <v>2214</v>
      </c>
      <c r="H14" s="11">
        <v>4.2</v>
      </c>
      <c r="I14" s="11">
        <v>4.7</v>
      </c>
      <c r="J14" s="12">
        <f t="shared" si="0"/>
        <v>-4.8848567537817023E-2</v>
      </c>
      <c r="K14" s="11">
        <v>10.7</v>
      </c>
      <c r="L14" s="11">
        <v>4</v>
      </c>
      <c r="M14" s="16">
        <f t="shared" si="1"/>
        <v>0.42732378635724722</v>
      </c>
      <c r="N14" s="19">
        <f t="shared" si="2"/>
        <v>7.1999999999999993</v>
      </c>
    </row>
    <row r="15" spans="1:14" ht="21" x14ac:dyDescent="0.35">
      <c r="A15" s="7">
        <v>2109</v>
      </c>
      <c r="B15" s="7" t="s">
        <v>23</v>
      </c>
      <c r="C15" s="7" t="s">
        <v>22</v>
      </c>
      <c r="D15" s="7" t="s">
        <v>21</v>
      </c>
      <c r="E15" s="7" t="s">
        <v>24</v>
      </c>
      <c r="F15" s="7" t="s">
        <v>37</v>
      </c>
      <c r="G15">
        <v>2214</v>
      </c>
      <c r="H15" s="11">
        <v>7.3</v>
      </c>
      <c r="I15" s="11">
        <v>8</v>
      </c>
      <c r="J15" s="12">
        <f t="shared" si="0"/>
        <v>-3.9767126871487694E-2</v>
      </c>
      <c r="K15" s="11">
        <v>18.600000000000001</v>
      </c>
      <c r="L15" s="11">
        <v>6.4</v>
      </c>
      <c r="M15" s="16">
        <f t="shared" si="1"/>
        <v>0.46333297023402914</v>
      </c>
      <c r="N15" s="19">
        <f t="shared" si="2"/>
        <v>12.900000000000002</v>
      </c>
    </row>
    <row r="16" spans="1:14" ht="21" x14ac:dyDescent="0.35">
      <c r="A16" s="7">
        <v>2111</v>
      </c>
      <c r="B16" s="7" t="s">
        <v>23</v>
      </c>
      <c r="C16" s="7" t="s">
        <v>22</v>
      </c>
      <c r="D16" s="7" t="s">
        <v>21</v>
      </c>
      <c r="E16" s="7" t="s">
        <v>24</v>
      </c>
      <c r="F16" s="7" t="s">
        <v>37</v>
      </c>
      <c r="G16">
        <v>2214</v>
      </c>
      <c r="H16" s="11">
        <v>5.5</v>
      </c>
      <c r="I16" s="11">
        <v>5.4</v>
      </c>
      <c r="J16" s="12">
        <f t="shared" si="0"/>
        <v>7.968929671275278E-3</v>
      </c>
      <c r="K16" s="11">
        <v>11.6</v>
      </c>
      <c r="L16" s="11">
        <v>6.2</v>
      </c>
      <c r="M16" s="16">
        <f t="shared" si="1"/>
        <v>0.27206629972866458</v>
      </c>
      <c r="N16" s="19">
        <f t="shared" si="2"/>
        <v>5.3</v>
      </c>
    </row>
    <row r="17" spans="1:14" ht="21" x14ac:dyDescent="0.35">
      <c r="A17" s="7">
        <v>2113</v>
      </c>
      <c r="B17" s="7" t="s">
        <v>20</v>
      </c>
      <c r="C17" s="7" t="s">
        <v>30</v>
      </c>
      <c r="D17" s="7" t="s">
        <v>21</v>
      </c>
      <c r="E17" s="7" t="s">
        <v>15</v>
      </c>
      <c r="F17" s="7" t="s">
        <v>37</v>
      </c>
      <c r="G17">
        <v>2214</v>
      </c>
      <c r="H17" s="11">
        <v>5</v>
      </c>
      <c r="I17" s="11">
        <v>4.0999999999999996</v>
      </c>
      <c r="J17" s="12">
        <f t="shared" si="0"/>
        <v>8.6186147616283376E-2</v>
      </c>
      <c r="K17" s="11">
        <v>11.5</v>
      </c>
      <c r="L17" s="11">
        <v>4.5999999999999996</v>
      </c>
      <c r="M17" s="16">
        <f t="shared" si="1"/>
        <v>0.3979400086720376</v>
      </c>
      <c r="N17" s="19">
        <f t="shared" si="2"/>
        <v>6</v>
      </c>
    </row>
    <row r="18" spans="1:14" ht="21" x14ac:dyDescent="0.35">
      <c r="A18" s="7">
        <v>2116</v>
      </c>
      <c r="B18" s="7" t="s">
        <v>20</v>
      </c>
      <c r="C18" s="7" t="s">
        <v>30</v>
      </c>
      <c r="D18" s="7" t="s">
        <v>21</v>
      </c>
      <c r="E18" s="7" t="s">
        <v>15</v>
      </c>
      <c r="F18" s="7" t="s">
        <v>37</v>
      </c>
      <c r="G18">
        <v>2214</v>
      </c>
      <c r="H18" s="11">
        <v>4.3</v>
      </c>
      <c r="I18" s="11">
        <v>4.0999999999999996</v>
      </c>
      <c r="J18" s="12">
        <f t="shared" si="0"/>
        <v>2.068459885985105E-2</v>
      </c>
      <c r="K18" s="11">
        <v>10.199999999999999</v>
      </c>
      <c r="L18" s="11">
        <v>7.2</v>
      </c>
      <c r="M18" s="16">
        <f t="shared" si="1"/>
        <v>0.15126767533064905</v>
      </c>
      <c r="N18" s="19">
        <f t="shared" si="2"/>
        <v>2.7999999999999989</v>
      </c>
    </row>
    <row r="19" spans="1:14" ht="21" x14ac:dyDescent="0.35">
      <c r="A19" s="7">
        <v>2117</v>
      </c>
      <c r="B19" s="7" t="s">
        <v>20</v>
      </c>
      <c r="C19" s="7" t="s">
        <v>30</v>
      </c>
      <c r="D19" s="7" t="s">
        <v>21</v>
      </c>
      <c r="E19" s="7" t="s">
        <v>15</v>
      </c>
      <c r="F19" s="7" t="s">
        <v>37</v>
      </c>
      <c r="G19">
        <v>2214</v>
      </c>
      <c r="H19" s="11">
        <v>6.4</v>
      </c>
      <c r="I19" s="11">
        <v>5.4</v>
      </c>
      <c r="J19" s="12">
        <f t="shared" si="0"/>
        <v>7.3786214160918642E-2</v>
      </c>
      <c r="K19" s="11">
        <v>9.1</v>
      </c>
      <c r="L19" s="11">
        <v>7.6</v>
      </c>
      <c r="M19" s="16">
        <f t="shared" si="1"/>
        <v>7.8227800040302276E-2</v>
      </c>
      <c r="N19" s="19">
        <f t="shared" si="2"/>
        <v>0.5</v>
      </c>
    </row>
    <row r="20" spans="1:14" ht="21" x14ac:dyDescent="0.35">
      <c r="A20" s="7">
        <v>2120</v>
      </c>
      <c r="B20" s="7" t="s">
        <v>20</v>
      </c>
      <c r="C20" s="7" t="s">
        <v>40</v>
      </c>
      <c r="D20" s="7" t="s">
        <v>21</v>
      </c>
      <c r="E20" s="7" t="s">
        <v>15</v>
      </c>
      <c r="F20" s="7" t="s">
        <v>37</v>
      </c>
      <c r="G20">
        <v>2214</v>
      </c>
      <c r="H20" s="11">
        <v>3.6</v>
      </c>
      <c r="I20" s="11">
        <v>4.0999999999999996</v>
      </c>
      <c r="J20" s="12">
        <f t="shared" si="0"/>
        <v>-5.6481355952448173E-2</v>
      </c>
      <c r="K20" s="11">
        <v>13.6</v>
      </c>
      <c r="L20" s="11">
        <v>7.5</v>
      </c>
      <c r="M20" s="16">
        <f t="shared" si="1"/>
        <v>0.25847764497851744</v>
      </c>
      <c r="N20" s="19">
        <f t="shared" si="2"/>
        <v>6.6</v>
      </c>
    </row>
    <row r="21" spans="1:14" ht="21" x14ac:dyDescent="0.35">
      <c r="A21" s="7">
        <v>2122</v>
      </c>
      <c r="B21" s="7" t="s">
        <v>14</v>
      </c>
      <c r="C21" s="7" t="s">
        <v>41</v>
      </c>
      <c r="D21" s="7" t="s">
        <v>15</v>
      </c>
      <c r="E21" s="7" t="s">
        <v>15</v>
      </c>
      <c r="F21" s="7" t="s">
        <v>37</v>
      </c>
      <c r="G21">
        <v>2214</v>
      </c>
      <c r="H21" s="11">
        <v>7.1</v>
      </c>
      <c r="I21" s="11">
        <v>6</v>
      </c>
      <c r="J21" s="12">
        <f t="shared" si="0"/>
        <v>7.3107098335431664E-2</v>
      </c>
      <c r="K21" s="11">
        <v>9.3000000000000007</v>
      </c>
      <c r="L21" s="11">
        <v>6</v>
      </c>
      <c r="M21" s="16">
        <f t="shared" si="1"/>
        <v>0.1903316981702915</v>
      </c>
      <c r="N21" s="19">
        <f t="shared" si="2"/>
        <v>2.2000000000000011</v>
      </c>
    </row>
    <row r="22" spans="1:14" ht="21" x14ac:dyDescent="0.35">
      <c r="A22" s="7">
        <v>2126</v>
      </c>
      <c r="B22" s="7" t="s">
        <v>14</v>
      </c>
      <c r="C22" s="7" t="s">
        <v>41</v>
      </c>
      <c r="D22" s="7" t="s">
        <v>15</v>
      </c>
      <c r="E22" s="7" t="s">
        <v>15</v>
      </c>
      <c r="F22" s="7" t="s">
        <v>37</v>
      </c>
      <c r="G22">
        <v>2214</v>
      </c>
      <c r="H22" s="11">
        <v>4.5999999999999996</v>
      </c>
      <c r="I22" s="11">
        <v>4.5999999999999996</v>
      </c>
      <c r="J22" s="12">
        <f t="shared" si="0"/>
        <v>0</v>
      </c>
      <c r="K22" s="11">
        <v>12.3</v>
      </c>
      <c r="L22" s="11">
        <v>5.2</v>
      </c>
      <c r="M22" s="16">
        <f t="shared" si="1"/>
        <v>0.37390176780459877</v>
      </c>
      <c r="N22" s="19">
        <f t="shared" si="2"/>
        <v>7.1000000000000005</v>
      </c>
    </row>
    <row r="23" spans="1:14" ht="21" x14ac:dyDescent="0.35">
      <c r="A23" s="7">
        <v>2131</v>
      </c>
      <c r="B23" s="7" t="s">
        <v>27</v>
      </c>
      <c r="C23" s="7" t="s">
        <v>26</v>
      </c>
      <c r="D23" s="7" t="s">
        <v>15</v>
      </c>
      <c r="E23" s="7" t="s">
        <v>24</v>
      </c>
      <c r="F23" s="7" t="s">
        <v>37</v>
      </c>
      <c r="G23">
        <v>2214</v>
      </c>
      <c r="H23" s="11">
        <v>4.0999999999999996</v>
      </c>
      <c r="I23" s="11">
        <v>5.3</v>
      </c>
      <c r="J23" s="12">
        <f t="shared" si="0"/>
        <v>-0.11149201288105358</v>
      </c>
      <c r="K23" s="11">
        <v>9.1</v>
      </c>
      <c r="L23" s="11">
        <v>6.1</v>
      </c>
      <c r="M23" s="16">
        <f t="shared" si="1"/>
        <v>0.17371155731032659</v>
      </c>
      <c r="N23" s="19">
        <f t="shared" si="2"/>
        <v>4.2</v>
      </c>
    </row>
    <row r="24" spans="1:14" ht="21" x14ac:dyDescent="0.35">
      <c r="A24" s="7">
        <v>2141</v>
      </c>
      <c r="B24" s="7" t="s">
        <v>20</v>
      </c>
      <c r="C24" s="7" t="s">
        <v>42</v>
      </c>
      <c r="D24" s="7" t="s">
        <v>21</v>
      </c>
      <c r="E24" s="7" t="s">
        <v>15</v>
      </c>
      <c r="F24" s="7" t="s">
        <v>37</v>
      </c>
      <c r="G24">
        <v>2214</v>
      </c>
      <c r="H24" s="11">
        <v>4.2</v>
      </c>
      <c r="I24" s="11">
        <v>4.7</v>
      </c>
      <c r="J24" s="12">
        <f t="shared" si="0"/>
        <v>-4.8848567537817023E-2</v>
      </c>
      <c r="K24" s="11">
        <v>10</v>
      </c>
      <c r="L24" s="11">
        <v>5</v>
      </c>
      <c r="M24" s="16">
        <f t="shared" si="1"/>
        <v>0.3010299956639812</v>
      </c>
      <c r="N24" s="19">
        <f t="shared" si="2"/>
        <v>5.5</v>
      </c>
    </row>
    <row r="25" spans="1:14" ht="21" x14ac:dyDescent="0.35">
      <c r="A25" s="7">
        <v>2201</v>
      </c>
      <c r="B25" s="7" t="s">
        <v>14</v>
      </c>
      <c r="C25" s="7" t="s">
        <v>41</v>
      </c>
      <c r="D25" s="7" t="s">
        <v>15</v>
      </c>
      <c r="E25" s="7" t="s">
        <v>15</v>
      </c>
      <c r="F25" s="7" t="s">
        <v>37</v>
      </c>
      <c r="G25">
        <v>2214</v>
      </c>
      <c r="H25" s="11">
        <v>10.1</v>
      </c>
      <c r="I25" s="11">
        <v>8.1999999999999993</v>
      </c>
      <c r="J25" s="12">
        <f t="shared" si="0"/>
        <v>9.0507521398925872E-2</v>
      </c>
      <c r="K25" s="11">
        <v>7.1</v>
      </c>
      <c r="L25" s="11">
        <v>6.2</v>
      </c>
      <c r="M25" s="16">
        <f t="shared" si="1"/>
        <v>5.8866659220821363E-2</v>
      </c>
      <c r="N25" s="19">
        <f t="shared" si="2"/>
        <v>-1.0000000000000009</v>
      </c>
    </row>
    <row r="26" spans="1:14" ht="21" x14ac:dyDescent="0.35">
      <c r="A26" s="7">
        <v>2202</v>
      </c>
      <c r="B26" s="7" t="s">
        <v>14</v>
      </c>
      <c r="C26" s="7" t="s">
        <v>13</v>
      </c>
      <c r="D26" s="7" t="s">
        <v>15</v>
      </c>
      <c r="E26" s="7" t="s">
        <v>15</v>
      </c>
      <c r="F26" s="7" t="s">
        <v>37</v>
      </c>
      <c r="G26">
        <v>2214</v>
      </c>
      <c r="H26" s="11">
        <v>7.1</v>
      </c>
      <c r="I26" s="11">
        <v>6.9</v>
      </c>
      <c r="J26" s="12">
        <f t="shared" si="0"/>
        <v>1.2409257981819931E-2</v>
      </c>
      <c r="K26" s="11">
        <v>15</v>
      </c>
      <c r="L26" s="11">
        <v>7.8</v>
      </c>
      <c r="M26" s="16">
        <f t="shared" si="1"/>
        <v>0.28399665636520083</v>
      </c>
      <c r="N26" s="19">
        <f t="shared" si="2"/>
        <v>7.0000000000000009</v>
      </c>
    </row>
    <row r="27" spans="1:14" ht="21" x14ac:dyDescent="0.35">
      <c r="A27" s="7">
        <v>2205</v>
      </c>
      <c r="B27" s="7" t="s">
        <v>14</v>
      </c>
      <c r="C27" s="7" t="s">
        <v>17</v>
      </c>
      <c r="D27" s="7" t="s">
        <v>15</v>
      </c>
      <c r="E27" s="7" t="s">
        <v>15</v>
      </c>
      <c r="F27" s="7" t="s">
        <v>37</v>
      </c>
      <c r="G27">
        <v>2214</v>
      </c>
      <c r="H27" s="11">
        <v>5.5</v>
      </c>
      <c r="I27" s="11">
        <v>4.7</v>
      </c>
      <c r="J27" s="12">
        <f t="shared" si="0"/>
        <v>6.826483155852639E-2</v>
      </c>
      <c r="K27" s="11">
        <v>13</v>
      </c>
      <c r="L27" s="11">
        <v>6.9</v>
      </c>
      <c r="M27" s="16">
        <f t="shared" si="1"/>
        <v>0.27509426156958144</v>
      </c>
      <c r="N27" s="19">
        <f t="shared" si="2"/>
        <v>5.3</v>
      </c>
    </row>
    <row r="28" spans="1:14" ht="21" x14ac:dyDescent="0.35">
      <c r="A28" s="7">
        <v>2206</v>
      </c>
      <c r="B28" s="7" t="s">
        <v>14</v>
      </c>
      <c r="C28" s="7" t="s">
        <v>17</v>
      </c>
      <c r="D28" s="7" t="s">
        <v>15</v>
      </c>
      <c r="E28" s="7" t="s">
        <v>15</v>
      </c>
      <c r="F28" s="7" t="s">
        <v>37</v>
      </c>
      <c r="G28">
        <v>2214</v>
      </c>
      <c r="H28" s="11">
        <v>8.1</v>
      </c>
      <c r="I28" s="11">
        <v>5.0999999999999996</v>
      </c>
      <c r="J28" s="12">
        <f t="shared" si="0"/>
        <v>0.20091484278071342</v>
      </c>
      <c r="K28" s="11">
        <v>11.5</v>
      </c>
      <c r="L28" s="11">
        <v>5.9</v>
      </c>
      <c r="M28" s="16">
        <f t="shared" si="1"/>
        <v>0.28984582871146747</v>
      </c>
      <c r="N28" s="19">
        <f t="shared" si="2"/>
        <v>2.5999999999999996</v>
      </c>
    </row>
    <row r="29" spans="1:14" ht="21" x14ac:dyDescent="0.35">
      <c r="A29" s="7">
        <v>2207</v>
      </c>
      <c r="B29" s="7" t="s">
        <v>20</v>
      </c>
      <c r="C29" s="7" t="s">
        <v>30</v>
      </c>
      <c r="D29" s="7" t="s">
        <v>21</v>
      </c>
      <c r="E29" s="7" t="s">
        <v>15</v>
      </c>
      <c r="F29" s="7" t="s">
        <v>37</v>
      </c>
      <c r="G29">
        <v>2214</v>
      </c>
      <c r="H29" s="11">
        <v>7.8</v>
      </c>
      <c r="I29" s="11">
        <v>6.5</v>
      </c>
      <c r="J29" s="12">
        <f t="shared" si="0"/>
        <v>7.9181246047624818E-2</v>
      </c>
      <c r="K29" s="11">
        <v>8.6</v>
      </c>
      <c r="L29" s="11">
        <v>5.9</v>
      </c>
      <c r="M29" s="16">
        <f t="shared" si="1"/>
        <v>0.1636464396014235</v>
      </c>
      <c r="N29" s="19">
        <f t="shared" si="2"/>
        <v>1.3999999999999995</v>
      </c>
    </row>
    <row r="30" spans="1:14" ht="21" x14ac:dyDescent="0.35">
      <c r="A30" s="7">
        <v>2208</v>
      </c>
      <c r="B30" s="7" t="s">
        <v>20</v>
      </c>
      <c r="C30" s="7" t="s">
        <v>28</v>
      </c>
      <c r="D30" s="7" t="s">
        <v>21</v>
      </c>
      <c r="E30" s="7" t="s">
        <v>15</v>
      </c>
      <c r="F30" s="7" t="s">
        <v>37</v>
      </c>
      <c r="G30">
        <v>2214</v>
      </c>
      <c r="H30" s="11">
        <v>5.5</v>
      </c>
      <c r="I30" s="11">
        <v>6.6</v>
      </c>
      <c r="J30" s="12">
        <f t="shared" si="0"/>
        <v>-7.9181246047624804E-2</v>
      </c>
      <c r="K30" s="11">
        <v>9</v>
      </c>
      <c r="L30" s="11">
        <v>6</v>
      </c>
      <c r="M30" s="16">
        <f t="shared" si="1"/>
        <v>0.17609125905568124</v>
      </c>
      <c r="N30" s="19">
        <f t="shared" si="2"/>
        <v>4.0999999999999996</v>
      </c>
    </row>
    <row r="31" spans="1:14" ht="21" x14ac:dyDescent="0.35">
      <c r="A31" s="7">
        <v>2209</v>
      </c>
      <c r="B31" s="7" t="s">
        <v>20</v>
      </c>
      <c r="C31" s="7" t="s">
        <v>28</v>
      </c>
      <c r="D31" s="7" t="s">
        <v>21</v>
      </c>
      <c r="E31" s="7" t="s">
        <v>15</v>
      </c>
      <c r="F31" s="7" t="s">
        <v>37</v>
      </c>
      <c r="G31">
        <v>2214</v>
      </c>
      <c r="H31" s="11">
        <v>9.9</v>
      </c>
      <c r="I31" s="11">
        <v>5.8</v>
      </c>
      <c r="J31" s="12">
        <f t="shared" si="0"/>
        <v>0.23220720103461268</v>
      </c>
      <c r="K31" s="11">
        <v>10.9</v>
      </c>
      <c r="L31" s="11">
        <v>6.2</v>
      </c>
      <c r="M31" s="16">
        <f t="shared" si="1"/>
        <v>0.24503480844236974</v>
      </c>
      <c r="N31" s="19">
        <f t="shared" si="2"/>
        <v>0.59999999999999964</v>
      </c>
    </row>
    <row r="32" spans="1:14" ht="21" x14ac:dyDescent="0.35">
      <c r="A32" s="7">
        <v>2211</v>
      </c>
      <c r="B32" s="7" t="s">
        <v>14</v>
      </c>
      <c r="C32" s="7" t="s">
        <v>13</v>
      </c>
      <c r="D32" s="7" t="s">
        <v>15</v>
      </c>
      <c r="E32" s="7" t="s">
        <v>15</v>
      </c>
      <c r="F32" s="7" t="s">
        <v>37</v>
      </c>
      <c r="G32">
        <v>2214</v>
      </c>
      <c r="H32" s="11">
        <v>11.6</v>
      </c>
      <c r="I32" s="11">
        <v>7</v>
      </c>
      <c r="J32" s="12">
        <f t="shared" si="0"/>
        <v>0.21935994921266161</v>
      </c>
      <c r="K32" s="11">
        <v>16.100000000000001</v>
      </c>
      <c r="L32" s="11">
        <v>8.4</v>
      </c>
      <c r="M32" s="16">
        <f t="shared" si="1"/>
        <v>0.28254658996996806</v>
      </c>
      <c r="N32" s="19">
        <f t="shared" si="2"/>
        <v>3.1000000000000014</v>
      </c>
    </row>
    <row r="33" spans="1:14" ht="21" x14ac:dyDescent="0.35">
      <c r="A33" s="7">
        <v>2217</v>
      </c>
      <c r="B33" s="7" t="s">
        <v>27</v>
      </c>
      <c r="C33" s="7" t="s">
        <v>26</v>
      </c>
      <c r="D33" s="7" t="s">
        <v>15</v>
      </c>
      <c r="E33" s="7" t="s">
        <v>24</v>
      </c>
      <c r="F33" s="7" t="s">
        <v>37</v>
      </c>
      <c r="G33">
        <v>2214</v>
      </c>
      <c r="H33" s="11">
        <v>5.8</v>
      </c>
      <c r="I33" s="11">
        <v>4.5</v>
      </c>
      <c r="J33" s="12">
        <f t="shared" si="0"/>
        <v>0.11021547978759355</v>
      </c>
      <c r="K33" s="11">
        <v>9.3000000000000007</v>
      </c>
      <c r="L33" s="11">
        <v>5.8</v>
      </c>
      <c r="M33" s="16">
        <f t="shared" si="1"/>
        <v>0.20505495499099788</v>
      </c>
      <c r="N33" s="19">
        <f t="shared" si="2"/>
        <v>2.2000000000000011</v>
      </c>
    </row>
    <row r="34" spans="1:14" ht="21" x14ac:dyDescent="0.35">
      <c r="A34" s="7">
        <v>2219</v>
      </c>
      <c r="B34" s="7" t="s">
        <v>23</v>
      </c>
      <c r="C34" s="7" t="s">
        <v>38</v>
      </c>
      <c r="D34" s="7" t="s">
        <v>21</v>
      </c>
      <c r="E34" s="7" t="s">
        <v>24</v>
      </c>
      <c r="F34" s="7" t="s">
        <v>37</v>
      </c>
      <c r="G34">
        <v>2214</v>
      </c>
      <c r="H34" s="11">
        <v>4.7</v>
      </c>
      <c r="I34" s="11">
        <v>7.3</v>
      </c>
      <c r="J34" s="12">
        <f t="shared" si="0"/>
        <v>-0.19122500218473842</v>
      </c>
      <c r="K34" s="11">
        <v>12.4</v>
      </c>
      <c r="L34" s="11">
        <v>6.3</v>
      </c>
      <c r="M34" s="16">
        <f t="shared" si="1"/>
        <v>0.29408113570865341</v>
      </c>
      <c r="N34" s="19">
        <f t="shared" si="2"/>
        <v>8.6999999999999993</v>
      </c>
    </row>
    <row r="35" spans="1:14" ht="21" x14ac:dyDescent="0.35">
      <c r="A35" s="7">
        <v>2221</v>
      </c>
      <c r="B35" s="7" t="s">
        <v>20</v>
      </c>
      <c r="C35" s="7" t="s">
        <v>30</v>
      </c>
      <c r="D35" s="7" t="s">
        <v>21</v>
      </c>
      <c r="E35" s="7" t="s">
        <v>15</v>
      </c>
      <c r="F35" s="7" t="s">
        <v>37</v>
      </c>
      <c r="G35">
        <v>2214</v>
      </c>
      <c r="H35" s="11">
        <v>6.5</v>
      </c>
      <c r="I35" s="11">
        <v>7.3</v>
      </c>
      <c r="J35" s="12">
        <f t="shared" si="0"/>
        <v>-5.0409503477600322E-2</v>
      </c>
      <c r="K35" s="11">
        <v>10.199999999999999</v>
      </c>
      <c r="L35" s="11">
        <v>5.3</v>
      </c>
      <c r="M35" s="16">
        <f t="shared" si="1"/>
        <v>0.28432430216112853</v>
      </c>
      <c r="N35" s="19">
        <f t="shared" si="2"/>
        <v>5.6999999999999993</v>
      </c>
    </row>
    <row r="36" spans="1:14" ht="21" x14ac:dyDescent="0.35">
      <c r="A36" s="7">
        <v>2222</v>
      </c>
      <c r="B36" s="7" t="s">
        <v>23</v>
      </c>
      <c r="C36" s="7" t="s">
        <v>22</v>
      </c>
      <c r="D36" s="7" t="s">
        <v>21</v>
      </c>
      <c r="E36" s="7" t="s">
        <v>24</v>
      </c>
      <c r="F36" s="7" t="s">
        <v>37</v>
      </c>
      <c r="G36">
        <v>2214</v>
      </c>
      <c r="H36" s="11">
        <v>7.9</v>
      </c>
      <c r="I36" s="11">
        <v>8.5</v>
      </c>
      <c r="J36" s="12">
        <f t="shared" si="0"/>
        <v>-3.1791834423851292E-2</v>
      </c>
      <c r="K36" s="11">
        <v>10</v>
      </c>
      <c r="L36" s="11">
        <v>7.4</v>
      </c>
      <c r="M36" s="16">
        <f t="shared" si="1"/>
        <v>0.13076828026902379</v>
      </c>
      <c r="N36" s="19">
        <f t="shared" si="2"/>
        <v>3.1999999999999993</v>
      </c>
    </row>
    <row r="37" spans="1:14" ht="21" x14ac:dyDescent="0.35">
      <c r="A37" s="7">
        <v>2223</v>
      </c>
      <c r="B37" s="7" t="s">
        <v>27</v>
      </c>
      <c r="C37" s="7" t="s">
        <v>43</v>
      </c>
      <c r="D37" s="7" t="s">
        <v>15</v>
      </c>
      <c r="E37" s="7" t="s">
        <v>24</v>
      </c>
      <c r="F37" s="7" t="s">
        <v>37</v>
      </c>
      <c r="G37">
        <v>2214</v>
      </c>
      <c r="H37" s="11">
        <v>6.7</v>
      </c>
      <c r="I37" s="11">
        <v>8.1999999999999993</v>
      </c>
      <c r="J37" s="12">
        <f t="shared" si="0"/>
        <v>-8.773904968289023E-2</v>
      </c>
      <c r="K37" s="11">
        <v>10.9</v>
      </c>
      <c r="L37" s="11">
        <v>9</v>
      </c>
      <c r="M37" s="16">
        <f t="shared" si="1"/>
        <v>8.3183988501298808E-2</v>
      </c>
      <c r="N37" s="19">
        <f t="shared" si="2"/>
        <v>3.3999999999999995</v>
      </c>
    </row>
    <row r="38" spans="1:14" ht="21" x14ac:dyDescent="0.35">
      <c r="A38" s="7">
        <v>2227</v>
      </c>
      <c r="B38" s="7" t="s">
        <v>23</v>
      </c>
      <c r="C38" s="7" t="s">
        <v>22</v>
      </c>
      <c r="D38" s="7" t="s">
        <v>21</v>
      </c>
      <c r="E38" s="7" t="s">
        <v>24</v>
      </c>
      <c r="F38" s="7" t="s">
        <v>37</v>
      </c>
      <c r="G38">
        <v>2214</v>
      </c>
      <c r="H38" s="11">
        <v>6.6</v>
      </c>
      <c r="I38" s="11">
        <v>7.2</v>
      </c>
      <c r="J38" s="12">
        <f t="shared" si="0"/>
        <v>-3.7788560889399803E-2</v>
      </c>
      <c r="K38" s="11">
        <v>11.4</v>
      </c>
      <c r="L38" s="11">
        <v>5.7</v>
      </c>
      <c r="M38" s="16">
        <f t="shared" si="1"/>
        <v>0.3010299956639812</v>
      </c>
      <c r="N38" s="19">
        <f t="shared" si="2"/>
        <v>6.3000000000000007</v>
      </c>
    </row>
    <row r="39" spans="1:14" ht="21" x14ac:dyDescent="0.35">
      <c r="A39" s="7">
        <v>2229</v>
      </c>
      <c r="B39" s="7" t="s">
        <v>27</v>
      </c>
      <c r="C39" s="7" t="s">
        <v>43</v>
      </c>
      <c r="D39" s="7" t="s">
        <v>15</v>
      </c>
      <c r="E39" s="7" t="s">
        <v>24</v>
      </c>
      <c r="F39" s="7" t="s">
        <v>37</v>
      </c>
      <c r="G39">
        <v>2214</v>
      </c>
      <c r="H39" s="11">
        <v>4.5999999999999996</v>
      </c>
      <c r="I39" s="11">
        <v>3.7</v>
      </c>
      <c r="J39" s="12">
        <f t="shared" si="0"/>
        <v>9.4556107614578985E-2</v>
      </c>
      <c r="K39" s="11">
        <v>12.2</v>
      </c>
      <c r="L39" s="11">
        <v>6.4</v>
      </c>
      <c r="M39" s="16">
        <f t="shared" si="1"/>
        <v>0.28017985669086098</v>
      </c>
      <c r="N39" s="19">
        <f t="shared" si="2"/>
        <v>4.8999999999999995</v>
      </c>
    </row>
    <row r="40" spans="1:14" ht="21" x14ac:dyDescent="0.35">
      <c r="A40" s="7">
        <v>2231</v>
      </c>
      <c r="B40" s="7" t="s">
        <v>23</v>
      </c>
      <c r="C40" s="7" t="s">
        <v>36</v>
      </c>
      <c r="D40" s="7" t="s">
        <v>21</v>
      </c>
      <c r="E40" s="7" t="s">
        <v>24</v>
      </c>
      <c r="F40" s="7" t="s">
        <v>37</v>
      </c>
      <c r="G40">
        <v>2214</v>
      </c>
      <c r="H40" s="11">
        <v>8.5</v>
      </c>
      <c r="I40" s="11">
        <v>6.3</v>
      </c>
      <c r="J40" s="12">
        <f t="shared" si="0"/>
        <v>0.13007837626071106</v>
      </c>
      <c r="K40" s="11">
        <v>10.9</v>
      </c>
      <c r="L40" s="11">
        <v>5.9</v>
      </c>
      <c r="M40" s="16">
        <f t="shared" si="1"/>
        <v>0.26657448629847946</v>
      </c>
      <c r="N40" s="19">
        <f t="shared" si="2"/>
        <v>2.8</v>
      </c>
    </row>
    <row r="41" spans="1:14" ht="21" x14ac:dyDescent="0.35">
      <c r="A41" s="7">
        <v>2233</v>
      </c>
      <c r="B41" s="7" t="s">
        <v>20</v>
      </c>
      <c r="C41" s="7" t="s">
        <v>44</v>
      </c>
      <c r="D41" s="7" t="s">
        <v>21</v>
      </c>
      <c r="E41" s="7" t="s">
        <v>15</v>
      </c>
      <c r="F41" s="7" t="s">
        <v>37</v>
      </c>
      <c r="G41">
        <v>2214</v>
      </c>
      <c r="H41" s="11">
        <v>6.5</v>
      </c>
      <c r="I41" s="11">
        <v>6.4</v>
      </c>
      <c r="J41" s="12">
        <f t="shared" si="0"/>
        <v>6.7333826589684028E-3</v>
      </c>
      <c r="K41" s="11">
        <v>13.7</v>
      </c>
      <c r="L41" s="11">
        <v>6.4</v>
      </c>
      <c r="M41" s="16">
        <f t="shared" si="1"/>
        <v>0.33054059317251949</v>
      </c>
      <c r="N41" s="19">
        <f t="shared" si="2"/>
        <v>7.1999999999999993</v>
      </c>
    </row>
    <row r="42" spans="1:14" ht="21" x14ac:dyDescent="0.35">
      <c r="A42" s="7">
        <v>2235</v>
      </c>
      <c r="B42" s="7" t="s">
        <v>20</v>
      </c>
      <c r="C42" s="7" t="s">
        <v>44</v>
      </c>
      <c r="D42" s="7" t="s">
        <v>21</v>
      </c>
      <c r="E42" s="7" t="s">
        <v>15</v>
      </c>
      <c r="F42" s="7" t="s">
        <v>37</v>
      </c>
      <c r="G42">
        <v>2214</v>
      </c>
      <c r="H42" s="11">
        <v>6.3</v>
      </c>
      <c r="I42" s="11">
        <v>6</v>
      </c>
      <c r="J42" s="12">
        <f t="shared" si="0"/>
        <v>2.1189299069938092E-2</v>
      </c>
      <c r="K42" s="11">
        <v>9.5</v>
      </c>
      <c r="L42" s="11">
        <v>7</v>
      </c>
      <c r="M42" s="16">
        <f t="shared" si="1"/>
        <v>0.13262556527459096</v>
      </c>
      <c r="N42" s="19">
        <f t="shared" si="2"/>
        <v>2.2000000000000002</v>
      </c>
    </row>
    <row r="43" spans="1:14" ht="21" x14ac:dyDescent="0.35">
      <c r="A43" s="7">
        <v>2236</v>
      </c>
      <c r="B43" s="7" t="s">
        <v>23</v>
      </c>
      <c r="C43" s="7" t="s">
        <v>22</v>
      </c>
      <c r="D43" s="7" t="s">
        <v>21</v>
      </c>
      <c r="E43" s="7" t="s">
        <v>24</v>
      </c>
      <c r="F43" s="7" t="s">
        <v>37</v>
      </c>
      <c r="G43">
        <v>2214</v>
      </c>
      <c r="H43" s="11">
        <v>7.5</v>
      </c>
      <c r="I43" s="11">
        <v>6.8</v>
      </c>
      <c r="J43" s="12">
        <f t="shared" si="0"/>
        <v>4.2552350685463758E-2</v>
      </c>
      <c r="K43" s="11">
        <v>10.1</v>
      </c>
      <c r="L43" s="11">
        <v>6.8</v>
      </c>
      <c r="M43" s="16">
        <f t="shared" si="1"/>
        <v>0.17181246107640627</v>
      </c>
      <c r="N43" s="19">
        <f t="shared" si="2"/>
        <v>2.5999999999999996</v>
      </c>
    </row>
    <row r="44" spans="1:14" ht="21" x14ac:dyDescent="0.35">
      <c r="A44" s="7">
        <v>2238</v>
      </c>
      <c r="B44" s="7" t="s">
        <v>20</v>
      </c>
      <c r="C44" s="7" t="s">
        <v>28</v>
      </c>
      <c r="D44" s="7" t="s">
        <v>21</v>
      </c>
      <c r="E44" s="7" t="s">
        <v>15</v>
      </c>
      <c r="F44" s="7" t="s">
        <v>37</v>
      </c>
      <c r="G44">
        <v>2214</v>
      </c>
      <c r="H44" s="11">
        <v>7.5</v>
      </c>
      <c r="I44" s="11">
        <v>7.9</v>
      </c>
      <c r="J44" s="12">
        <f t="shared" si="0"/>
        <v>-2.2565827898741404E-2</v>
      </c>
      <c r="K44" s="11">
        <v>12.2</v>
      </c>
      <c r="L44" s="11">
        <v>6.4</v>
      </c>
      <c r="M44" s="16">
        <f t="shared" si="1"/>
        <v>0.28017985669086098</v>
      </c>
      <c r="N44" s="19">
        <f t="shared" si="2"/>
        <v>6.1999999999999993</v>
      </c>
    </row>
    <row r="45" spans="1:14" ht="21" x14ac:dyDescent="0.35">
      <c r="A45" s="7">
        <v>2239</v>
      </c>
      <c r="B45" s="7" t="s">
        <v>23</v>
      </c>
      <c r="C45" s="7" t="s">
        <v>38</v>
      </c>
      <c r="D45" s="7" t="s">
        <v>21</v>
      </c>
      <c r="E45" s="7" t="s">
        <v>24</v>
      </c>
      <c r="F45" s="7" t="s">
        <v>37</v>
      </c>
      <c r="G45">
        <v>2214</v>
      </c>
      <c r="H45" s="11">
        <v>5.5</v>
      </c>
      <c r="I45" s="11">
        <v>6.7</v>
      </c>
      <c r="J45" s="12">
        <f t="shared" si="0"/>
        <v>-8.5712113206582632E-2</v>
      </c>
      <c r="K45" s="11">
        <v>12.1</v>
      </c>
      <c r="L45" s="11">
        <v>7.9</v>
      </c>
      <c r="M45" s="16">
        <f t="shared" si="1"/>
        <v>0.18515827902600865</v>
      </c>
      <c r="N45" s="19">
        <f t="shared" si="2"/>
        <v>5.3999999999999995</v>
      </c>
    </row>
    <row r="46" spans="1:14" ht="21" x14ac:dyDescent="0.35">
      <c r="A46" s="7">
        <v>2240</v>
      </c>
      <c r="B46" s="7" t="s">
        <v>20</v>
      </c>
      <c r="C46" s="7" t="s">
        <v>40</v>
      </c>
      <c r="D46" s="7" t="s">
        <v>21</v>
      </c>
      <c r="E46" s="7" t="s">
        <v>15</v>
      </c>
      <c r="F46" s="7" t="s">
        <v>37</v>
      </c>
      <c r="G46">
        <v>2214</v>
      </c>
      <c r="H46" s="11">
        <v>5.6</v>
      </c>
      <c r="I46" s="11">
        <v>6.3</v>
      </c>
      <c r="J46" s="12">
        <f t="shared" si="0"/>
        <v>-5.1152522447381311E-2</v>
      </c>
      <c r="K46" s="11">
        <v>9.1999999999999993</v>
      </c>
      <c r="L46" s="11">
        <v>5.7</v>
      </c>
      <c r="M46" s="16">
        <f t="shared" si="1"/>
        <v>0.20791297167306386</v>
      </c>
      <c r="N46" s="19">
        <f t="shared" si="2"/>
        <v>4.1999999999999993</v>
      </c>
    </row>
    <row r="47" spans="1:14" ht="21" x14ac:dyDescent="0.35">
      <c r="A47" s="7">
        <v>2241</v>
      </c>
      <c r="B47" s="7" t="s">
        <v>20</v>
      </c>
      <c r="C47" s="7" t="s">
        <v>44</v>
      </c>
      <c r="D47" s="7" t="s">
        <v>21</v>
      </c>
      <c r="E47" s="7" t="s">
        <v>15</v>
      </c>
      <c r="F47" s="7" t="s">
        <v>37</v>
      </c>
      <c r="G47">
        <v>2214</v>
      </c>
      <c r="H47" s="11">
        <v>5.9</v>
      </c>
      <c r="I47" s="11">
        <v>3.4</v>
      </c>
      <c r="J47" s="12">
        <f t="shared" si="0"/>
        <v>0.23937309459988909</v>
      </c>
      <c r="K47" s="11">
        <v>17</v>
      </c>
      <c r="L47" s="11">
        <v>5.7</v>
      </c>
      <c r="M47" s="16">
        <f t="shared" si="1"/>
        <v>0.47457406570578253</v>
      </c>
      <c r="N47" s="19">
        <f t="shared" si="2"/>
        <v>8.8000000000000007</v>
      </c>
    </row>
    <row r="48" spans="1:14" ht="21" x14ac:dyDescent="0.35">
      <c r="A48" s="7">
        <v>2244</v>
      </c>
      <c r="B48" s="7" t="s">
        <v>20</v>
      </c>
      <c r="C48" s="7" t="s">
        <v>42</v>
      </c>
      <c r="D48" s="7" t="s">
        <v>21</v>
      </c>
      <c r="E48" s="7" t="s">
        <v>15</v>
      </c>
      <c r="F48" s="7" t="s">
        <v>37</v>
      </c>
      <c r="G48">
        <v>2214</v>
      </c>
      <c r="H48" s="11">
        <v>5.2</v>
      </c>
      <c r="I48" s="11">
        <v>7</v>
      </c>
      <c r="J48" s="12">
        <f t="shared" si="0"/>
        <v>-0.12909469637945767</v>
      </c>
      <c r="K48" s="11">
        <v>7.8</v>
      </c>
      <c r="L48" s="11">
        <v>5.7</v>
      </c>
      <c r="M48" s="16">
        <f t="shared" si="1"/>
        <v>0.136219747017989</v>
      </c>
      <c r="N48" s="19">
        <f t="shared" si="2"/>
        <v>3.8999999999999995</v>
      </c>
    </row>
    <row r="49" spans="1:14" ht="21" x14ac:dyDescent="0.35">
      <c r="A49" s="7">
        <v>2245</v>
      </c>
      <c r="B49" s="7" t="s">
        <v>20</v>
      </c>
      <c r="C49" s="7" t="s">
        <v>42</v>
      </c>
      <c r="D49" s="7" t="s">
        <v>21</v>
      </c>
      <c r="E49" s="7" t="s">
        <v>15</v>
      </c>
      <c r="F49" s="7" t="s">
        <v>37</v>
      </c>
      <c r="G49">
        <v>2214</v>
      </c>
      <c r="H49" s="11">
        <v>3.2</v>
      </c>
      <c r="I49" s="11">
        <v>6.1</v>
      </c>
      <c r="J49" s="12">
        <f t="shared" si="0"/>
        <v>-0.28017985669086104</v>
      </c>
      <c r="K49" s="11">
        <v>10</v>
      </c>
      <c r="L49" s="11">
        <v>6.4</v>
      </c>
      <c r="M49" s="16">
        <f t="shared" si="1"/>
        <v>0.19382002601611284</v>
      </c>
      <c r="N49" s="19">
        <f t="shared" si="2"/>
        <v>6.4999999999999991</v>
      </c>
    </row>
    <row r="50" spans="1:14" ht="21" x14ac:dyDescent="0.35">
      <c r="A50" s="7">
        <v>2502</v>
      </c>
      <c r="B50" s="7" t="s">
        <v>20</v>
      </c>
      <c r="C50" s="7" t="s">
        <v>30</v>
      </c>
      <c r="D50" s="7" t="s">
        <v>21</v>
      </c>
      <c r="E50" s="7" t="s">
        <v>15</v>
      </c>
      <c r="F50" s="7" t="s">
        <v>16</v>
      </c>
      <c r="G50">
        <v>2304</v>
      </c>
      <c r="H50" s="13">
        <v>5.0999999999999996</v>
      </c>
      <c r="I50" s="13">
        <v>5</v>
      </c>
      <c r="J50" s="12">
        <f t="shared" si="0"/>
        <v>8.6001717619175692E-3</v>
      </c>
      <c r="K50" s="16">
        <v>10.7</v>
      </c>
      <c r="L50" s="16">
        <v>5.2</v>
      </c>
      <c r="M50" s="16">
        <f t="shared" si="1"/>
        <v>0.31338043405041044</v>
      </c>
      <c r="N50" s="19">
        <f t="shared" si="2"/>
        <v>5.3999999999999995</v>
      </c>
    </row>
    <row r="51" spans="1:14" ht="21" x14ac:dyDescent="0.35">
      <c r="A51" s="7">
        <v>2505</v>
      </c>
      <c r="B51" s="7" t="s">
        <v>14</v>
      </c>
      <c r="C51" s="7" t="s">
        <v>13</v>
      </c>
      <c r="D51" s="7" t="s">
        <v>15</v>
      </c>
      <c r="E51" s="7" t="s">
        <v>15</v>
      </c>
      <c r="F51" s="7" t="s">
        <v>16</v>
      </c>
      <c r="G51">
        <v>2304</v>
      </c>
      <c r="H51" s="13">
        <v>6.8</v>
      </c>
      <c r="I51" s="13">
        <v>5.3</v>
      </c>
      <c r="J51" s="12">
        <f t="shared" si="0"/>
        <v>0.10823304310544725</v>
      </c>
      <c r="K51" s="16">
        <v>13</v>
      </c>
      <c r="L51" s="16">
        <v>7.9</v>
      </c>
      <c r="M51" s="16">
        <f t="shared" si="1"/>
        <v>0.21631626101639531</v>
      </c>
      <c r="N51" s="19">
        <f t="shared" si="2"/>
        <v>3.5999999999999996</v>
      </c>
    </row>
    <row r="52" spans="1:14" ht="21" x14ac:dyDescent="0.35">
      <c r="A52" s="7">
        <v>2510</v>
      </c>
      <c r="B52" s="7" t="s">
        <v>14</v>
      </c>
      <c r="C52" s="7" t="s">
        <v>17</v>
      </c>
      <c r="D52" s="7" t="s">
        <v>15</v>
      </c>
      <c r="E52" s="7" t="s">
        <v>15</v>
      </c>
      <c r="F52" s="7" t="s">
        <v>16</v>
      </c>
      <c r="G52">
        <v>2304</v>
      </c>
      <c r="H52" s="13">
        <v>5.8</v>
      </c>
      <c r="I52" s="13">
        <v>6.2</v>
      </c>
      <c r="J52" s="12">
        <f t="shared" si="0"/>
        <v>-2.8963695935316617E-2</v>
      </c>
      <c r="K52" s="16">
        <v>10.7</v>
      </c>
      <c r="L52" s="16">
        <v>6.9</v>
      </c>
      <c r="M52" s="16">
        <f t="shared" si="1"/>
        <v>0.19053468694795425</v>
      </c>
      <c r="N52" s="19">
        <f t="shared" si="2"/>
        <v>4.1999999999999993</v>
      </c>
    </row>
    <row r="53" spans="1:14" ht="21" x14ac:dyDescent="0.35">
      <c r="A53" s="7">
        <v>2512</v>
      </c>
      <c r="B53" s="7" t="s">
        <v>20</v>
      </c>
      <c r="C53" s="7" t="s">
        <v>19</v>
      </c>
      <c r="D53" s="7" t="s">
        <v>21</v>
      </c>
      <c r="E53" s="7" t="s">
        <v>15</v>
      </c>
      <c r="F53" s="7" t="s">
        <v>16</v>
      </c>
      <c r="G53">
        <v>2304</v>
      </c>
      <c r="H53" s="13">
        <v>7.1</v>
      </c>
      <c r="I53" s="13">
        <v>5.2</v>
      </c>
      <c r="J53" s="12">
        <f t="shared" si="0"/>
        <v>0.13525500508427607</v>
      </c>
      <c r="K53" s="16">
        <v>10.7</v>
      </c>
      <c r="L53" s="16">
        <v>8.5</v>
      </c>
      <c r="M53" s="16">
        <f t="shared" si="1"/>
        <v>9.9964851970916896E-2</v>
      </c>
      <c r="N53" s="19">
        <f t="shared" si="2"/>
        <v>0.29999999999999982</v>
      </c>
    </row>
    <row r="54" spans="1:14" ht="21" x14ac:dyDescent="0.35">
      <c r="A54" s="7">
        <v>2514</v>
      </c>
      <c r="B54" s="7" t="s">
        <v>20</v>
      </c>
      <c r="C54" s="7" t="s">
        <v>19</v>
      </c>
      <c r="D54" s="7" t="s">
        <v>21</v>
      </c>
      <c r="E54" s="7" t="s">
        <v>15</v>
      </c>
      <c r="F54" s="7" t="s">
        <v>16</v>
      </c>
      <c r="G54">
        <v>2304</v>
      </c>
      <c r="H54" s="13">
        <v>4.9000000000000004</v>
      </c>
      <c r="I54" s="13">
        <v>5.2</v>
      </c>
      <c r="J54" s="12">
        <f t="shared" si="0"/>
        <v>-2.5807263606285505E-2</v>
      </c>
      <c r="K54" s="16">
        <v>10.4</v>
      </c>
      <c r="L54" s="16">
        <v>7.4</v>
      </c>
      <c r="M54" s="16">
        <f t="shared" si="1"/>
        <v>0.14780161956780419</v>
      </c>
      <c r="N54" s="19">
        <f t="shared" si="2"/>
        <v>3.3</v>
      </c>
    </row>
    <row r="55" spans="1:14" ht="21" x14ac:dyDescent="0.35">
      <c r="A55" s="7">
        <v>2517</v>
      </c>
      <c r="B55" s="7" t="s">
        <v>14</v>
      </c>
      <c r="C55" s="7" t="s">
        <v>18</v>
      </c>
      <c r="D55" s="7" t="s">
        <v>15</v>
      </c>
      <c r="E55" s="7" t="s">
        <v>15</v>
      </c>
      <c r="F55" s="7" t="s">
        <v>16</v>
      </c>
      <c r="G55">
        <v>2304</v>
      </c>
      <c r="H55" s="13">
        <v>5.8</v>
      </c>
      <c r="I55" s="13">
        <v>5.2</v>
      </c>
      <c r="J55" s="12">
        <f t="shared" si="0"/>
        <v>4.7424649928138135E-2</v>
      </c>
      <c r="K55" s="16">
        <v>12.7</v>
      </c>
      <c r="L55" s="16">
        <v>8.1999999999999993</v>
      </c>
      <c r="M55" s="16">
        <f t="shared" si="1"/>
        <v>0.18998986857224018</v>
      </c>
      <c r="N55" s="19">
        <f t="shared" si="2"/>
        <v>3.9000000000000004</v>
      </c>
    </row>
    <row r="56" spans="1:14" ht="21" x14ac:dyDescent="0.35">
      <c r="A56" s="7">
        <v>2520</v>
      </c>
      <c r="B56" s="7" t="s">
        <v>20</v>
      </c>
      <c r="C56" s="7" t="s">
        <v>19</v>
      </c>
      <c r="D56" s="7" t="s">
        <v>21</v>
      </c>
      <c r="E56" s="7" t="s">
        <v>15</v>
      </c>
      <c r="F56" s="7" t="s">
        <v>16</v>
      </c>
      <c r="G56">
        <v>2304</v>
      </c>
      <c r="H56" s="13">
        <v>5.3</v>
      </c>
      <c r="I56" s="13">
        <v>5.8</v>
      </c>
      <c r="J56" s="12">
        <f t="shared" si="0"/>
        <v>-3.9152123962148212E-2</v>
      </c>
      <c r="K56" s="16">
        <v>11.4</v>
      </c>
      <c r="L56" s="16">
        <v>6.7</v>
      </c>
      <c r="M56" s="16">
        <f t="shared" si="1"/>
        <v>0.23083004863564616</v>
      </c>
      <c r="N56" s="19">
        <f t="shared" si="2"/>
        <v>5.2</v>
      </c>
    </row>
    <row r="57" spans="1:14" ht="21" x14ac:dyDescent="0.35">
      <c r="A57" s="7">
        <v>2523</v>
      </c>
      <c r="B57" s="7" t="s">
        <v>14</v>
      </c>
      <c r="C57" s="7" t="s">
        <v>17</v>
      </c>
      <c r="D57" s="7" t="s">
        <v>15</v>
      </c>
      <c r="E57" s="7" t="s">
        <v>15</v>
      </c>
      <c r="F57" s="7" t="s">
        <v>16</v>
      </c>
      <c r="G57">
        <v>2304</v>
      </c>
      <c r="H57" s="13">
        <v>5.9</v>
      </c>
      <c r="I57" s="13">
        <v>6.1</v>
      </c>
      <c r="J57" s="12">
        <f t="shared" si="0"/>
        <v>-1.447782336862281E-2</v>
      </c>
      <c r="K57" s="16">
        <v>14.4</v>
      </c>
      <c r="L57" s="16">
        <v>9.6</v>
      </c>
      <c r="M57" s="16">
        <f t="shared" si="1"/>
        <v>0.17609125905568124</v>
      </c>
      <c r="N57" s="19">
        <f t="shared" si="2"/>
        <v>5</v>
      </c>
    </row>
    <row r="58" spans="1:14" ht="21" x14ac:dyDescent="0.35">
      <c r="A58" s="7">
        <v>2526</v>
      </c>
      <c r="B58" s="7" t="s">
        <v>23</v>
      </c>
      <c r="C58" s="7" t="s">
        <v>22</v>
      </c>
      <c r="D58" s="7" t="s">
        <v>21</v>
      </c>
      <c r="E58" s="7" t="s">
        <v>24</v>
      </c>
      <c r="F58" s="7" t="s">
        <v>16</v>
      </c>
      <c r="G58">
        <v>2304</v>
      </c>
      <c r="H58" s="13">
        <v>4.8</v>
      </c>
      <c r="I58" s="13">
        <v>5.4</v>
      </c>
      <c r="J58" s="12">
        <f t="shared" si="0"/>
        <v>-5.1152522447381311E-2</v>
      </c>
      <c r="K58" s="16">
        <v>9.6</v>
      </c>
      <c r="L58" s="16">
        <v>6.3</v>
      </c>
      <c r="M58" s="16">
        <f t="shared" si="1"/>
        <v>0.18293068358598669</v>
      </c>
      <c r="N58" s="19">
        <f t="shared" si="2"/>
        <v>3.9000000000000004</v>
      </c>
    </row>
    <row r="59" spans="1:14" ht="21" x14ac:dyDescent="0.35">
      <c r="A59" s="7">
        <v>2534</v>
      </c>
      <c r="B59" s="7" t="s">
        <v>14</v>
      </c>
      <c r="C59" s="7" t="s">
        <v>45</v>
      </c>
      <c r="D59" s="7" t="s">
        <v>15</v>
      </c>
      <c r="E59" s="7" t="s">
        <v>15</v>
      </c>
      <c r="F59" s="7" t="s">
        <v>16</v>
      </c>
      <c r="G59">
        <v>2304</v>
      </c>
      <c r="H59" s="13">
        <v>5.7</v>
      </c>
      <c r="I59" s="13">
        <v>5.5</v>
      </c>
      <c r="J59" s="12">
        <f t="shared" si="0"/>
        <v>1.5512166178247558E-2</v>
      </c>
      <c r="K59" s="16">
        <v>10.8</v>
      </c>
      <c r="L59" s="16">
        <v>7.3</v>
      </c>
      <c r="M59" s="16">
        <f t="shared" si="1"/>
        <v>0.17010089536649384</v>
      </c>
      <c r="N59" s="19">
        <f t="shared" si="2"/>
        <v>3.3000000000000007</v>
      </c>
    </row>
    <row r="60" spans="1:14" ht="21" x14ac:dyDescent="0.35">
      <c r="A60" s="7">
        <v>2537</v>
      </c>
      <c r="B60" s="7" t="s">
        <v>23</v>
      </c>
      <c r="C60" s="7" t="s">
        <v>22</v>
      </c>
      <c r="D60" s="7" t="s">
        <v>21</v>
      </c>
      <c r="E60" s="8" t="s">
        <v>24</v>
      </c>
      <c r="F60" s="7" t="s">
        <v>16</v>
      </c>
      <c r="G60">
        <v>2304</v>
      </c>
      <c r="H60" s="14">
        <v>6.6</v>
      </c>
      <c r="I60" s="14">
        <v>7.6</v>
      </c>
      <c r="J60" s="12">
        <f t="shared" si="0"/>
        <v>-6.1269656738922658E-2</v>
      </c>
      <c r="K60" s="16">
        <v>9.9</v>
      </c>
      <c r="L60" s="16">
        <v>5.6</v>
      </c>
      <c r="M60" s="16">
        <f t="shared" si="1"/>
        <v>0.24744716759134955</v>
      </c>
      <c r="N60" s="19">
        <f t="shared" si="2"/>
        <v>5.3000000000000007</v>
      </c>
    </row>
    <row r="61" spans="1:14" ht="21" x14ac:dyDescent="0.35">
      <c r="A61" s="7">
        <v>2548</v>
      </c>
      <c r="B61" s="7" t="s">
        <v>14</v>
      </c>
      <c r="C61" s="7" t="s">
        <v>13</v>
      </c>
      <c r="D61" s="7" t="s">
        <v>15</v>
      </c>
      <c r="E61" s="8" t="s">
        <v>15</v>
      </c>
      <c r="F61" s="7" t="s">
        <v>16</v>
      </c>
      <c r="G61">
        <v>2304</v>
      </c>
      <c r="H61" s="13">
        <v>4.9000000000000004</v>
      </c>
      <c r="I61" s="13">
        <v>6.4</v>
      </c>
      <c r="J61" s="12">
        <f t="shared" si="0"/>
        <v>-0.11598389395537351</v>
      </c>
      <c r="K61" s="16">
        <v>13.3</v>
      </c>
      <c r="L61" s="16">
        <v>7.3</v>
      </c>
      <c r="M61" s="16">
        <f t="shared" si="1"/>
        <v>0.26052878084662995</v>
      </c>
      <c r="N61" s="19">
        <f t="shared" si="2"/>
        <v>7.5000000000000009</v>
      </c>
    </row>
    <row r="62" spans="1:14" ht="21" x14ac:dyDescent="0.35">
      <c r="A62" s="7">
        <v>2553</v>
      </c>
      <c r="B62" s="7" t="s">
        <v>20</v>
      </c>
      <c r="C62" s="7" t="s">
        <v>19</v>
      </c>
      <c r="D62" s="7" t="s">
        <v>21</v>
      </c>
      <c r="E62" s="8" t="s">
        <v>15</v>
      </c>
      <c r="F62" s="7" t="s">
        <v>16</v>
      </c>
      <c r="G62">
        <v>2304</v>
      </c>
      <c r="H62" s="13">
        <v>5.7</v>
      </c>
      <c r="I62" s="13">
        <v>5.5</v>
      </c>
      <c r="J62" s="12">
        <f t="shared" si="0"/>
        <v>1.5512166178247558E-2</v>
      </c>
      <c r="K62" s="16">
        <v>9</v>
      </c>
      <c r="L62" s="16">
        <v>6.8</v>
      </c>
      <c r="M62" s="16">
        <f t="shared" si="1"/>
        <v>0.12173359673308855</v>
      </c>
      <c r="N62" s="19">
        <f t="shared" si="2"/>
        <v>2</v>
      </c>
    </row>
    <row r="63" spans="1:14" ht="21" x14ac:dyDescent="0.35">
      <c r="A63" s="7">
        <v>2554</v>
      </c>
      <c r="B63" s="7" t="s">
        <v>23</v>
      </c>
      <c r="C63" s="7" t="s">
        <v>25</v>
      </c>
      <c r="D63" s="7" t="s">
        <v>21</v>
      </c>
      <c r="E63" s="8" t="s">
        <v>24</v>
      </c>
      <c r="F63" s="7" t="s">
        <v>16</v>
      </c>
      <c r="G63">
        <v>2304</v>
      </c>
      <c r="H63" s="13">
        <v>3.9</v>
      </c>
      <c r="I63" s="13">
        <v>4.8</v>
      </c>
      <c r="J63" s="12">
        <f t="shared" si="0"/>
        <v>-9.0176630349088016E-2</v>
      </c>
      <c r="K63" s="16">
        <v>11.7</v>
      </c>
      <c r="L63" s="16">
        <v>6.5</v>
      </c>
      <c r="M63" s="16">
        <f t="shared" si="1"/>
        <v>0.25527250510330601</v>
      </c>
      <c r="N63" s="19">
        <f t="shared" si="2"/>
        <v>6.1</v>
      </c>
    </row>
    <row r="64" spans="1:14" ht="21" x14ac:dyDescent="0.35">
      <c r="A64" s="7">
        <v>2555</v>
      </c>
      <c r="B64" s="7" t="s">
        <v>27</v>
      </c>
      <c r="C64" s="7" t="s">
        <v>26</v>
      </c>
      <c r="D64" s="7" t="s">
        <v>15</v>
      </c>
      <c r="E64" s="8" t="s">
        <v>24</v>
      </c>
      <c r="F64" s="7" t="s">
        <v>16</v>
      </c>
      <c r="G64">
        <v>2304</v>
      </c>
      <c r="H64" s="13">
        <v>6.5</v>
      </c>
      <c r="I64" s="13">
        <v>6.7</v>
      </c>
      <c r="J64" s="12">
        <f t="shared" si="0"/>
        <v>-1.3161446057970849E-2</v>
      </c>
      <c r="K64" s="16">
        <v>7.9</v>
      </c>
      <c r="L64" s="17">
        <v>5.8</v>
      </c>
      <c r="M64" s="16">
        <f t="shared" si="1"/>
        <v>0.13419909772750421</v>
      </c>
      <c r="N64" s="19">
        <f t="shared" si="2"/>
        <v>2.3000000000000007</v>
      </c>
    </row>
    <row r="65" spans="1:14" ht="21" x14ac:dyDescent="0.35">
      <c r="A65" s="7">
        <v>2557</v>
      </c>
      <c r="B65" s="7" t="s">
        <v>23</v>
      </c>
      <c r="C65" s="7" t="s">
        <v>25</v>
      </c>
      <c r="D65" s="7" t="s">
        <v>21</v>
      </c>
      <c r="E65" s="8" t="s">
        <v>24</v>
      </c>
      <c r="F65" s="7" t="s">
        <v>16</v>
      </c>
      <c r="G65">
        <v>2304</v>
      </c>
      <c r="H65" s="13">
        <v>6.6</v>
      </c>
      <c r="I65" s="13">
        <v>6.6</v>
      </c>
      <c r="J65" s="12">
        <f t="shared" si="0"/>
        <v>0</v>
      </c>
      <c r="K65" s="16">
        <v>8.9</v>
      </c>
      <c r="L65" s="16">
        <v>6.7</v>
      </c>
      <c r="M65" s="16">
        <f t="shared" si="1"/>
        <v>0.12331520394408638</v>
      </c>
      <c r="N65" s="19">
        <f t="shared" si="2"/>
        <v>2.2000000000000002</v>
      </c>
    </row>
    <row r="66" spans="1:14" ht="21" x14ac:dyDescent="0.35">
      <c r="A66" s="7">
        <v>2558</v>
      </c>
      <c r="B66" s="7" t="s">
        <v>14</v>
      </c>
      <c r="C66" s="7" t="s">
        <v>18</v>
      </c>
      <c r="D66" s="7" t="s">
        <v>15</v>
      </c>
      <c r="E66" s="8" t="s">
        <v>15</v>
      </c>
      <c r="F66" s="7" t="s">
        <v>16</v>
      </c>
      <c r="G66">
        <v>2304</v>
      </c>
      <c r="H66" s="13">
        <v>6.2</v>
      </c>
      <c r="I66" s="13">
        <v>6.9</v>
      </c>
      <c r="J66" s="12">
        <f t="shared" si="0"/>
        <v>-4.6457401239001446E-2</v>
      </c>
      <c r="K66" s="16">
        <v>11.5</v>
      </c>
      <c r="L66" s="16">
        <v>6.7</v>
      </c>
      <c r="M66" s="16">
        <f t="shared" si="1"/>
        <v>0.23462303765278522</v>
      </c>
      <c r="N66" s="19">
        <f t="shared" si="2"/>
        <v>5.5</v>
      </c>
    </row>
    <row r="67" spans="1:14" ht="21" x14ac:dyDescent="0.35">
      <c r="A67" s="7">
        <v>2561</v>
      </c>
      <c r="B67" s="7" t="s">
        <v>27</v>
      </c>
      <c r="C67" s="7" t="s">
        <v>29</v>
      </c>
      <c r="D67" s="7" t="s">
        <v>15</v>
      </c>
      <c r="E67" s="8" t="s">
        <v>24</v>
      </c>
      <c r="F67" s="7" t="s">
        <v>16</v>
      </c>
      <c r="G67">
        <v>2304</v>
      </c>
      <c r="H67" s="13">
        <v>7.2</v>
      </c>
      <c r="I67" s="13">
        <v>6.6</v>
      </c>
      <c r="J67" s="12">
        <f t="shared" ref="J67:J130" si="3">LOG(H67/I67)</f>
        <v>3.7788560889399844E-2</v>
      </c>
      <c r="K67" s="16">
        <v>14.8</v>
      </c>
      <c r="L67" s="16">
        <v>7.3</v>
      </c>
      <c r="M67" s="16">
        <f t="shared" ref="M67:M130" si="4">LOG(K67/L67)</f>
        <v>0.30693885527450149</v>
      </c>
      <c r="N67" s="19">
        <f t="shared" ref="N67:N130" si="5">(K67-L67)-(H67-I67)</f>
        <v>6.9</v>
      </c>
    </row>
    <row r="68" spans="1:14" ht="21" x14ac:dyDescent="0.35">
      <c r="A68" s="7">
        <v>2562</v>
      </c>
      <c r="B68" s="7" t="s">
        <v>14</v>
      </c>
      <c r="C68" s="7" t="s">
        <v>45</v>
      </c>
      <c r="D68" s="7" t="s">
        <v>15</v>
      </c>
      <c r="E68" s="8" t="s">
        <v>15</v>
      </c>
      <c r="F68" s="7" t="s">
        <v>16</v>
      </c>
      <c r="G68">
        <v>2304</v>
      </c>
      <c r="H68" s="13">
        <v>5</v>
      </c>
      <c r="I68" s="13">
        <v>6.3</v>
      </c>
      <c r="J68" s="12">
        <f t="shared" si="3"/>
        <v>-0.10037054511756287</v>
      </c>
      <c r="K68" s="16">
        <v>10.3</v>
      </c>
      <c r="L68" s="16">
        <v>5.5</v>
      </c>
      <c r="M68" s="16">
        <f t="shared" si="4"/>
        <v>0.27247453521092835</v>
      </c>
      <c r="N68" s="19">
        <f t="shared" si="5"/>
        <v>6.1000000000000005</v>
      </c>
    </row>
    <row r="69" spans="1:14" ht="21" x14ac:dyDescent="0.35">
      <c r="A69" s="7">
        <v>2564</v>
      </c>
      <c r="B69" s="7" t="s">
        <v>20</v>
      </c>
      <c r="C69" s="7" t="s">
        <v>28</v>
      </c>
      <c r="D69" s="7" t="s">
        <v>21</v>
      </c>
      <c r="E69" s="8" t="s">
        <v>15</v>
      </c>
      <c r="F69" s="7" t="s">
        <v>16</v>
      </c>
      <c r="G69">
        <v>2304</v>
      </c>
      <c r="H69" s="13">
        <v>6.4</v>
      </c>
      <c r="I69" s="13">
        <v>5.9</v>
      </c>
      <c r="J69" s="12">
        <f t="shared" si="3"/>
        <v>3.5327962341742979E-2</v>
      </c>
      <c r="K69" s="16">
        <v>11.6</v>
      </c>
      <c r="L69" s="16">
        <v>6.7</v>
      </c>
      <c r="M69" s="16">
        <f t="shared" si="4"/>
        <v>0.23838318652609203</v>
      </c>
      <c r="N69" s="19">
        <f t="shared" si="5"/>
        <v>4.3999999999999995</v>
      </c>
    </row>
    <row r="70" spans="1:14" ht="21" x14ac:dyDescent="0.35">
      <c r="A70" s="7">
        <v>2565</v>
      </c>
      <c r="B70" s="7" t="s">
        <v>27</v>
      </c>
      <c r="C70" s="7" t="s">
        <v>29</v>
      </c>
      <c r="D70" s="7" t="s">
        <v>15</v>
      </c>
      <c r="E70" s="8" t="s">
        <v>24</v>
      </c>
      <c r="F70" s="7" t="s">
        <v>16</v>
      </c>
      <c r="G70">
        <v>2304</v>
      </c>
      <c r="H70" s="13">
        <v>6.6</v>
      </c>
      <c r="I70" s="13">
        <v>8.1999999999999993</v>
      </c>
      <c r="J70" s="12">
        <f t="shared" si="3"/>
        <v>-9.4269916841847989E-2</v>
      </c>
      <c r="K70" s="16">
        <v>15</v>
      </c>
      <c r="L70" s="16">
        <v>6.5</v>
      </c>
      <c r="M70" s="16">
        <f t="shared" si="4"/>
        <v>0.3631779024128256</v>
      </c>
      <c r="N70" s="19">
        <f t="shared" si="5"/>
        <v>10.1</v>
      </c>
    </row>
    <row r="71" spans="1:14" ht="21" x14ac:dyDescent="0.35">
      <c r="A71" s="7">
        <v>2566</v>
      </c>
      <c r="B71" s="7" t="s">
        <v>20</v>
      </c>
      <c r="C71" s="7" t="s">
        <v>30</v>
      </c>
      <c r="D71" s="7" t="s">
        <v>21</v>
      </c>
      <c r="E71" s="8" t="s">
        <v>15</v>
      </c>
      <c r="F71" s="7" t="s">
        <v>16</v>
      </c>
      <c r="G71">
        <v>2304</v>
      </c>
      <c r="H71" s="13">
        <v>6</v>
      </c>
      <c r="I71" s="13">
        <v>6.5</v>
      </c>
      <c r="J71" s="12">
        <f t="shared" si="3"/>
        <v>-3.4762106259211917E-2</v>
      </c>
      <c r="K71" s="16">
        <v>10.7</v>
      </c>
      <c r="L71" s="16">
        <v>6.7</v>
      </c>
      <c r="M71" s="16">
        <f t="shared" si="4"/>
        <v>0.20330897498438319</v>
      </c>
      <c r="N71" s="19">
        <f t="shared" si="5"/>
        <v>4.4999999999999991</v>
      </c>
    </row>
    <row r="72" spans="1:14" ht="21" x14ac:dyDescent="0.35">
      <c r="A72" s="7">
        <v>2568</v>
      </c>
      <c r="B72" s="7" t="s">
        <v>27</v>
      </c>
      <c r="C72" s="7" t="s">
        <v>29</v>
      </c>
      <c r="D72" s="7" t="s">
        <v>15</v>
      </c>
      <c r="E72" s="8" t="s">
        <v>24</v>
      </c>
      <c r="F72" s="7" t="s">
        <v>16</v>
      </c>
      <c r="G72">
        <v>2304</v>
      </c>
      <c r="H72" s="13">
        <v>6.4</v>
      </c>
      <c r="I72" s="13">
        <v>6.5</v>
      </c>
      <c r="J72" s="12">
        <f t="shared" si="3"/>
        <v>-6.7333826589683786E-3</v>
      </c>
      <c r="K72" s="16">
        <v>6.7</v>
      </c>
      <c r="L72" s="16">
        <v>6.2</v>
      </c>
      <c r="M72" s="16">
        <f t="shared" si="4"/>
        <v>3.3683113202572529E-2</v>
      </c>
      <c r="N72" s="19">
        <f t="shared" si="5"/>
        <v>0.59999999999999964</v>
      </c>
    </row>
    <row r="73" spans="1:14" ht="21" x14ac:dyDescent="0.35">
      <c r="A73" s="7">
        <v>2569</v>
      </c>
      <c r="B73" s="7" t="s">
        <v>27</v>
      </c>
      <c r="C73" s="7" t="s">
        <v>29</v>
      </c>
      <c r="D73" s="7" t="s">
        <v>15</v>
      </c>
      <c r="E73" s="8" t="s">
        <v>24</v>
      </c>
      <c r="F73" s="7" t="s">
        <v>16</v>
      </c>
      <c r="G73">
        <v>2304</v>
      </c>
      <c r="H73" s="13">
        <v>5.5</v>
      </c>
      <c r="I73" s="13">
        <v>5.8</v>
      </c>
      <c r="J73" s="12">
        <f t="shared" si="3"/>
        <v>-2.3065304068693435E-2</v>
      </c>
      <c r="K73" s="16">
        <v>10.9</v>
      </c>
      <c r="L73" s="16">
        <v>6.4</v>
      </c>
      <c r="M73" s="16">
        <f t="shared" si="4"/>
        <v>0.23124652395673648</v>
      </c>
      <c r="N73" s="19">
        <f t="shared" si="5"/>
        <v>4.8</v>
      </c>
    </row>
    <row r="74" spans="1:14" ht="21" x14ac:dyDescent="0.35">
      <c r="A74" s="7">
        <v>2571</v>
      </c>
      <c r="B74" s="7" t="s">
        <v>27</v>
      </c>
      <c r="C74" s="7" t="s">
        <v>29</v>
      </c>
      <c r="D74" s="7" t="s">
        <v>15</v>
      </c>
      <c r="E74" s="8" t="s">
        <v>24</v>
      </c>
      <c r="F74" s="7" t="s">
        <v>16</v>
      </c>
      <c r="G74">
        <v>2304</v>
      </c>
      <c r="H74" s="13">
        <v>6</v>
      </c>
      <c r="I74" s="13">
        <v>5.3</v>
      </c>
      <c r="J74" s="12">
        <f t="shared" si="3"/>
        <v>5.3875380782854573E-2</v>
      </c>
      <c r="K74" s="16">
        <v>11.7</v>
      </c>
      <c r="L74" s="16">
        <v>6.5</v>
      </c>
      <c r="M74" s="16">
        <f t="shared" si="4"/>
        <v>0.25527250510330601</v>
      </c>
      <c r="N74" s="19">
        <f t="shared" si="5"/>
        <v>4.4999999999999991</v>
      </c>
    </row>
    <row r="75" spans="1:14" ht="21" x14ac:dyDescent="0.35">
      <c r="A75" s="7">
        <v>2572</v>
      </c>
      <c r="B75" s="7" t="s">
        <v>14</v>
      </c>
      <c r="C75" s="7" t="s">
        <v>18</v>
      </c>
      <c r="D75" s="7" t="s">
        <v>15</v>
      </c>
      <c r="E75" s="8" t="s">
        <v>15</v>
      </c>
      <c r="F75" s="7" t="s">
        <v>16</v>
      </c>
      <c r="G75">
        <v>2304</v>
      </c>
      <c r="H75" s="13">
        <v>5.3</v>
      </c>
      <c r="I75" s="13">
        <v>4.8</v>
      </c>
      <c r="J75" s="12">
        <f t="shared" si="3"/>
        <v>4.3034632225201853E-2</v>
      </c>
      <c r="K75" s="16">
        <v>8.4</v>
      </c>
      <c r="L75" s="16">
        <v>7.4</v>
      </c>
      <c r="M75" s="16">
        <f t="shared" si="4"/>
        <v>5.5047566330905448E-2</v>
      </c>
      <c r="N75" s="19">
        <f t="shared" si="5"/>
        <v>0.5</v>
      </c>
    </row>
    <row r="76" spans="1:14" ht="21" x14ac:dyDescent="0.35">
      <c r="A76" s="7">
        <v>2575</v>
      </c>
      <c r="B76" s="7" t="s">
        <v>20</v>
      </c>
      <c r="C76" s="7" t="s">
        <v>30</v>
      </c>
      <c r="D76" s="7" t="s">
        <v>21</v>
      </c>
      <c r="E76" s="8" t="s">
        <v>15</v>
      </c>
      <c r="F76" s="7" t="s">
        <v>16</v>
      </c>
      <c r="G76">
        <v>2304</v>
      </c>
      <c r="H76" s="13">
        <v>5.5</v>
      </c>
      <c r="I76" s="13">
        <v>7</v>
      </c>
      <c r="J76" s="12">
        <f t="shared" si="3"/>
        <v>-0.104735350520013</v>
      </c>
      <c r="K76" s="16">
        <v>11.2</v>
      </c>
      <c r="L76" s="16">
        <v>7.4</v>
      </c>
      <c r="M76" s="16">
        <f t="shared" si="4"/>
        <v>0.17998630293920537</v>
      </c>
      <c r="N76" s="19">
        <f t="shared" si="5"/>
        <v>5.2999999999999989</v>
      </c>
    </row>
    <row r="77" spans="1:14" ht="21" x14ac:dyDescent="0.35">
      <c r="A77" s="7">
        <v>2578</v>
      </c>
      <c r="B77" s="7" t="s">
        <v>27</v>
      </c>
      <c r="C77" s="7" t="s">
        <v>26</v>
      </c>
      <c r="D77" s="7" t="s">
        <v>15</v>
      </c>
      <c r="E77" s="8" t="s">
        <v>24</v>
      </c>
      <c r="F77" s="7" t="s">
        <v>16</v>
      </c>
      <c r="G77">
        <v>2304</v>
      </c>
      <c r="H77" s="13">
        <v>6.3</v>
      </c>
      <c r="I77" s="13">
        <v>7.3</v>
      </c>
      <c r="J77" s="12">
        <f t="shared" si="3"/>
        <v>-6.3982310666874195E-2</v>
      </c>
      <c r="K77" s="16">
        <v>7.9</v>
      </c>
      <c r="L77" s="16">
        <v>7.2</v>
      </c>
      <c r="M77" s="16">
        <f t="shared" si="4"/>
        <v>4.0294594859173007E-2</v>
      </c>
      <c r="N77" s="19">
        <f t="shared" si="5"/>
        <v>1.7000000000000002</v>
      </c>
    </row>
    <row r="78" spans="1:14" ht="21" x14ac:dyDescent="0.35">
      <c r="A78" s="7">
        <v>2579</v>
      </c>
      <c r="B78" s="7" t="s">
        <v>20</v>
      </c>
      <c r="C78" s="7" t="s">
        <v>44</v>
      </c>
      <c r="D78" s="7" t="s">
        <v>21</v>
      </c>
      <c r="E78" s="8" t="s">
        <v>15</v>
      </c>
      <c r="F78" s="7" t="s">
        <v>16</v>
      </c>
      <c r="G78">
        <v>2304</v>
      </c>
      <c r="H78" s="13">
        <v>5.7</v>
      </c>
      <c r="I78" s="13">
        <v>4.0999999999999996</v>
      </c>
      <c r="J78" s="12">
        <f t="shared" si="3"/>
        <v>0.14309099895275595</v>
      </c>
      <c r="K78" s="16">
        <v>14.1</v>
      </c>
      <c r="L78" s="16">
        <v>7.1</v>
      </c>
      <c r="M78" s="16">
        <f t="shared" si="4"/>
        <v>0.29796076393630461</v>
      </c>
      <c r="N78" s="19">
        <f t="shared" si="5"/>
        <v>5.3999999999999995</v>
      </c>
    </row>
    <row r="79" spans="1:14" ht="21" x14ac:dyDescent="0.35">
      <c r="A79" s="7">
        <v>2581</v>
      </c>
      <c r="B79" s="7" t="s">
        <v>23</v>
      </c>
      <c r="C79" s="7" t="s">
        <v>22</v>
      </c>
      <c r="D79" s="7" t="s">
        <v>21</v>
      </c>
      <c r="E79" s="8" t="s">
        <v>24</v>
      </c>
      <c r="F79" s="7" t="s">
        <v>16</v>
      </c>
      <c r="G79">
        <v>2304</v>
      </c>
      <c r="H79" s="13">
        <v>6.4</v>
      </c>
      <c r="I79" s="13">
        <v>5.8</v>
      </c>
      <c r="J79" s="12">
        <f t="shared" si="3"/>
        <v>4.2751980420949881E-2</v>
      </c>
      <c r="K79" s="16">
        <v>9.9</v>
      </c>
      <c r="L79" s="16">
        <v>6.1</v>
      </c>
      <c r="M79" s="16">
        <f t="shared" si="4"/>
        <v>0.21030535958678295</v>
      </c>
      <c r="N79" s="19">
        <f t="shared" si="5"/>
        <v>3.2</v>
      </c>
    </row>
    <row r="80" spans="1:14" ht="21" x14ac:dyDescent="0.35">
      <c r="A80" s="7">
        <v>2589</v>
      </c>
      <c r="B80" s="7" t="s">
        <v>14</v>
      </c>
      <c r="C80" s="7" t="s">
        <v>45</v>
      </c>
      <c r="D80" s="7" t="s">
        <v>15</v>
      </c>
      <c r="E80" s="8" t="s">
        <v>15</v>
      </c>
      <c r="F80" s="7" t="s">
        <v>16</v>
      </c>
      <c r="G80">
        <v>2304</v>
      </c>
      <c r="H80" s="13">
        <v>4.7</v>
      </c>
      <c r="I80" s="13">
        <v>4.8</v>
      </c>
      <c r="J80" s="12">
        <f t="shared" si="3"/>
        <v>-9.1433794398697206E-3</v>
      </c>
      <c r="K80" s="16">
        <v>14.5</v>
      </c>
      <c r="L80" s="16">
        <v>6.6</v>
      </c>
      <c r="M80" s="16">
        <f t="shared" si="4"/>
        <v>0.34182406669310628</v>
      </c>
      <c r="N80" s="19">
        <f t="shared" si="5"/>
        <v>8</v>
      </c>
    </row>
    <row r="81" spans="1:14" ht="21" x14ac:dyDescent="0.35">
      <c r="A81" s="7">
        <v>2590</v>
      </c>
      <c r="B81" s="7" t="s">
        <v>20</v>
      </c>
      <c r="C81" s="7" t="s">
        <v>30</v>
      </c>
      <c r="D81" s="7" t="s">
        <v>21</v>
      </c>
      <c r="E81" s="8" t="s">
        <v>15</v>
      </c>
      <c r="F81" s="7" t="s">
        <v>16</v>
      </c>
      <c r="G81">
        <v>2304</v>
      </c>
      <c r="H81" s="13">
        <v>5.6</v>
      </c>
      <c r="I81" s="13">
        <v>6.9</v>
      </c>
      <c r="J81" s="12">
        <f t="shared" si="3"/>
        <v>-9.0661063731054925E-2</v>
      </c>
      <c r="K81" s="16">
        <v>12.8</v>
      </c>
      <c r="L81" s="16">
        <v>6.5</v>
      </c>
      <c r="M81" s="16">
        <f t="shared" si="4"/>
        <v>0.29429661300501281</v>
      </c>
      <c r="N81" s="19">
        <f t="shared" si="5"/>
        <v>7.6000000000000014</v>
      </c>
    </row>
    <row r="82" spans="1:14" ht="21" x14ac:dyDescent="0.35">
      <c r="A82" s="7">
        <v>2591</v>
      </c>
      <c r="B82" s="7" t="s">
        <v>27</v>
      </c>
      <c r="C82" s="7" t="s">
        <v>26</v>
      </c>
      <c r="D82" s="7" t="s">
        <v>15</v>
      </c>
      <c r="E82" s="8" t="s">
        <v>24</v>
      </c>
      <c r="F82" s="7" t="s">
        <v>16</v>
      </c>
      <c r="G82">
        <v>2304</v>
      </c>
      <c r="H82" s="13">
        <v>5.6</v>
      </c>
      <c r="I82" s="13">
        <v>4.5999999999999996</v>
      </c>
      <c r="J82" s="12">
        <f t="shared" si="3"/>
        <v>8.5430195324626368E-2</v>
      </c>
      <c r="K82" s="16">
        <v>9.9</v>
      </c>
      <c r="L82" s="16">
        <v>7.1</v>
      </c>
      <c r="M82" s="16">
        <f t="shared" si="4"/>
        <v>0.14437684587847469</v>
      </c>
      <c r="N82" s="19">
        <f t="shared" si="5"/>
        <v>1.8000000000000007</v>
      </c>
    </row>
    <row r="83" spans="1:14" ht="21" x14ac:dyDescent="0.35">
      <c r="A83" s="7">
        <v>2592</v>
      </c>
      <c r="B83" s="7" t="s">
        <v>20</v>
      </c>
      <c r="C83" s="7" t="s">
        <v>44</v>
      </c>
      <c r="D83" s="7" t="s">
        <v>21</v>
      </c>
      <c r="E83" s="8" t="s">
        <v>15</v>
      </c>
      <c r="F83" s="7" t="s">
        <v>16</v>
      </c>
      <c r="G83">
        <v>2304</v>
      </c>
      <c r="H83" s="13">
        <v>6.2</v>
      </c>
      <c r="I83" s="13">
        <v>7.2</v>
      </c>
      <c r="J83" s="12">
        <f t="shared" si="3"/>
        <v>-6.4940806933014558E-2</v>
      </c>
      <c r="K83" s="16">
        <v>12.8</v>
      </c>
      <c r="L83" s="16">
        <v>8.6999999999999993</v>
      </c>
      <c r="M83" s="16">
        <f t="shared" si="4"/>
        <v>0.1676907170292499</v>
      </c>
      <c r="N83" s="19">
        <f t="shared" si="5"/>
        <v>5.1000000000000014</v>
      </c>
    </row>
    <row r="84" spans="1:14" ht="21" x14ac:dyDescent="0.35">
      <c r="A84" s="7">
        <v>2593</v>
      </c>
      <c r="B84" s="7" t="s">
        <v>20</v>
      </c>
      <c r="C84" s="7" t="s">
        <v>44</v>
      </c>
      <c r="D84" s="7" t="s">
        <v>21</v>
      </c>
      <c r="E84" s="8" t="s">
        <v>15</v>
      </c>
      <c r="F84" s="7" t="s">
        <v>16</v>
      </c>
      <c r="G84">
        <v>2304</v>
      </c>
      <c r="H84" s="13">
        <v>7.4</v>
      </c>
      <c r="I84" s="13">
        <v>6.2</v>
      </c>
      <c r="J84" s="12">
        <f t="shared" si="3"/>
        <v>7.6840030232722331E-2</v>
      </c>
      <c r="K84" s="16">
        <v>12.8</v>
      </c>
      <c r="L84" s="16">
        <v>7.8</v>
      </c>
      <c r="M84" s="16">
        <f t="shared" si="4"/>
        <v>0.215115366957388</v>
      </c>
      <c r="N84" s="19">
        <f t="shared" si="5"/>
        <v>3.8000000000000007</v>
      </c>
    </row>
    <row r="85" spans="1:14" ht="21" x14ac:dyDescent="0.35">
      <c r="A85" s="7">
        <v>2595</v>
      </c>
      <c r="B85" s="7" t="s">
        <v>20</v>
      </c>
      <c r="C85" s="7" t="s">
        <v>30</v>
      </c>
      <c r="D85" s="7" t="s">
        <v>21</v>
      </c>
      <c r="E85" s="8" t="s">
        <v>15</v>
      </c>
      <c r="F85" s="7" t="s">
        <v>16</v>
      </c>
      <c r="G85">
        <v>2304</v>
      </c>
      <c r="H85" s="13">
        <v>5.2</v>
      </c>
      <c r="I85" s="13">
        <v>6.9</v>
      </c>
      <c r="J85" s="12">
        <f t="shared" si="3"/>
        <v>-0.12284574710245615</v>
      </c>
      <c r="K85" s="16">
        <v>11</v>
      </c>
      <c r="L85" s="16">
        <v>7</v>
      </c>
      <c r="M85" s="16">
        <f t="shared" si="4"/>
        <v>0.19629464514396819</v>
      </c>
      <c r="N85" s="19">
        <f t="shared" si="5"/>
        <v>5.7</v>
      </c>
    </row>
    <row r="86" spans="1:14" ht="21" x14ac:dyDescent="0.35">
      <c r="A86" s="7">
        <v>2598</v>
      </c>
      <c r="B86" s="7" t="s">
        <v>20</v>
      </c>
      <c r="C86" s="7" t="s">
        <v>28</v>
      </c>
      <c r="D86" s="7" t="s">
        <v>21</v>
      </c>
      <c r="E86" s="8" t="s">
        <v>15</v>
      </c>
      <c r="F86" s="7" t="s">
        <v>16</v>
      </c>
      <c r="G86">
        <v>2304</v>
      </c>
      <c r="H86" s="13">
        <v>6.7</v>
      </c>
      <c r="I86" s="13">
        <v>7.5</v>
      </c>
      <c r="J86" s="12">
        <f t="shared" si="3"/>
        <v>-4.8986460690873625E-2</v>
      </c>
      <c r="K86" s="16">
        <v>10.6</v>
      </c>
      <c r="L86" s="16">
        <v>7.5</v>
      </c>
      <c r="M86" s="16">
        <f t="shared" si="4"/>
        <v>0.1502446018730702</v>
      </c>
      <c r="N86" s="19">
        <f t="shared" si="5"/>
        <v>3.8999999999999995</v>
      </c>
    </row>
    <row r="87" spans="1:14" ht="21" x14ac:dyDescent="0.35">
      <c r="A87" s="7">
        <v>2609</v>
      </c>
      <c r="B87" s="7" t="s">
        <v>20</v>
      </c>
      <c r="C87" s="7" t="s">
        <v>19</v>
      </c>
      <c r="D87" s="7" t="s">
        <v>21</v>
      </c>
      <c r="E87" s="8" t="s">
        <v>15</v>
      </c>
      <c r="F87" s="7" t="s">
        <v>16</v>
      </c>
      <c r="G87">
        <v>2304</v>
      </c>
      <c r="H87" s="15">
        <v>5.6</v>
      </c>
      <c r="I87" s="15">
        <v>6.3</v>
      </c>
      <c r="J87" s="12">
        <f t="shared" si="3"/>
        <v>-5.1152522447381311E-2</v>
      </c>
      <c r="K87" s="16">
        <v>12.8</v>
      </c>
      <c r="L87" s="16">
        <v>7.3</v>
      </c>
      <c r="M87" s="16">
        <f t="shared" si="4"/>
        <v>0.24388710952741249</v>
      </c>
      <c r="N87" s="19">
        <f t="shared" si="5"/>
        <v>6.2000000000000011</v>
      </c>
    </row>
    <row r="88" spans="1:14" ht="21" x14ac:dyDescent="0.35">
      <c r="A88" s="7">
        <v>2613</v>
      </c>
      <c r="B88" s="7" t="s">
        <v>23</v>
      </c>
      <c r="C88" s="7" t="s">
        <v>22</v>
      </c>
      <c r="D88" s="7" t="s">
        <v>21</v>
      </c>
      <c r="E88" s="8" t="s">
        <v>24</v>
      </c>
      <c r="F88" s="7" t="s">
        <v>16</v>
      </c>
      <c r="G88">
        <v>2304</v>
      </c>
      <c r="H88" s="15">
        <v>5.7</v>
      </c>
      <c r="I88" s="15">
        <v>5.6</v>
      </c>
      <c r="J88" s="12">
        <f t="shared" si="3"/>
        <v>7.6868286662910498E-3</v>
      </c>
      <c r="K88" s="16">
        <v>12.7</v>
      </c>
      <c r="L88" s="16">
        <v>7.9</v>
      </c>
      <c r="M88" s="16">
        <f t="shared" si="4"/>
        <v>0.20617662966551542</v>
      </c>
      <c r="N88" s="19">
        <f t="shared" si="5"/>
        <v>4.6999999999999984</v>
      </c>
    </row>
    <row r="89" spans="1:14" ht="21" x14ac:dyDescent="0.35">
      <c r="A89" s="7">
        <v>2615</v>
      </c>
      <c r="B89" s="7" t="s">
        <v>14</v>
      </c>
      <c r="C89" s="7" t="s">
        <v>34</v>
      </c>
      <c r="D89" s="7" t="s">
        <v>15</v>
      </c>
      <c r="E89" s="8" t="s">
        <v>15</v>
      </c>
      <c r="F89" s="7" t="s">
        <v>16</v>
      </c>
      <c r="G89">
        <v>2304</v>
      </c>
      <c r="H89" s="15">
        <v>5.8</v>
      </c>
      <c r="I89" s="15">
        <v>6.1</v>
      </c>
      <c r="J89" s="12">
        <f t="shared" si="3"/>
        <v>-2.1901841447829726E-2</v>
      </c>
      <c r="K89" s="16">
        <v>8.8000000000000007</v>
      </c>
      <c r="L89" s="16">
        <v>6.3</v>
      </c>
      <c r="M89" s="16">
        <f t="shared" si="4"/>
        <v>0.14514212269658697</v>
      </c>
      <c r="N89" s="19">
        <f t="shared" si="5"/>
        <v>2.8000000000000007</v>
      </c>
    </row>
    <row r="90" spans="1:14" ht="21" x14ac:dyDescent="0.35">
      <c r="A90" s="7">
        <v>2618</v>
      </c>
      <c r="B90" s="7" t="s">
        <v>14</v>
      </c>
      <c r="C90" s="7" t="s">
        <v>45</v>
      </c>
      <c r="D90" s="7" t="s">
        <v>15</v>
      </c>
      <c r="E90" s="8" t="s">
        <v>15</v>
      </c>
      <c r="F90" s="7" t="s">
        <v>16</v>
      </c>
      <c r="G90">
        <v>2304</v>
      </c>
      <c r="H90" s="15">
        <v>5.9</v>
      </c>
      <c r="I90" s="15">
        <v>6.4</v>
      </c>
      <c r="J90" s="12">
        <f t="shared" si="3"/>
        <v>-3.5327962341742979E-2</v>
      </c>
      <c r="K90" s="16">
        <v>14</v>
      </c>
      <c r="L90" s="16">
        <v>6.7</v>
      </c>
      <c r="M90" s="16">
        <f t="shared" si="4"/>
        <v>0.32005323297741156</v>
      </c>
      <c r="N90" s="19">
        <f t="shared" si="5"/>
        <v>7.8</v>
      </c>
    </row>
    <row r="91" spans="1:14" ht="21" x14ac:dyDescent="0.35">
      <c r="A91" s="7">
        <v>2620</v>
      </c>
      <c r="B91" s="7" t="s">
        <v>20</v>
      </c>
      <c r="C91" s="7" t="s">
        <v>28</v>
      </c>
      <c r="D91" s="7" t="s">
        <v>21</v>
      </c>
      <c r="E91" s="8" t="s">
        <v>15</v>
      </c>
      <c r="F91" s="7" t="s">
        <v>16</v>
      </c>
      <c r="G91">
        <v>2304</v>
      </c>
      <c r="H91" s="15">
        <v>5.6</v>
      </c>
      <c r="I91" s="15">
        <v>6.1</v>
      </c>
      <c r="J91" s="12">
        <f t="shared" si="3"/>
        <v>-3.7141808004566609E-2</v>
      </c>
      <c r="K91" s="16">
        <v>6.1</v>
      </c>
      <c r="L91" s="16">
        <v>5.5</v>
      </c>
      <c r="M91" s="16">
        <f t="shared" si="4"/>
        <v>4.4967145516523199E-2</v>
      </c>
      <c r="N91" s="19">
        <f t="shared" si="5"/>
        <v>1.0999999999999996</v>
      </c>
    </row>
    <row r="92" spans="1:14" ht="21" x14ac:dyDescent="0.35">
      <c r="A92" s="7">
        <v>2624</v>
      </c>
      <c r="B92" s="7" t="s">
        <v>20</v>
      </c>
      <c r="C92" s="7" t="s">
        <v>30</v>
      </c>
      <c r="D92" s="7" t="s">
        <v>21</v>
      </c>
      <c r="E92" s="8" t="s">
        <v>15</v>
      </c>
      <c r="F92" s="7" t="s">
        <v>16</v>
      </c>
      <c r="G92">
        <v>2304</v>
      </c>
      <c r="H92" s="15">
        <v>6.5</v>
      </c>
      <c r="I92" s="15">
        <v>6.3</v>
      </c>
      <c r="J92" s="12">
        <f t="shared" si="3"/>
        <v>1.3572807189273915E-2</v>
      </c>
      <c r="K92" s="16">
        <v>11.4</v>
      </c>
      <c r="L92" s="16">
        <v>5.4</v>
      </c>
      <c r="M92" s="16">
        <f t="shared" si="4"/>
        <v>0.3245110915135041</v>
      </c>
      <c r="N92" s="19">
        <f t="shared" si="5"/>
        <v>5.8</v>
      </c>
    </row>
    <row r="93" spans="1:14" ht="21" x14ac:dyDescent="0.35">
      <c r="A93" s="7">
        <v>2626</v>
      </c>
      <c r="B93" s="7" t="s">
        <v>20</v>
      </c>
      <c r="C93" s="7" t="s">
        <v>44</v>
      </c>
      <c r="D93" s="7" t="s">
        <v>21</v>
      </c>
      <c r="E93" s="8" t="s">
        <v>15</v>
      </c>
      <c r="F93" s="7" t="s">
        <v>16</v>
      </c>
      <c r="G93">
        <v>2304</v>
      </c>
      <c r="H93" s="15">
        <v>6.5</v>
      </c>
      <c r="I93" s="15">
        <v>5.3</v>
      </c>
      <c r="J93" s="12">
        <f t="shared" si="3"/>
        <v>8.8637487042066504E-2</v>
      </c>
      <c r="K93" s="16">
        <v>12.3</v>
      </c>
      <c r="L93" s="16">
        <v>8.6999999999999993</v>
      </c>
      <c r="M93" s="16">
        <f t="shared" si="4"/>
        <v>0.15038585882077946</v>
      </c>
      <c r="N93" s="19">
        <f t="shared" si="5"/>
        <v>2.4000000000000012</v>
      </c>
    </row>
    <row r="94" spans="1:14" ht="21" x14ac:dyDescent="0.35">
      <c r="A94" s="7">
        <v>2627</v>
      </c>
      <c r="B94" s="7" t="s">
        <v>14</v>
      </c>
      <c r="C94" s="7" t="s">
        <v>17</v>
      </c>
      <c r="D94" s="7" t="s">
        <v>15</v>
      </c>
      <c r="E94" s="8" t="s">
        <v>15</v>
      </c>
      <c r="F94" s="7" t="s">
        <v>16</v>
      </c>
      <c r="G94">
        <v>2304</v>
      </c>
      <c r="H94" s="15">
        <v>5.5</v>
      </c>
      <c r="I94" s="15">
        <v>5.6</v>
      </c>
      <c r="J94" s="12">
        <f t="shared" si="3"/>
        <v>-7.825337511956543E-3</v>
      </c>
      <c r="K94" s="16">
        <v>12.6</v>
      </c>
      <c r="L94" s="16">
        <v>7.8</v>
      </c>
      <c r="M94" s="16">
        <f t="shared" si="4"/>
        <v>0.2082759424270825</v>
      </c>
      <c r="N94" s="19">
        <f t="shared" si="5"/>
        <v>4.8999999999999995</v>
      </c>
    </row>
    <row r="95" spans="1:14" ht="21" x14ac:dyDescent="0.35">
      <c r="A95" s="7">
        <v>2629</v>
      </c>
      <c r="B95" s="7" t="s">
        <v>14</v>
      </c>
      <c r="C95" s="7" t="s">
        <v>18</v>
      </c>
      <c r="D95" s="7" t="s">
        <v>15</v>
      </c>
      <c r="E95" s="8" t="s">
        <v>15</v>
      </c>
      <c r="F95" s="7" t="s">
        <v>16</v>
      </c>
      <c r="G95">
        <v>2304</v>
      </c>
      <c r="H95" s="16">
        <v>3.9</v>
      </c>
      <c r="I95" s="16">
        <v>4.8</v>
      </c>
      <c r="J95" s="12">
        <f t="shared" si="3"/>
        <v>-9.0176630349088016E-2</v>
      </c>
      <c r="K95" s="16">
        <v>14.7</v>
      </c>
      <c r="L95" s="16">
        <v>6.9</v>
      </c>
      <c r="M95" s="16">
        <f t="shared" si="4"/>
        <v>0.32846824401092073</v>
      </c>
      <c r="N95" s="19">
        <f t="shared" si="5"/>
        <v>8.6999999999999993</v>
      </c>
    </row>
    <row r="96" spans="1:14" ht="21" x14ac:dyDescent="0.35">
      <c r="A96" s="7">
        <v>2630</v>
      </c>
      <c r="B96" s="7" t="s">
        <v>14</v>
      </c>
      <c r="C96" s="7" t="s">
        <v>34</v>
      </c>
      <c r="D96" s="7" t="s">
        <v>15</v>
      </c>
      <c r="E96" s="8" t="s">
        <v>15</v>
      </c>
      <c r="F96" s="7" t="s">
        <v>16</v>
      </c>
      <c r="G96">
        <v>2304</v>
      </c>
      <c r="H96" s="15">
        <v>5</v>
      </c>
      <c r="I96" s="15">
        <v>5.3</v>
      </c>
      <c r="J96" s="12">
        <f t="shared" si="3"/>
        <v>-2.5305865264770234E-2</v>
      </c>
      <c r="K96" s="16">
        <v>10</v>
      </c>
      <c r="L96" s="16">
        <v>5.6</v>
      </c>
      <c r="M96" s="16">
        <f t="shared" si="4"/>
        <v>0.25181197299379959</v>
      </c>
      <c r="N96" s="19">
        <f t="shared" si="5"/>
        <v>4.7</v>
      </c>
    </row>
    <row r="97" spans="1:14" ht="21" x14ac:dyDescent="0.35">
      <c r="A97" s="7">
        <v>2634</v>
      </c>
      <c r="B97" s="7" t="s">
        <v>20</v>
      </c>
      <c r="C97" s="7" t="s">
        <v>19</v>
      </c>
      <c r="D97" s="7" t="s">
        <v>21</v>
      </c>
      <c r="E97" s="8" t="s">
        <v>15</v>
      </c>
      <c r="F97" s="7" t="s">
        <v>16</v>
      </c>
      <c r="G97">
        <v>2304</v>
      </c>
      <c r="H97" s="15">
        <v>5.6</v>
      </c>
      <c r="I97" s="15">
        <v>5.2</v>
      </c>
      <c r="J97" s="12">
        <f t="shared" si="3"/>
        <v>3.2184683371401235E-2</v>
      </c>
      <c r="K97" s="16">
        <v>11.9</v>
      </c>
      <c r="L97" s="16">
        <v>7.1</v>
      </c>
      <c r="M97" s="16">
        <f t="shared" si="4"/>
        <v>0.22428861267345554</v>
      </c>
      <c r="N97" s="19">
        <f t="shared" si="5"/>
        <v>4.4000000000000012</v>
      </c>
    </row>
    <row r="98" spans="1:14" ht="21" x14ac:dyDescent="0.35">
      <c r="A98" s="7">
        <v>2635</v>
      </c>
      <c r="B98" s="7" t="s">
        <v>14</v>
      </c>
      <c r="C98" s="7" t="s">
        <v>13</v>
      </c>
      <c r="D98" s="7" t="s">
        <v>15</v>
      </c>
      <c r="E98" s="8" t="s">
        <v>15</v>
      </c>
      <c r="F98" s="7" t="s">
        <v>16</v>
      </c>
      <c r="G98">
        <v>2304</v>
      </c>
      <c r="H98" s="15">
        <v>6.3</v>
      </c>
      <c r="I98" s="15">
        <v>6.3</v>
      </c>
      <c r="J98" s="12">
        <f t="shared" si="3"/>
        <v>0</v>
      </c>
      <c r="K98" s="16">
        <v>14.5</v>
      </c>
      <c r="L98" s="16">
        <v>7.6</v>
      </c>
      <c r="M98" s="16">
        <f t="shared" si="4"/>
        <v>0.28055440995418357</v>
      </c>
      <c r="N98" s="19">
        <f t="shared" si="5"/>
        <v>6.9</v>
      </c>
    </row>
    <row r="99" spans="1:14" ht="21" x14ac:dyDescent="0.35">
      <c r="A99" s="7">
        <v>2638</v>
      </c>
      <c r="B99" s="7" t="s">
        <v>14</v>
      </c>
      <c r="C99" s="7" t="s">
        <v>17</v>
      </c>
      <c r="D99" s="7" t="s">
        <v>15</v>
      </c>
      <c r="E99" s="8" t="s">
        <v>15</v>
      </c>
      <c r="F99" s="7" t="s">
        <v>16</v>
      </c>
      <c r="G99">
        <v>2304</v>
      </c>
      <c r="H99" s="15">
        <v>5.8</v>
      </c>
      <c r="I99" s="15">
        <v>7.8</v>
      </c>
      <c r="J99" s="12">
        <f t="shared" si="3"/>
        <v>-0.1286666091275431</v>
      </c>
      <c r="K99" s="16">
        <v>10.5</v>
      </c>
      <c r="L99" s="16">
        <v>6.8</v>
      </c>
      <c r="M99" s="16">
        <f t="shared" si="4"/>
        <v>0.18868038636370177</v>
      </c>
      <c r="N99" s="19">
        <f t="shared" si="5"/>
        <v>5.7</v>
      </c>
    </row>
    <row r="100" spans="1:14" ht="21" x14ac:dyDescent="0.35">
      <c r="A100" s="7">
        <v>2645</v>
      </c>
      <c r="B100" s="7" t="s">
        <v>14</v>
      </c>
      <c r="C100" s="7" t="s">
        <v>34</v>
      </c>
      <c r="D100" s="7" t="s">
        <v>15</v>
      </c>
      <c r="E100" s="8" t="s">
        <v>15</v>
      </c>
      <c r="F100" s="7" t="s">
        <v>16</v>
      </c>
      <c r="G100">
        <v>2304</v>
      </c>
      <c r="H100" s="15">
        <v>3.6</v>
      </c>
      <c r="I100" s="15">
        <v>4.0999999999999996</v>
      </c>
      <c r="J100" s="12">
        <f t="shared" si="3"/>
        <v>-5.6481355952448173E-2</v>
      </c>
      <c r="K100" s="16">
        <v>9.3000000000000007</v>
      </c>
      <c r="L100" s="16">
        <v>5.4</v>
      </c>
      <c r="M100" s="16">
        <f t="shared" si="4"/>
        <v>0.23608918873096663</v>
      </c>
      <c r="N100" s="19">
        <f t="shared" si="5"/>
        <v>4.4000000000000004</v>
      </c>
    </row>
    <row r="101" spans="1:14" ht="21" x14ac:dyDescent="0.35">
      <c r="A101" s="7">
        <v>2656</v>
      </c>
      <c r="B101" s="7" t="s">
        <v>20</v>
      </c>
      <c r="C101" s="7" t="s">
        <v>64</v>
      </c>
      <c r="D101" s="7" t="s">
        <v>21</v>
      </c>
      <c r="E101" s="8" t="s">
        <v>15</v>
      </c>
      <c r="F101" s="7" t="s">
        <v>16</v>
      </c>
      <c r="G101">
        <v>2304</v>
      </c>
      <c r="H101" s="15">
        <v>7.1</v>
      </c>
      <c r="I101" s="15">
        <v>6.7</v>
      </c>
      <c r="J101" s="12">
        <f t="shared" si="3"/>
        <v>2.5183546018248831E-2</v>
      </c>
      <c r="K101" s="16">
        <v>7.4</v>
      </c>
      <c r="L101" s="16">
        <v>6.5</v>
      </c>
      <c r="M101" s="16">
        <f t="shared" si="4"/>
        <v>5.6318363088120597E-2</v>
      </c>
      <c r="N101" s="19">
        <f t="shared" si="5"/>
        <v>0.50000000000000089</v>
      </c>
    </row>
    <row r="102" spans="1:14" ht="21" x14ac:dyDescent="0.35">
      <c r="A102" s="7">
        <v>2662</v>
      </c>
      <c r="B102" s="7" t="s">
        <v>14</v>
      </c>
      <c r="C102" s="7" t="s">
        <v>62</v>
      </c>
      <c r="D102" s="7" t="s">
        <v>15</v>
      </c>
      <c r="E102" s="8" t="s">
        <v>15</v>
      </c>
      <c r="F102" s="7" t="s">
        <v>16</v>
      </c>
      <c r="G102">
        <v>2304</v>
      </c>
      <c r="H102" s="15">
        <v>5.3</v>
      </c>
      <c r="I102" s="15">
        <v>6.4</v>
      </c>
      <c r="J102" s="12">
        <f t="shared" si="3"/>
        <v>-8.1904104383098184E-2</v>
      </c>
      <c r="K102" s="16">
        <v>11.3</v>
      </c>
      <c r="L102" s="16">
        <v>6.3</v>
      </c>
      <c r="M102" s="16">
        <f t="shared" si="4"/>
        <v>0.25373789402983804</v>
      </c>
      <c r="N102" s="19">
        <f t="shared" si="5"/>
        <v>6.1000000000000014</v>
      </c>
    </row>
    <row r="103" spans="1:14" ht="21" x14ac:dyDescent="0.35">
      <c r="A103" s="7">
        <v>2663</v>
      </c>
      <c r="B103" s="7" t="s">
        <v>14</v>
      </c>
      <c r="C103" s="7" t="s">
        <v>63</v>
      </c>
      <c r="D103" s="7" t="s">
        <v>15</v>
      </c>
      <c r="E103" s="8" t="s">
        <v>15</v>
      </c>
      <c r="F103" s="7" t="s">
        <v>16</v>
      </c>
      <c r="G103">
        <v>2304</v>
      </c>
      <c r="H103" s="15">
        <v>5.7</v>
      </c>
      <c r="I103" s="15">
        <v>6.5</v>
      </c>
      <c r="J103" s="12">
        <f t="shared" si="3"/>
        <v>-5.7038500970364177E-2</v>
      </c>
      <c r="K103" s="16">
        <v>5.8</v>
      </c>
      <c r="L103" s="17">
        <v>6.3</v>
      </c>
      <c r="M103" s="16">
        <f t="shared" si="4"/>
        <v>-3.5912555890644446E-2</v>
      </c>
      <c r="N103" s="19">
        <f t="shared" si="5"/>
        <v>0.29999999999999982</v>
      </c>
    </row>
    <row r="104" spans="1:14" ht="21" x14ac:dyDescent="0.35">
      <c r="A104" s="7">
        <v>2670</v>
      </c>
      <c r="B104" s="7" t="s">
        <v>23</v>
      </c>
      <c r="C104" s="7" t="s">
        <v>36</v>
      </c>
      <c r="D104" s="7" t="s">
        <v>21</v>
      </c>
      <c r="E104" s="8" t="s">
        <v>24</v>
      </c>
      <c r="F104" s="7" t="s">
        <v>16</v>
      </c>
      <c r="G104">
        <v>2304</v>
      </c>
      <c r="H104" s="15">
        <v>7</v>
      </c>
      <c r="I104" s="15">
        <v>7.9</v>
      </c>
      <c r="J104" s="12">
        <f t="shared" si="3"/>
        <v>-5.2529051276184624E-2</v>
      </c>
      <c r="K104" s="16">
        <v>11.6</v>
      </c>
      <c r="L104" s="16">
        <v>8.9</v>
      </c>
      <c r="M104" s="16">
        <f t="shared" si="4"/>
        <v>0.11506798258200564</v>
      </c>
      <c r="N104" s="19">
        <f t="shared" si="5"/>
        <v>3.5999999999999996</v>
      </c>
    </row>
    <row r="105" spans="1:14" ht="21" x14ac:dyDescent="0.35">
      <c r="A105" s="7">
        <v>2671</v>
      </c>
      <c r="B105" s="7" t="s">
        <v>20</v>
      </c>
      <c r="C105" s="7" t="s">
        <v>42</v>
      </c>
      <c r="D105" s="7" t="s">
        <v>21</v>
      </c>
      <c r="E105" s="8" t="s">
        <v>15</v>
      </c>
      <c r="F105" s="7" t="s">
        <v>16</v>
      </c>
      <c r="G105">
        <v>2304</v>
      </c>
      <c r="H105" s="15">
        <v>6</v>
      </c>
      <c r="I105" s="15">
        <v>5</v>
      </c>
      <c r="J105" s="12">
        <f t="shared" si="3"/>
        <v>7.9181246047624818E-2</v>
      </c>
      <c r="K105" s="16">
        <v>11.1</v>
      </c>
      <c r="L105" s="16">
        <v>6.1</v>
      </c>
      <c r="M105" s="16">
        <f t="shared" si="4"/>
        <v>0.25999314377589039</v>
      </c>
      <c r="N105" s="19">
        <f t="shared" si="5"/>
        <v>4</v>
      </c>
    </row>
    <row r="106" spans="1:14" ht="21" x14ac:dyDescent="0.35">
      <c r="A106" s="7">
        <v>2674</v>
      </c>
      <c r="B106" s="7" t="s">
        <v>14</v>
      </c>
      <c r="C106" s="7" t="s">
        <v>62</v>
      </c>
      <c r="D106" s="7" t="s">
        <v>15</v>
      </c>
      <c r="E106" s="8" t="s">
        <v>15</v>
      </c>
      <c r="F106" s="7" t="s">
        <v>16</v>
      </c>
      <c r="G106">
        <v>2304</v>
      </c>
      <c r="H106" s="15">
        <v>6.2</v>
      </c>
      <c r="I106" s="15">
        <v>6.5</v>
      </c>
      <c r="J106" s="12">
        <f t="shared" si="3"/>
        <v>-2.0521667144601675E-2</v>
      </c>
      <c r="K106" s="16">
        <v>9.4</v>
      </c>
      <c r="L106" s="16">
        <v>6.2</v>
      </c>
      <c r="M106" s="16">
        <f t="shared" si="4"/>
        <v>0.18073616410144477</v>
      </c>
      <c r="N106" s="19">
        <f t="shared" si="5"/>
        <v>3.5</v>
      </c>
    </row>
    <row r="107" spans="1:14" ht="21" x14ac:dyDescent="0.35">
      <c r="A107" s="7">
        <v>2676</v>
      </c>
      <c r="B107" s="7" t="s">
        <v>14</v>
      </c>
      <c r="C107" s="7" t="s">
        <v>63</v>
      </c>
      <c r="D107" s="7" t="s">
        <v>15</v>
      </c>
      <c r="E107" s="8" t="s">
        <v>15</v>
      </c>
      <c r="F107" s="7" t="s">
        <v>16</v>
      </c>
      <c r="G107">
        <v>2304</v>
      </c>
      <c r="H107" s="15">
        <v>5.7</v>
      </c>
      <c r="I107" s="15">
        <v>6.6</v>
      </c>
      <c r="J107" s="12">
        <f t="shared" si="3"/>
        <v>-6.3669079869377213E-2</v>
      </c>
      <c r="K107" s="16">
        <v>10.199999999999999</v>
      </c>
      <c r="L107" s="16">
        <v>7</v>
      </c>
      <c r="M107" s="16">
        <f t="shared" si="4"/>
        <v>0.16350213174766071</v>
      </c>
      <c r="N107" s="19">
        <f t="shared" si="5"/>
        <v>4.0999999999999988</v>
      </c>
    </row>
    <row r="108" spans="1:14" ht="21" x14ac:dyDescent="0.35">
      <c r="A108" s="7">
        <v>2697</v>
      </c>
      <c r="B108" s="7" t="s">
        <v>20</v>
      </c>
      <c r="C108" s="7" t="s">
        <v>64</v>
      </c>
      <c r="D108" s="7" t="s">
        <v>21</v>
      </c>
      <c r="E108" s="8" t="s">
        <v>15</v>
      </c>
      <c r="F108" s="7" t="s">
        <v>16</v>
      </c>
      <c r="G108">
        <v>2304</v>
      </c>
      <c r="H108" s="15">
        <v>5.7</v>
      </c>
      <c r="I108" s="15">
        <v>4.5999999999999996</v>
      </c>
      <c r="J108" s="12">
        <f t="shared" si="3"/>
        <v>9.3117023990917383E-2</v>
      </c>
      <c r="K108" s="16">
        <v>11.6</v>
      </c>
      <c r="L108" s="16">
        <v>5.7</v>
      </c>
      <c r="M108" s="16">
        <f t="shared" si="4"/>
        <v>0.30858313355442701</v>
      </c>
      <c r="N108" s="19">
        <f t="shared" si="5"/>
        <v>4.7999999999999989</v>
      </c>
    </row>
    <row r="109" spans="1:14" ht="21" x14ac:dyDescent="0.35">
      <c r="A109" s="10">
        <v>3003</v>
      </c>
      <c r="B109" s="7" t="s">
        <v>20</v>
      </c>
      <c r="C109" s="7" t="s">
        <v>30</v>
      </c>
      <c r="D109" s="7" t="s">
        <v>21</v>
      </c>
      <c r="E109" s="8" t="s">
        <v>15</v>
      </c>
      <c r="F109" s="7" t="s">
        <v>37</v>
      </c>
      <c r="G109">
        <v>2311</v>
      </c>
      <c r="H109" s="16">
        <v>6.1</v>
      </c>
      <c r="I109" s="16">
        <v>8</v>
      </c>
      <c r="J109" s="12">
        <f t="shared" si="3"/>
        <v>-0.11776015198117658</v>
      </c>
      <c r="K109" s="16">
        <v>9.9</v>
      </c>
      <c r="L109" s="16">
        <v>7.8</v>
      </c>
      <c r="M109" s="16">
        <f t="shared" si="4"/>
        <v>0.10354059190706956</v>
      </c>
      <c r="N109" s="19">
        <f t="shared" si="5"/>
        <v>4.0000000000000009</v>
      </c>
    </row>
    <row r="110" spans="1:14" ht="21" x14ac:dyDescent="0.35">
      <c r="A110" s="10">
        <v>3004</v>
      </c>
      <c r="B110" s="7" t="s">
        <v>23</v>
      </c>
      <c r="C110" s="7" t="s">
        <v>25</v>
      </c>
      <c r="D110" s="7" t="s">
        <v>21</v>
      </c>
      <c r="E110" s="8" t="s">
        <v>24</v>
      </c>
      <c r="F110" s="7" t="s">
        <v>37</v>
      </c>
      <c r="G110">
        <v>2311</v>
      </c>
      <c r="H110" s="16">
        <v>4.8</v>
      </c>
      <c r="I110" s="16">
        <v>5</v>
      </c>
      <c r="J110" s="12">
        <f t="shared" si="3"/>
        <v>-1.7728766960431602E-2</v>
      </c>
      <c r="K110" s="16">
        <v>13.2</v>
      </c>
      <c r="L110" s="16">
        <v>3.4</v>
      </c>
      <c r="M110" s="16">
        <f t="shared" si="4"/>
        <v>0.58909501416359478</v>
      </c>
      <c r="N110" s="19">
        <f t="shared" si="5"/>
        <v>10</v>
      </c>
    </row>
    <row r="111" spans="1:14" ht="21" x14ac:dyDescent="0.35">
      <c r="A111" s="10">
        <v>3005</v>
      </c>
      <c r="B111" s="7" t="s">
        <v>23</v>
      </c>
      <c r="C111" s="7" t="s">
        <v>25</v>
      </c>
      <c r="D111" s="7" t="s">
        <v>21</v>
      </c>
      <c r="E111" s="8" t="s">
        <v>24</v>
      </c>
      <c r="F111" s="7" t="s">
        <v>37</v>
      </c>
      <c r="G111">
        <v>2311</v>
      </c>
      <c r="H111" s="16">
        <v>7.4</v>
      </c>
      <c r="I111" s="16">
        <v>8.6999999999999993</v>
      </c>
      <c r="J111" s="12">
        <f t="shared" si="3"/>
        <v>-7.0287532887642293E-2</v>
      </c>
      <c r="K111" s="16">
        <v>9.6</v>
      </c>
      <c r="L111" s="16">
        <v>6.9</v>
      </c>
      <c r="M111" s="16">
        <f t="shared" si="4"/>
        <v>0.14342214230231309</v>
      </c>
      <c r="N111" s="19">
        <f t="shared" si="5"/>
        <v>3.9999999999999982</v>
      </c>
    </row>
    <row r="112" spans="1:14" ht="21" x14ac:dyDescent="0.35">
      <c r="A112" s="10">
        <v>3007</v>
      </c>
      <c r="B112" s="7" t="s">
        <v>23</v>
      </c>
      <c r="C112" s="7" t="s">
        <v>25</v>
      </c>
      <c r="D112" s="7" t="s">
        <v>21</v>
      </c>
      <c r="E112" s="8" t="s">
        <v>24</v>
      </c>
      <c r="F112" s="7" t="s">
        <v>37</v>
      </c>
      <c r="G112">
        <v>2311</v>
      </c>
      <c r="H112" s="16">
        <v>4.4000000000000004</v>
      </c>
      <c r="I112" s="16">
        <v>4.3</v>
      </c>
      <c r="J112" s="12">
        <f t="shared" si="3"/>
        <v>9.9842209066009231E-3</v>
      </c>
      <c r="K112" s="16">
        <v>8.5</v>
      </c>
      <c r="L112" s="16">
        <v>6.3</v>
      </c>
      <c r="M112" s="16">
        <f t="shared" si="4"/>
        <v>0.13007837626071106</v>
      </c>
      <c r="N112" s="19">
        <f t="shared" si="5"/>
        <v>2.0999999999999996</v>
      </c>
    </row>
    <row r="113" spans="1:14" ht="21" x14ac:dyDescent="0.35">
      <c r="A113" s="10">
        <v>3009</v>
      </c>
      <c r="B113" s="7" t="s">
        <v>14</v>
      </c>
      <c r="C113" s="7" t="s">
        <v>17</v>
      </c>
      <c r="D113" s="7" t="s">
        <v>15</v>
      </c>
      <c r="E113" s="8" t="s">
        <v>15</v>
      </c>
      <c r="F113" s="7" t="s">
        <v>37</v>
      </c>
      <c r="G113">
        <v>2311</v>
      </c>
      <c r="H113" s="16">
        <v>5.7</v>
      </c>
      <c r="I113" s="16">
        <v>5.6</v>
      </c>
      <c r="J113" s="12">
        <f t="shared" si="3"/>
        <v>7.6868286662910498E-3</v>
      </c>
      <c r="K113" s="16">
        <v>10</v>
      </c>
      <c r="L113" s="16">
        <v>5.6</v>
      </c>
      <c r="M113" s="16">
        <f t="shared" si="4"/>
        <v>0.25181197299379959</v>
      </c>
      <c r="N113" s="19">
        <f t="shared" si="5"/>
        <v>4.3</v>
      </c>
    </row>
    <row r="114" spans="1:14" ht="21" x14ac:dyDescent="0.35">
      <c r="A114" s="10">
        <v>3010</v>
      </c>
      <c r="B114" s="7" t="s">
        <v>20</v>
      </c>
      <c r="C114" s="7" t="s">
        <v>30</v>
      </c>
      <c r="D114" s="7" t="s">
        <v>21</v>
      </c>
      <c r="E114" s="8" t="s">
        <v>15</v>
      </c>
      <c r="F114" s="7" t="s">
        <v>37</v>
      </c>
      <c r="G114">
        <v>2311</v>
      </c>
      <c r="H114" s="16">
        <v>8.6</v>
      </c>
      <c r="I114" s="16">
        <v>8.8000000000000007</v>
      </c>
      <c r="J114" s="12">
        <f t="shared" si="3"/>
        <v>-9.9842209066009456E-3</v>
      </c>
      <c r="K114" s="16">
        <v>12.8</v>
      </c>
      <c r="L114" s="16">
        <v>8.1999999999999993</v>
      </c>
      <c r="M114" s="16">
        <f t="shared" si="4"/>
        <v>0.19339611726415176</v>
      </c>
      <c r="N114" s="19">
        <f t="shared" si="5"/>
        <v>4.8000000000000025</v>
      </c>
    </row>
    <row r="115" spans="1:14" ht="21" x14ac:dyDescent="0.35">
      <c r="A115" s="10">
        <v>3012</v>
      </c>
      <c r="B115" s="7" t="s">
        <v>14</v>
      </c>
      <c r="C115" s="7" t="s">
        <v>45</v>
      </c>
      <c r="D115" s="7" t="s">
        <v>15</v>
      </c>
      <c r="E115" s="8" t="s">
        <v>15</v>
      </c>
      <c r="F115" s="7" t="s">
        <v>37</v>
      </c>
      <c r="G115">
        <v>2311</v>
      </c>
      <c r="H115" s="16">
        <v>6.3</v>
      </c>
      <c r="I115" s="16">
        <v>5.9</v>
      </c>
      <c r="J115" s="12">
        <f t="shared" si="3"/>
        <v>2.8488537811437443E-2</v>
      </c>
      <c r="K115" s="16">
        <v>14.6</v>
      </c>
      <c r="L115" s="16">
        <v>6.2</v>
      </c>
      <c r="M115" s="16">
        <f t="shared" si="4"/>
        <v>0.37196116628618314</v>
      </c>
      <c r="N115" s="19">
        <f t="shared" si="5"/>
        <v>7.9999999999999991</v>
      </c>
    </row>
    <row r="116" spans="1:14" ht="21" x14ac:dyDescent="0.35">
      <c r="A116" s="10">
        <v>3013</v>
      </c>
      <c r="B116" s="7" t="s">
        <v>14</v>
      </c>
      <c r="C116" s="7" t="s">
        <v>13</v>
      </c>
      <c r="D116" s="7" t="s">
        <v>15</v>
      </c>
      <c r="E116" s="8" t="s">
        <v>15</v>
      </c>
      <c r="F116" s="7" t="s">
        <v>37</v>
      </c>
      <c r="G116">
        <v>2311</v>
      </c>
      <c r="H116" s="16">
        <v>9.3000000000000007</v>
      </c>
      <c r="I116" s="16">
        <v>8.6999999999999993</v>
      </c>
      <c r="J116" s="12">
        <f t="shared" si="3"/>
        <v>2.8963695935316648E-2</v>
      </c>
      <c r="K116" s="16">
        <v>13.5</v>
      </c>
      <c r="L116" s="16">
        <v>8.4</v>
      </c>
      <c r="M116" s="16">
        <f t="shared" si="4"/>
        <v>0.20605448243312441</v>
      </c>
      <c r="N116" s="19">
        <f t="shared" si="5"/>
        <v>4.4999999999999982</v>
      </c>
    </row>
    <row r="117" spans="1:14" ht="21" x14ac:dyDescent="0.35">
      <c r="A117" s="10">
        <v>3014</v>
      </c>
      <c r="B117" s="7" t="s">
        <v>23</v>
      </c>
      <c r="C117" s="7" t="s">
        <v>25</v>
      </c>
      <c r="D117" s="7" t="s">
        <v>21</v>
      </c>
      <c r="E117" s="8" t="s">
        <v>24</v>
      </c>
      <c r="F117" s="7" t="s">
        <v>37</v>
      </c>
      <c r="G117">
        <v>2311</v>
      </c>
      <c r="H117" s="16">
        <v>6.1</v>
      </c>
      <c r="I117" s="16">
        <v>6.2</v>
      </c>
      <c r="J117" s="12">
        <f t="shared" si="3"/>
        <v>-7.0618544874868835E-3</v>
      </c>
      <c r="K117" s="16">
        <v>11.1</v>
      </c>
      <c r="L117" s="16">
        <v>7</v>
      </c>
      <c r="M117" s="16">
        <f t="shared" si="4"/>
        <v>0.20022493877240058</v>
      </c>
      <c r="N117" s="19">
        <f t="shared" si="5"/>
        <v>4.2</v>
      </c>
    </row>
    <row r="118" spans="1:14" ht="21" x14ac:dyDescent="0.35">
      <c r="A118" s="10">
        <v>3015</v>
      </c>
      <c r="B118" s="7" t="s">
        <v>20</v>
      </c>
      <c r="C118" s="7" t="s">
        <v>44</v>
      </c>
      <c r="D118" s="7" t="s">
        <v>21</v>
      </c>
      <c r="E118" s="8" t="s">
        <v>15</v>
      </c>
      <c r="F118" s="7" t="s">
        <v>37</v>
      </c>
      <c r="G118">
        <v>2311</v>
      </c>
      <c r="H118" s="16">
        <v>5.2</v>
      </c>
      <c r="I118" s="16">
        <v>4.5999999999999996</v>
      </c>
      <c r="J118" s="12">
        <f t="shared" si="3"/>
        <v>5.324551195322514E-2</v>
      </c>
      <c r="K118" s="16">
        <v>11.3</v>
      </c>
      <c r="L118" s="16">
        <v>5.2</v>
      </c>
      <c r="M118" s="16">
        <f t="shared" si="4"/>
        <v>0.33707509984862061</v>
      </c>
      <c r="N118" s="19">
        <f t="shared" si="5"/>
        <v>5.5</v>
      </c>
    </row>
    <row r="119" spans="1:14" ht="21" x14ac:dyDescent="0.35">
      <c r="A119" s="10">
        <v>3016</v>
      </c>
      <c r="B119" s="7" t="s">
        <v>14</v>
      </c>
      <c r="C119" s="7" t="s">
        <v>18</v>
      </c>
      <c r="D119" s="7" t="s">
        <v>15</v>
      </c>
      <c r="E119" s="8" t="s">
        <v>15</v>
      </c>
      <c r="F119" s="7" t="s">
        <v>37</v>
      </c>
      <c r="G119">
        <v>2311</v>
      </c>
      <c r="H119" s="16">
        <v>6.7</v>
      </c>
      <c r="I119" s="16">
        <v>5.7</v>
      </c>
      <c r="J119" s="12">
        <f t="shared" si="3"/>
        <v>7.0199947028335069E-2</v>
      </c>
      <c r="K119" s="16">
        <v>11.4</v>
      </c>
      <c r="L119" s="16">
        <v>8.1999999999999993</v>
      </c>
      <c r="M119" s="16">
        <f t="shared" si="4"/>
        <v>0.14309099895275595</v>
      </c>
      <c r="N119" s="19">
        <f t="shared" si="5"/>
        <v>2.2000000000000011</v>
      </c>
    </row>
    <row r="120" spans="1:14" ht="21" x14ac:dyDescent="0.35">
      <c r="A120" s="10">
        <v>3017</v>
      </c>
      <c r="B120" s="7" t="s">
        <v>23</v>
      </c>
      <c r="C120" s="7" t="s">
        <v>25</v>
      </c>
      <c r="D120" s="7" t="s">
        <v>21</v>
      </c>
      <c r="E120" s="8" t="s">
        <v>24</v>
      </c>
      <c r="F120" s="7" t="s">
        <v>37</v>
      </c>
      <c r="G120">
        <v>2311</v>
      </c>
      <c r="H120" s="16">
        <v>6.6</v>
      </c>
      <c r="I120" s="16">
        <v>5.6</v>
      </c>
      <c r="J120" s="12">
        <f t="shared" si="3"/>
        <v>7.1355908535668269E-2</v>
      </c>
      <c r="K120" s="16">
        <v>10.4</v>
      </c>
      <c r="L120" s="16">
        <v>7.2</v>
      </c>
      <c r="M120" s="16">
        <f t="shared" si="4"/>
        <v>0.15970084286751188</v>
      </c>
      <c r="N120" s="19">
        <f t="shared" si="5"/>
        <v>2.2000000000000002</v>
      </c>
    </row>
    <row r="121" spans="1:14" ht="21" x14ac:dyDescent="0.35">
      <c r="A121" s="10">
        <v>3018</v>
      </c>
      <c r="B121" s="7" t="s">
        <v>14</v>
      </c>
      <c r="C121" s="7" t="s">
        <v>18</v>
      </c>
      <c r="D121" s="7" t="s">
        <v>15</v>
      </c>
      <c r="E121" s="7" t="s">
        <v>15</v>
      </c>
      <c r="F121" s="7" t="s">
        <v>37</v>
      </c>
      <c r="G121">
        <v>2311</v>
      </c>
      <c r="H121" s="16">
        <v>6.8</v>
      </c>
      <c r="I121" s="16">
        <v>6</v>
      </c>
      <c r="J121" s="12">
        <f t="shared" si="3"/>
        <v>5.4357662322592676E-2</v>
      </c>
      <c r="K121" s="16">
        <v>10.199999999999999</v>
      </c>
      <c r="L121" s="16">
        <v>6.1</v>
      </c>
      <c r="M121" s="16">
        <f t="shared" si="4"/>
        <v>0.22327033675115054</v>
      </c>
      <c r="N121" s="19">
        <f t="shared" si="5"/>
        <v>3.3</v>
      </c>
    </row>
    <row r="122" spans="1:14" ht="21" x14ac:dyDescent="0.35">
      <c r="A122" s="10">
        <v>3019</v>
      </c>
      <c r="B122" s="7" t="s">
        <v>14</v>
      </c>
      <c r="C122" s="7" t="s">
        <v>45</v>
      </c>
      <c r="D122" s="7" t="s">
        <v>15</v>
      </c>
      <c r="E122" s="7" t="s">
        <v>15</v>
      </c>
      <c r="F122" s="7" t="s">
        <v>37</v>
      </c>
      <c r="G122">
        <v>2311</v>
      </c>
      <c r="H122" s="16">
        <v>6.6</v>
      </c>
      <c r="I122" s="16">
        <v>5.4</v>
      </c>
      <c r="J122" s="12">
        <f t="shared" si="3"/>
        <v>8.7150175718900116E-2</v>
      </c>
      <c r="K122" s="16">
        <v>12.6</v>
      </c>
      <c r="L122" s="16">
        <v>7.1</v>
      </c>
      <c r="M122" s="16">
        <f t="shared" si="4"/>
        <v>0.24911219639848764</v>
      </c>
      <c r="N122" s="19">
        <f t="shared" si="5"/>
        <v>4.3000000000000007</v>
      </c>
    </row>
    <row r="123" spans="1:14" ht="21" x14ac:dyDescent="0.35">
      <c r="A123" s="10">
        <v>3021</v>
      </c>
      <c r="B123" s="7" t="s">
        <v>23</v>
      </c>
      <c r="C123" s="7" t="s">
        <v>25</v>
      </c>
      <c r="D123" s="7" t="s">
        <v>21</v>
      </c>
      <c r="E123" s="7" t="s">
        <v>24</v>
      </c>
      <c r="F123" s="7" t="s">
        <v>37</v>
      </c>
      <c r="G123">
        <v>2311</v>
      </c>
      <c r="H123" s="16">
        <v>6.6</v>
      </c>
      <c r="I123" s="16">
        <v>6</v>
      </c>
      <c r="J123" s="12">
        <f t="shared" si="3"/>
        <v>4.1392685158224987E-2</v>
      </c>
      <c r="K123" s="16">
        <v>7.6</v>
      </c>
      <c r="L123" s="16">
        <v>6.7</v>
      </c>
      <c r="M123" s="16">
        <f t="shared" si="4"/>
        <v>5.4738789579964899E-2</v>
      </c>
      <c r="N123" s="19">
        <f t="shared" si="5"/>
        <v>0.29999999999999982</v>
      </c>
    </row>
    <row r="124" spans="1:14" ht="21" x14ac:dyDescent="0.35">
      <c r="A124" s="10">
        <v>3022</v>
      </c>
      <c r="B124" s="7" t="s">
        <v>20</v>
      </c>
      <c r="C124" s="7" t="s">
        <v>44</v>
      </c>
      <c r="D124" s="7" t="s">
        <v>21</v>
      </c>
      <c r="E124" s="7" t="s">
        <v>15</v>
      </c>
      <c r="F124" s="7" t="s">
        <v>37</v>
      </c>
      <c r="G124">
        <v>2311</v>
      </c>
      <c r="H124" s="16">
        <v>8.6999999999999993</v>
      </c>
      <c r="I124" s="16">
        <v>9.9</v>
      </c>
      <c r="J124" s="12">
        <f t="shared" si="3"/>
        <v>-5.6115941978931445E-2</v>
      </c>
      <c r="K124" s="16">
        <v>15.1</v>
      </c>
      <c r="L124" s="16">
        <v>9.5</v>
      </c>
      <c r="M124" s="16">
        <f t="shared" si="4"/>
        <v>0.20125334200432168</v>
      </c>
      <c r="N124" s="19">
        <f t="shared" si="5"/>
        <v>6.8000000000000007</v>
      </c>
    </row>
    <row r="125" spans="1:14" ht="21" x14ac:dyDescent="0.35">
      <c r="A125" s="10">
        <v>3023</v>
      </c>
      <c r="B125" s="7" t="s">
        <v>23</v>
      </c>
      <c r="C125" s="7" t="s">
        <v>68</v>
      </c>
      <c r="D125" s="7" t="s">
        <v>21</v>
      </c>
      <c r="E125" s="7" t="s">
        <v>24</v>
      </c>
      <c r="F125" s="7" t="s">
        <v>37</v>
      </c>
      <c r="G125">
        <v>2311</v>
      </c>
      <c r="H125" s="16">
        <v>4.5</v>
      </c>
      <c r="I125" s="16">
        <v>4.7</v>
      </c>
      <c r="J125" s="12">
        <f t="shared" si="3"/>
        <v>-1.8885344160373813E-2</v>
      </c>
      <c r="K125" s="16">
        <v>9.6999999999999993</v>
      </c>
      <c r="L125" s="16">
        <v>6.7</v>
      </c>
      <c r="M125" s="16">
        <f t="shared" si="4"/>
        <v>0.16069693156541839</v>
      </c>
      <c r="N125" s="19">
        <f t="shared" si="5"/>
        <v>3.1999999999999993</v>
      </c>
    </row>
    <row r="126" spans="1:14" ht="21" x14ac:dyDescent="0.35">
      <c r="A126" s="10">
        <v>3030</v>
      </c>
      <c r="B126" s="7" t="s">
        <v>14</v>
      </c>
      <c r="C126" s="7" t="s">
        <v>66</v>
      </c>
      <c r="D126" s="7" t="s">
        <v>15</v>
      </c>
      <c r="E126" s="7" t="s">
        <v>15</v>
      </c>
      <c r="F126" s="7" t="s">
        <v>37</v>
      </c>
      <c r="G126">
        <v>2311</v>
      </c>
      <c r="H126" s="16">
        <v>6.2</v>
      </c>
      <c r="I126" s="16">
        <v>6.8</v>
      </c>
      <c r="J126" s="12">
        <f t="shared" si="3"/>
        <v>-4.0117223207982403E-2</v>
      </c>
      <c r="K126" s="16">
        <v>11.3</v>
      </c>
      <c r="L126" s="16">
        <v>6.2</v>
      </c>
      <c r="M126" s="16">
        <f t="shared" si="4"/>
        <v>0.26068675398516589</v>
      </c>
      <c r="N126" s="19">
        <f t="shared" si="5"/>
        <v>5.7</v>
      </c>
    </row>
    <row r="127" spans="1:14" ht="21" x14ac:dyDescent="0.35">
      <c r="A127" s="10">
        <v>3034</v>
      </c>
      <c r="B127" s="7" t="s">
        <v>14</v>
      </c>
      <c r="C127" s="7" t="s">
        <v>66</v>
      </c>
      <c r="D127" s="7" t="s">
        <v>15</v>
      </c>
      <c r="E127" s="7" t="s">
        <v>15</v>
      </c>
      <c r="F127" s="7" t="s">
        <v>37</v>
      </c>
      <c r="G127">
        <v>2311</v>
      </c>
      <c r="H127" s="16">
        <v>6.3</v>
      </c>
      <c r="I127" s="16">
        <v>7.7</v>
      </c>
      <c r="J127" s="12">
        <f t="shared" si="3"/>
        <v>-8.71501757189002E-2</v>
      </c>
      <c r="K127" s="16">
        <v>10.9</v>
      </c>
      <c r="L127" s="16">
        <v>6.3</v>
      </c>
      <c r="M127" s="16">
        <f t="shared" si="4"/>
        <v>0.23808594848704195</v>
      </c>
      <c r="N127" s="19">
        <f t="shared" si="5"/>
        <v>6.0000000000000009</v>
      </c>
    </row>
    <row r="128" spans="1:14" ht="21" x14ac:dyDescent="0.35">
      <c r="A128" s="10">
        <v>3112</v>
      </c>
      <c r="B128" s="7" t="s">
        <v>20</v>
      </c>
      <c r="C128" s="7" t="s">
        <v>30</v>
      </c>
      <c r="D128" s="7" t="s">
        <v>21</v>
      </c>
      <c r="E128" s="7" t="s">
        <v>15</v>
      </c>
      <c r="F128" s="7" t="s">
        <v>37</v>
      </c>
      <c r="G128">
        <v>2311</v>
      </c>
      <c r="H128" s="16">
        <v>6</v>
      </c>
      <c r="I128" s="16">
        <v>6.5</v>
      </c>
      <c r="J128" s="12">
        <f t="shared" si="3"/>
        <v>-3.4762106259211917E-2</v>
      </c>
      <c r="K128" s="16">
        <v>11.8</v>
      </c>
      <c r="L128" s="16">
        <v>6.4</v>
      </c>
      <c r="M128" s="16">
        <f t="shared" si="4"/>
        <v>0.26570203332223824</v>
      </c>
      <c r="N128" s="19">
        <f t="shared" si="5"/>
        <v>5.9</v>
      </c>
    </row>
    <row r="129" spans="1:14" ht="21" x14ac:dyDescent="0.35">
      <c r="A129" s="10">
        <v>3113</v>
      </c>
      <c r="B129" s="7" t="s">
        <v>14</v>
      </c>
      <c r="C129" s="7" t="s">
        <v>45</v>
      </c>
      <c r="D129" s="7" t="s">
        <v>15</v>
      </c>
      <c r="E129" s="7" t="s">
        <v>15</v>
      </c>
      <c r="F129" s="7" t="s">
        <v>37</v>
      </c>
      <c r="G129">
        <v>2311</v>
      </c>
      <c r="H129" s="16">
        <v>5.7</v>
      </c>
      <c r="I129" s="16">
        <v>7.1</v>
      </c>
      <c r="J129" s="12">
        <f t="shared" si="3"/>
        <v>-9.5383493046583862E-2</v>
      </c>
      <c r="K129" s="16">
        <v>9.6</v>
      </c>
      <c r="L129" s="16">
        <v>7.2</v>
      </c>
      <c r="M129" s="16">
        <f t="shared" si="4"/>
        <v>0.12493873660829993</v>
      </c>
      <c r="N129" s="19">
        <f t="shared" si="5"/>
        <v>3.7999999999999989</v>
      </c>
    </row>
    <row r="130" spans="1:14" ht="21" x14ac:dyDescent="0.35">
      <c r="A130" s="10">
        <v>3114</v>
      </c>
      <c r="B130" s="7" t="s">
        <v>23</v>
      </c>
      <c r="C130" s="7" t="s">
        <v>46</v>
      </c>
      <c r="D130" s="7" t="s">
        <v>21</v>
      </c>
      <c r="E130" s="7" t="s">
        <v>24</v>
      </c>
      <c r="F130" s="7" t="s">
        <v>37</v>
      </c>
      <c r="G130">
        <v>2311</v>
      </c>
      <c r="H130" s="16">
        <v>8</v>
      </c>
      <c r="I130" s="16">
        <v>6.3</v>
      </c>
      <c r="J130" s="12">
        <f t="shared" si="3"/>
        <v>0.10374943753836186</v>
      </c>
      <c r="K130" s="16">
        <v>11.1</v>
      </c>
      <c r="L130" s="16">
        <v>6.8</v>
      </c>
      <c r="M130" s="16">
        <f t="shared" si="4"/>
        <v>0.21281406608042111</v>
      </c>
      <c r="N130" s="19">
        <f t="shared" si="5"/>
        <v>2.5999999999999996</v>
      </c>
    </row>
    <row r="131" spans="1:14" ht="21" x14ac:dyDescent="0.35">
      <c r="A131" s="10">
        <v>3115</v>
      </c>
      <c r="B131" s="7" t="s">
        <v>20</v>
      </c>
      <c r="C131" s="7" t="s">
        <v>30</v>
      </c>
      <c r="D131" s="7" t="s">
        <v>21</v>
      </c>
      <c r="E131" s="7" t="s">
        <v>15</v>
      </c>
      <c r="F131" s="7" t="s">
        <v>37</v>
      </c>
      <c r="G131">
        <v>2311</v>
      </c>
      <c r="H131" s="16">
        <v>6.7</v>
      </c>
      <c r="I131" s="16">
        <v>5.4</v>
      </c>
      <c r="J131" s="12">
        <f t="shared" ref="J131:J194" si="6">LOG(H131/I131)</f>
        <v>9.3681042877857917E-2</v>
      </c>
      <c r="K131" s="16">
        <v>12.5</v>
      </c>
      <c r="L131" s="16">
        <v>6.4</v>
      </c>
      <c r="M131" s="16">
        <f t="shared" ref="M131:M194" si="7">LOG(K131/L131)</f>
        <v>0.29073003902416922</v>
      </c>
      <c r="N131" s="19">
        <f t="shared" ref="N131:N194" si="8">(K131-L131)-(H131-I131)</f>
        <v>4.8</v>
      </c>
    </row>
    <row r="132" spans="1:14" ht="21" x14ac:dyDescent="0.35">
      <c r="A132" s="10">
        <v>3116</v>
      </c>
      <c r="B132" s="7" t="s">
        <v>23</v>
      </c>
      <c r="C132" s="7" t="s">
        <v>25</v>
      </c>
      <c r="D132" s="7" t="s">
        <v>21</v>
      </c>
      <c r="E132" s="7" t="s">
        <v>24</v>
      </c>
      <c r="F132" s="7" t="s">
        <v>37</v>
      </c>
      <c r="G132">
        <v>2311</v>
      </c>
      <c r="H132" s="16">
        <v>5.0999999999999996</v>
      </c>
      <c r="I132" s="16">
        <v>4.5999999999999996</v>
      </c>
      <c r="J132" s="12">
        <f t="shared" si="6"/>
        <v>4.481234441636231E-2</v>
      </c>
      <c r="K132" s="16">
        <v>12.7</v>
      </c>
      <c r="L132" s="16">
        <v>7.9</v>
      </c>
      <c r="M132" s="16">
        <f t="shared" si="7"/>
        <v>0.20617662966551542</v>
      </c>
      <c r="N132" s="19">
        <f t="shared" si="8"/>
        <v>4.2999999999999989</v>
      </c>
    </row>
    <row r="133" spans="1:14" ht="21" x14ac:dyDescent="0.35">
      <c r="A133" s="10">
        <v>3117</v>
      </c>
      <c r="B133" s="7" t="s">
        <v>14</v>
      </c>
      <c r="C133" s="7" t="s">
        <v>17</v>
      </c>
      <c r="D133" s="7" t="s">
        <v>15</v>
      </c>
      <c r="E133" s="7" t="s">
        <v>15</v>
      </c>
      <c r="F133" s="7" t="s">
        <v>37</v>
      </c>
      <c r="G133">
        <v>2311</v>
      </c>
      <c r="H133" s="16">
        <v>7.4</v>
      </c>
      <c r="I133" s="16">
        <v>7.3</v>
      </c>
      <c r="J133" s="12">
        <f t="shared" si="6"/>
        <v>5.9088596105203147E-3</v>
      </c>
      <c r="K133" s="16">
        <v>13.2</v>
      </c>
      <c r="L133" s="16">
        <v>6.4</v>
      </c>
      <c r="M133" s="16">
        <f t="shared" si="7"/>
        <v>0.31439395722196262</v>
      </c>
      <c r="N133" s="19">
        <f t="shared" si="8"/>
        <v>6.6999999999999984</v>
      </c>
    </row>
    <row r="134" spans="1:14" ht="21" x14ac:dyDescent="0.35">
      <c r="A134" s="10">
        <v>3118</v>
      </c>
      <c r="B134" s="7" t="s">
        <v>20</v>
      </c>
      <c r="C134" s="7" t="s">
        <v>30</v>
      </c>
      <c r="D134" s="7" t="s">
        <v>21</v>
      </c>
      <c r="E134" s="7" t="s">
        <v>15</v>
      </c>
      <c r="F134" s="7" t="s">
        <v>37</v>
      </c>
      <c r="G134">
        <v>2311</v>
      </c>
      <c r="H134" s="16">
        <v>7.7</v>
      </c>
      <c r="I134" s="16">
        <v>7.1</v>
      </c>
      <c r="J134" s="12">
        <f t="shared" si="6"/>
        <v>3.5232376453406627E-2</v>
      </c>
      <c r="K134" s="16">
        <v>12</v>
      </c>
      <c r="L134" s="16">
        <v>9.1</v>
      </c>
      <c r="M134" s="16">
        <f t="shared" si="7"/>
        <v>0.12013985372653121</v>
      </c>
      <c r="N134" s="19">
        <f t="shared" si="8"/>
        <v>2.2999999999999998</v>
      </c>
    </row>
    <row r="135" spans="1:14" ht="21" x14ac:dyDescent="0.35">
      <c r="A135" s="10">
        <v>3119</v>
      </c>
      <c r="B135" s="7" t="s">
        <v>20</v>
      </c>
      <c r="C135" s="7" t="s">
        <v>30</v>
      </c>
      <c r="D135" s="7" t="s">
        <v>21</v>
      </c>
      <c r="E135" s="7" t="s">
        <v>15</v>
      </c>
      <c r="F135" s="7" t="s">
        <v>37</v>
      </c>
      <c r="G135">
        <v>2311</v>
      </c>
      <c r="H135" s="16">
        <v>7</v>
      </c>
      <c r="I135" s="16">
        <v>4.5</v>
      </c>
      <c r="J135" s="12">
        <f t="shared" si="6"/>
        <v>0.19188552623891317</v>
      </c>
      <c r="K135" s="16">
        <v>10.8</v>
      </c>
      <c r="L135" s="16">
        <v>6.4</v>
      </c>
      <c r="M135" s="16">
        <f t="shared" si="7"/>
        <v>0.22724378150306254</v>
      </c>
      <c r="N135" s="19">
        <f t="shared" si="8"/>
        <v>1.9000000000000004</v>
      </c>
    </row>
    <row r="136" spans="1:14" ht="21" x14ac:dyDescent="0.35">
      <c r="A136" s="10">
        <v>3129</v>
      </c>
      <c r="B136" s="7" t="s">
        <v>14</v>
      </c>
      <c r="C136" s="7" t="s">
        <v>17</v>
      </c>
      <c r="D136" s="7" t="s">
        <v>15</v>
      </c>
      <c r="E136" s="7" t="s">
        <v>15</v>
      </c>
      <c r="F136" s="7" t="s">
        <v>37</v>
      </c>
      <c r="G136">
        <v>2311</v>
      </c>
      <c r="H136" s="16">
        <v>6</v>
      </c>
      <c r="I136" s="16">
        <v>6</v>
      </c>
      <c r="J136" s="12">
        <f t="shared" si="6"/>
        <v>0</v>
      </c>
      <c r="K136" s="16">
        <v>17.399999999999999</v>
      </c>
      <c r="L136" s="16">
        <v>4.9000000000000004</v>
      </c>
      <c r="M136" s="16">
        <f t="shared" si="7"/>
        <v>0.55035316825408598</v>
      </c>
      <c r="N136" s="19">
        <f t="shared" si="8"/>
        <v>12.499999999999998</v>
      </c>
    </row>
    <row r="137" spans="1:14" ht="21" x14ac:dyDescent="0.35">
      <c r="A137" s="10">
        <v>3130</v>
      </c>
      <c r="B137" s="7" t="s">
        <v>14</v>
      </c>
      <c r="C137" s="7" t="s">
        <v>13</v>
      </c>
      <c r="D137" s="7" t="s">
        <v>15</v>
      </c>
      <c r="E137" s="7" t="s">
        <v>15</v>
      </c>
      <c r="F137" s="7" t="s">
        <v>37</v>
      </c>
      <c r="G137">
        <v>2311</v>
      </c>
      <c r="H137" s="16">
        <v>7.9</v>
      </c>
      <c r="I137" s="16">
        <v>7.5</v>
      </c>
      <c r="J137" s="12">
        <f t="shared" si="6"/>
        <v>2.2565827898741432E-2</v>
      </c>
      <c r="K137" s="16">
        <v>10.4</v>
      </c>
      <c r="L137" s="16">
        <v>6.7</v>
      </c>
      <c r="M137" s="16">
        <f t="shared" si="7"/>
        <v>0.19095853659795392</v>
      </c>
      <c r="N137" s="19">
        <f t="shared" si="8"/>
        <v>3.3</v>
      </c>
    </row>
    <row r="138" spans="1:14" ht="21" x14ac:dyDescent="0.35">
      <c r="A138" s="10">
        <v>3131</v>
      </c>
      <c r="B138" s="7" t="s">
        <v>14</v>
      </c>
      <c r="C138" s="7" t="s">
        <v>13</v>
      </c>
      <c r="D138" s="7" t="s">
        <v>15</v>
      </c>
      <c r="E138" s="7" t="s">
        <v>15</v>
      </c>
      <c r="F138" s="7" t="s">
        <v>37</v>
      </c>
      <c r="G138">
        <v>2311</v>
      </c>
      <c r="H138" s="16">
        <v>6.6</v>
      </c>
      <c r="I138" s="16">
        <v>6.9</v>
      </c>
      <c r="J138" s="12">
        <f t="shared" si="6"/>
        <v>-1.930515519538668E-2</v>
      </c>
      <c r="K138" s="16">
        <v>15.1</v>
      </c>
      <c r="L138" s="16">
        <v>5.5</v>
      </c>
      <c r="M138" s="16">
        <f t="shared" si="7"/>
        <v>0.4386142577989256</v>
      </c>
      <c r="N138" s="19">
        <f t="shared" si="8"/>
        <v>9.9</v>
      </c>
    </row>
    <row r="139" spans="1:14" ht="21" x14ac:dyDescent="0.35">
      <c r="A139" s="10">
        <v>3132</v>
      </c>
      <c r="B139" s="7" t="s">
        <v>27</v>
      </c>
      <c r="C139" s="7" t="s">
        <v>26</v>
      </c>
      <c r="D139" s="7" t="s">
        <v>15</v>
      </c>
      <c r="E139" s="7" t="s">
        <v>24</v>
      </c>
      <c r="F139" s="7" t="s">
        <v>37</v>
      </c>
      <c r="G139">
        <v>2311</v>
      </c>
      <c r="H139" s="16">
        <v>6.2</v>
      </c>
      <c r="I139" s="16">
        <v>9.5</v>
      </c>
      <c r="J139" s="12">
        <f t="shared" si="6"/>
        <v>-0.18533191579059388</v>
      </c>
      <c r="K139" s="16">
        <v>12.7</v>
      </c>
      <c r="L139" s="16">
        <v>9.1999999999999993</v>
      </c>
      <c r="M139" s="16">
        <f t="shared" si="7"/>
        <v>0.14001589361040165</v>
      </c>
      <c r="N139" s="19">
        <f t="shared" si="8"/>
        <v>6.8</v>
      </c>
    </row>
    <row r="140" spans="1:14" ht="21" x14ac:dyDescent="0.35">
      <c r="A140" s="10">
        <v>3137</v>
      </c>
      <c r="B140" s="7" t="s">
        <v>23</v>
      </c>
      <c r="C140" s="7" t="s">
        <v>46</v>
      </c>
      <c r="D140" s="7" t="s">
        <v>21</v>
      </c>
      <c r="E140" s="7" t="s">
        <v>24</v>
      </c>
      <c r="F140" s="7" t="s">
        <v>37</v>
      </c>
      <c r="G140">
        <v>2311</v>
      </c>
      <c r="H140" s="16">
        <v>6.1</v>
      </c>
      <c r="I140" s="16">
        <v>5.8</v>
      </c>
      <c r="J140" s="12">
        <f t="shared" si="6"/>
        <v>2.1901841447829747E-2</v>
      </c>
      <c r="K140" s="16">
        <v>10.9</v>
      </c>
      <c r="L140" s="16">
        <v>6</v>
      </c>
      <c r="M140" s="16">
        <f t="shared" si="7"/>
        <v>0.25927524755698</v>
      </c>
      <c r="N140" s="19">
        <f t="shared" si="8"/>
        <v>4.6000000000000005</v>
      </c>
    </row>
    <row r="141" spans="1:14" ht="21" x14ac:dyDescent="0.35">
      <c r="A141" s="10">
        <v>3143</v>
      </c>
      <c r="B141" s="7" t="s">
        <v>20</v>
      </c>
      <c r="C141" s="7" t="s">
        <v>30</v>
      </c>
      <c r="D141" s="7" t="s">
        <v>21</v>
      </c>
      <c r="E141" s="7" t="s">
        <v>15</v>
      </c>
      <c r="F141" s="7" t="s">
        <v>37</v>
      </c>
      <c r="G141">
        <v>2311</v>
      </c>
      <c r="H141" s="16">
        <v>7.6</v>
      </c>
      <c r="I141" s="16">
        <v>8.6999999999999993</v>
      </c>
      <c r="J141" s="12">
        <f t="shared" si="6"/>
        <v>-5.8705660337827148E-2</v>
      </c>
      <c r="K141" s="16">
        <v>10.5</v>
      </c>
      <c r="L141" s="16">
        <v>7.1</v>
      </c>
      <c r="M141" s="16">
        <f t="shared" si="7"/>
        <v>0.16993095035086281</v>
      </c>
      <c r="N141" s="19">
        <f t="shared" si="8"/>
        <v>4.5</v>
      </c>
    </row>
    <row r="142" spans="1:14" ht="21" x14ac:dyDescent="0.35">
      <c r="A142" s="10">
        <v>3144</v>
      </c>
      <c r="B142" s="7" t="s">
        <v>23</v>
      </c>
      <c r="C142" s="7" t="s">
        <v>46</v>
      </c>
      <c r="D142" s="7" t="s">
        <v>21</v>
      </c>
      <c r="E142" s="7" t="s">
        <v>24</v>
      </c>
      <c r="F142" s="7" t="s">
        <v>37</v>
      </c>
      <c r="G142">
        <v>2311</v>
      </c>
      <c r="H142" s="16">
        <v>8.9</v>
      </c>
      <c r="I142" s="16">
        <v>7.5</v>
      </c>
      <c r="J142" s="12">
        <f t="shared" si="6"/>
        <v>7.4328743253212773E-2</v>
      </c>
      <c r="K142" s="16">
        <v>10.4</v>
      </c>
      <c r="L142" s="16">
        <v>7.3</v>
      </c>
      <c r="M142" s="16">
        <f t="shared" si="7"/>
        <v>0.15371047917832451</v>
      </c>
      <c r="N142" s="19">
        <f t="shared" si="8"/>
        <v>1.7000000000000002</v>
      </c>
    </row>
    <row r="143" spans="1:14" ht="21" x14ac:dyDescent="0.35">
      <c r="A143" s="10">
        <v>3150</v>
      </c>
      <c r="B143" s="7" t="s">
        <v>20</v>
      </c>
      <c r="C143" s="7" t="s">
        <v>51</v>
      </c>
      <c r="D143" s="7" t="s">
        <v>21</v>
      </c>
      <c r="E143" s="7" t="s">
        <v>15</v>
      </c>
      <c r="F143" s="7" t="s">
        <v>37</v>
      </c>
      <c r="G143">
        <v>2311</v>
      </c>
      <c r="H143" s="16">
        <v>4.7</v>
      </c>
      <c r="I143" s="16">
        <v>4.5</v>
      </c>
      <c r="J143" s="12">
        <f t="shared" si="6"/>
        <v>1.8885344160373813E-2</v>
      </c>
      <c r="K143" s="16">
        <v>10</v>
      </c>
      <c r="L143" s="16">
        <v>6.4</v>
      </c>
      <c r="M143" s="16">
        <f t="shared" si="7"/>
        <v>0.19382002601611284</v>
      </c>
      <c r="N143" s="19">
        <f t="shared" si="8"/>
        <v>3.3999999999999995</v>
      </c>
    </row>
    <row r="144" spans="1:14" ht="21" x14ac:dyDescent="0.35">
      <c r="A144" s="10">
        <v>3158</v>
      </c>
      <c r="B144" s="7" t="s">
        <v>20</v>
      </c>
      <c r="C144" s="7" t="s">
        <v>51</v>
      </c>
      <c r="D144" s="7" t="s">
        <v>21</v>
      </c>
      <c r="E144" s="7" t="s">
        <v>15</v>
      </c>
      <c r="F144" s="7" t="s">
        <v>37</v>
      </c>
      <c r="G144">
        <v>2311</v>
      </c>
      <c r="H144" s="16">
        <v>5.4</v>
      </c>
      <c r="I144" s="16">
        <v>5.8</v>
      </c>
      <c r="J144" s="12">
        <f t="shared" si="6"/>
        <v>-3.1034233739968737E-2</v>
      </c>
      <c r="K144" s="16">
        <v>9.4</v>
      </c>
      <c r="L144" s="16">
        <v>5.3</v>
      </c>
      <c r="M144" s="16">
        <f t="shared" si="7"/>
        <v>0.24885198399890962</v>
      </c>
      <c r="N144" s="19">
        <f t="shared" si="8"/>
        <v>4.5</v>
      </c>
    </row>
    <row r="145" spans="1:14" ht="21" x14ac:dyDescent="0.35">
      <c r="A145" s="10">
        <v>3165</v>
      </c>
      <c r="B145" s="7" t="s">
        <v>14</v>
      </c>
      <c r="C145" s="7" t="s">
        <v>34</v>
      </c>
      <c r="D145" s="7" t="s">
        <v>15</v>
      </c>
      <c r="E145" s="7" t="s">
        <v>15</v>
      </c>
      <c r="F145" s="7" t="s">
        <v>37</v>
      </c>
      <c r="G145">
        <v>2311</v>
      </c>
      <c r="H145" s="16">
        <v>5.9</v>
      </c>
      <c r="I145" s="16">
        <v>4.9000000000000004</v>
      </c>
      <c r="J145" s="12">
        <f t="shared" si="6"/>
        <v>8.0655931613630535E-2</v>
      </c>
      <c r="K145" s="16">
        <v>11.9</v>
      </c>
      <c r="L145" s="16">
        <v>5.9</v>
      </c>
      <c r="M145" s="16">
        <f t="shared" si="7"/>
        <v>0.30469494975038658</v>
      </c>
      <c r="N145" s="19">
        <f t="shared" si="8"/>
        <v>5</v>
      </c>
    </row>
    <row r="146" spans="1:14" ht="21" x14ac:dyDescent="0.35">
      <c r="A146" s="10">
        <v>3169</v>
      </c>
      <c r="B146" s="7" t="s">
        <v>14</v>
      </c>
      <c r="C146" s="7" t="s">
        <v>34</v>
      </c>
      <c r="D146" s="7" t="s">
        <v>15</v>
      </c>
      <c r="E146" s="7" t="s">
        <v>15</v>
      </c>
      <c r="F146" s="7" t="s">
        <v>37</v>
      </c>
      <c r="G146">
        <v>2311</v>
      </c>
      <c r="H146" s="16">
        <v>7.1</v>
      </c>
      <c r="I146" s="16">
        <v>6.7</v>
      </c>
      <c r="J146" s="12">
        <f t="shared" si="6"/>
        <v>2.5183546018248831E-2</v>
      </c>
      <c r="K146" s="16">
        <v>14.6</v>
      </c>
      <c r="L146" s="16">
        <v>6.1</v>
      </c>
      <c r="M146" s="16">
        <f t="shared" si="7"/>
        <v>0.37902302077367006</v>
      </c>
      <c r="N146" s="19">
        <f t="shared" si="8"/>
        <v>8.1000000000000014</v>
      </c>
    </row>
    <row r="147" spans="1:14" ht="21" x14ac:dyDescent="0.35">
      <c r="A147" s="10">
        <v>3171</v>
      </c>
      <c r="B147" s="7" t="s">
        <v>14</v>
      </c>
      <c r="C147" s="7" t="s">
        <v>34</v>
      </c>
      <c r="D147" s="7" t="s">
        <v>15</v>
      </c>
      <c r="E147" s="7" t="s">
        <v>15</v>
      </c>
      <c r="F147" s="7" t="s">
        <v>37</v>
      </c>
      <c r="G147">
        <v>2311</v>
      </c>
      <c r="H147" s="16">
        <v>5.4</v>
      </c>
      <c r="I147" s="16">
        <v>6.7</v>
      </c>
      <c r="J147" s="12">
        <f t="shared" si="6"/>
        <v>-9.3681042877857931E-2</v>
      </c>
      <c r="K147" s="16">
        <v>9.6999999999999993</v>
      </c>
      <c r="L147" s="16">
        <v>6.2</v>
      </c>
      <c r="M147" s="16">
        <f t="shared" si="7"/>
        <v>0.19438004476799095</v>
      </c>
      <c r="N147" s="19">
        <f t="shared" si="8"/>
        <v>4.7999999999999989</v>
      </c>
    </row>
    <row r="148" spans="1:14" ht="21" x14ac:dyDescent="0.35">
      <c r="A148" s="10">
        <v>3172</v>
      </c>
      <c r="B148" s="7" t="s">
        <v>14</v>
      </c>
      <c r="C148" s="7" t="s">
        <v>34</v>
      </c>
      <c r="D148" s="7" t="s">
        <v>15</v>
      </c>
      <c r="E148" s="7" t="s">
        <v>15</v>
      </c>
      <c r="F148" s="7" t="s">
        <v>37</v>
      </c>
      <c r="G148">
        <v>2311</v>
      </c>
      <c r="H148" s="16">
        <v>6.4</v>
      </c>
      <c r="I148" s="16">
        <v>6.3</v>
      </c>
      <c r="J148" s="12">
        <f t="shared" si="6"/>
        <v>6.8394245303055367E-3</v>
      </c>
      <c r="K148" s="16">
        <v>11</v>
      </c>
      <c r="L148" s="16">
        <v>8.6</v>
      </c>
      <c r="M148" s="16">
        <f t="shared" si="7"/>
        <v>0.10689423391465734</v>
      </c>
      <c r="N148" s="19">
        <f t="shared" si="8"/>
        <v>2.2999999999999998</v>
      </c>
    </row>
    <row r="149" spans="1:14" ht="21" x14ac:dyDescent="0.35">
      <c r="A149" s="10">
        <v>3174</v>
      </c>
      <c r="B149" s="7" t="s">
        <v>14</v>
      </c>
      <c r="C149" s="7" t="s">
        <v>34</v>
      </c>
      <c r="D149" s="7" t="s">
        <v>15</v>
      </c>
      <c r="E149" s="7" t="s">
        <v>15</v>
      </c>
      <c r="F149" s="7" t="s">
        <v>37</v>
      </c>
      <c r="G149">
        <v>2311</v>
      </c>
      <c r="H149" s="16">
        <v>5.7</v>
      </c>
      <c r="I149" s="16">
        <v>6.6</v>
      </c>
      <c r="J149" s="12">
        <f t="shared" si="6"/>
        <v>-6.3669079869377213E-2</v>
      </c>
      <c r="K149" s="16">
        <v>11</v>
      </c>
      <c r="L149" s="16">
        <v>6.6</v>
      </c>
      <c r="M149" s="16">
        <f t="shared" si="7"/>
        <v>0.22184874961635639</v>
      </c>
      <c r="N149" s="19">
        <f t="shared" si="8"/>
        <v>5.3</v>
      </c>
    </row>
    <row r="150" spans="1:14" ht="21" x14ac:dyDescent="0.35">
      <c r="A150" s="10">
        <v>3175</v>
      </c>
      <c r="B150" s="7" t="s">
        <v>14</v>
      </c>
      <c r="C150" s="7" t="s">
        <v>34</v>
      </c>
      <c r="D150" s="7" t="s">
        <v>15</v>
      </c>
      <c r="E150" s="7" t="s">
        <v>15</v>
      </c>
      <c r="F150" s="7" t="s">
        <v>37</v>
      </c>
      <c r="G150">
        <v>2311</v>
      </c>
      <c r="H150" s="16">
        <v>4.9000000000000004</v>
      </c>
      <c r="I150" s="16">
        <v>5.9</v>
      </c>
      <c r="J150" s="12">
        <f t="shared" si="6"/>
        <v>-8.0655931613630522E-2</v>
      </c>
      <c r="K150" s="16">
        <v>12.6</v>
      </c>
      <c r="L150" s="16">
        <v>5.3</v>
      </c>
      <c r="M150" s="16">
        <f t="shared" si="7"/>
        <v>0.37609467551677384</v>
      </c>
      <c r="N150" s="19">
        <f t="shared" si="8"/>
        <v>8.3000000000000007</v>
      </c>
    </row>
    <row r="151" spans="1:14" ht="21" x14ac:dyDescent="0.35">
      <c r="A151" s="10">
        <v>3201</v>
      </c>
      <c r="B151" s="7" t="s">
        <v>14</v>
      </c>
      <c r="C151" s="7" t="s">
        <v>17</v>
      </c>
      <c r="D151" s="7" t="s">
        <v>15</v>
      </c>
      <c r="E151" s="7" t="s">
        <v>15</v>
      </c>
      <c r="F151" s="7" t="s">
        <v>37</v>
      </c>
      <c r="G151">
        <v>2311</v>
      </c>
      <c r="H151" s="16"/>
      <c r="I151" s="16"/>
      <c r="J151" s="12" t="e">
        <f t="shared" si="6"/>
        <v>#DIV/0!</v>
      </c>
      <c r="K151" s="16">
        <v>12.7</v>
      </c>
      <c r="L151" s="16">
        <v>7.8</v>
      </c>
      <c r="M151" s="16">
        <f t="shared" si="7"/>
        <v>0.21170911826547645</v>
      </c>
      <c r="N151" s="19">
        <f t="shared" si="8"/>
        <v>4.8999999999999995</v>
      </c>
    </row>
    <row r="152" spans="1:14" ht="21" x14ac:dyDescent="0.35">
      <c r="A152" s="10">
        <v>3205</v>
      </c>
      <c r="B152" s="7" t="s">
        <v>14</v>
      </c>
      <c r="C152" s="7" t="s">
        <v>17</v>
      </c>
      <c r="D152" s="7" t="s">
        <v>15</v>
      </c>
      <c r="E152" s="7" t="s">
        <v>15</v>
      </c>
      <c r="F152" s="7" t="s">
        <v>37</v>
      </c>
      <c r="G152">
        <v>2311</v>
      </c>
      <c r="H152" s="16">
        <v>9.3000000000000007</v>
      </c>
      <c r="I152" s="16">
        <v>8.6999999999999993</v>
      </c>
      <c r="J152" s="12">
        <f t="shared" si="6"/>
        <v>2.8963695935316648E-2</v>
      </c>
      <c r="K152" s="16">
        <v>10</v>
      </c>
      <c r="L152" s="16">
        <v>6.4</v>
      </c>
      <c r="M152" s="16">
        <f t="shared" si="7"/>
        <v>0.19382002601611284</v>
      </c>
      <c r="N152" s="19">
        <f t="shared" si="8"/>
        <v>2.9999999999999982</v>
      </c>
    </row>
    <row r="153" spans="1:14" ht="21" x14ac:dyDescent="0.35">
      <c r="A153" s="10">
        <v>3210</v>
      </c>
      <c r="B153" s="7" t="s">
        <v>20</v>
      </c>
      <c r="C153" s="7" t="s">
        <v>30</v>
      </c>
      <c r="D153" s="7" t="s">
        <v>21</v>
      </c>
      <c r="E153" s="7" t="s">
        <v>15</v>
      </c>
      <c r="F153" s="7" t="s">
        <v>37</v>
      </c>
      <c r="G153">
        <v>2311</v>
      </c>
      <c r="H153" s="16">
        <v>6.5</v>
      </c>
      <c r="I153" s="16">
        <v>6.8</v>
      </c>
      <c r="J153" s="12">
        <f t="shared" si="6"/>
        <v>-1.9595556063380724E-2</v>
      </c>
      <c r="K153" s="16">
        <v>12.4</v>
      </c>
      <c r="L153" s="16">
        <v>8.4</v>
      </c>
      <c r="M153" s="16">
        <f t="shared" si="7"/>
        <v>0.16914239910035345</v>
      </c>
      <c r="N153" s="19">
        <f t="shared" si="8"/>
        <v>4.3</v>
      </c>
    </row>
    <row r="154" spans="1:14" ht="21" x14ac:dyDescent="0.35">
      <c r="A154" s="10">
        <v>3211</v>
      </c>
      <c r="B154" s="7" t="s">
        <v>27</v>
      </c>
      <c r="C154" s="7" t="s">
        <v>26</v>
      </c>
      <c r="D154" s="7" t="s">
        <v>15</v>
      </c>
      <c r="E154" s="7" t="s">
        <v>24</v>
      </c>
      <c r="F154" s="7" t="s">
        <v>37</v>
      </c>
      <c r="G154">
        <v>2311</v>
      </c>
      <c r="H154" s="16">
        <v>7.3</v>
      </c>
      <c r="I154" s="16">
        <v>6.3</v>
      </c>
      <c r="J154" s="12">
        <f t="shared" si="6"/>
        <v>6.3982310666874237E-2</v>
      </c>
      <c r="K154" s="16">
        <v>13.3</v>
      </c>
      <c r="L154" s="16">
        <v>7.5</v>
      </c>
      <c r="M154" s="16">
        <f t="shared" si="7"/>
        <v>0.24879037757538577</v>
      </c>
      <c r="N154" s="19">
        <f t="shared" si="8"/>
        <v>4.8000000000000007</v>
      </c>
    </row>
    <row r="155" spans="1:14" ht="21" x14ac:dyDescent="0.35">
      <c r="A155" s="10">
        <v>3214</v>
      </c>
      <c r="B155" s="7" t="s">
        <v>20</v>
      </c>
      <c r="C155" s="7" t="s">
        <v>44</v>
      </c>
      <c r="D155" s="7" t="s">
        <v>21</v>
      </c>
      <c r="E155" s="7" t="s">
        <v>15</v>
      </c>
      <c r="F155" s="7" t="s">
        <v>37</v>
      </c>
      <c r="G155">
        <v>2311</v>
      </c>
      <c r="H155" s="16">
        <v>5.0999999999999996</v>
      </c>
      <c r="I155" s="16">
        <v>4.9000000000000004</v>
      </c>
      <c r="J155" s="12">
        <f t="shared" si="6"/>
        <v>1.7374096069422629E-2</v>
      </c>
      <c r="K155" s="16">
        <v>14.2</v>
      </c>
      <c r="L155" s="16">
        <v>6.7</v>
      </c>
      <c r="M155" s="16">
        <f t="shared" si="7"/>
        <v>0.32621354168223005</v>
      </c>
      <c r="N155" s="19">
        <f t="shared" si="8"/>
        <v>7.3</v>
      </c>
    </row>
    <row r="156" spans="1:14" ht="21" x14ac:dyDescent="0.35">
      <c r="A156" s="10">
        <v>3215</v>
      </c>
      <c r="B156" s="7" t="s">
        <v>14</v>
      </c>
      <c r="C156" s="7" t="s">
        <v>45</v>
      </c>
      <c r="D156" s="7" t="s">
        <v>15</v>
      </c>
      <c r="E156" s="7" t="s">
        <v>15</v>
      </c>
      <c r="F156" s="7" t="s">
        <v>37</v>
      </c>
      <c r="G156">
        <v>2311</v>
      </c>
      <c r="H156" s="16">
        <v>8.1999999999999993</v>
      </c>
      <c r="I156" s="16">
        <v>6.5</v>
      </c>
      <c r="J156" s="12">
        <f t="shared" si="6"/>
        <v>0.1009004957408611</v>
      </c>
      <c r="K156" s="16">
        <v>12</v>
      </c>
      <c r="L156" s="16">
        <v>6.3</v>
      </c>
      <c r="M156" s="16">
        <f t="shared" si="7"/>
        <v>0.27984069659404315</v>
      </c>
      <c r="N156" s="19">
        <f t="shared" si="8"/>
        <v>4.0000000000000009</v>
      </c>
    </row>
    <row r="157" spans="1:14" ht="21" x14ac:dyDescent="0.35">
      <c r="A157" s="10">
        <v>3216</v>
      </c>
      <c r="B157" s="7" t="s">
        <v>23</v>
      </c>
      <c r="C157" s="7" t="s">
        <v>25</v>
      </c>
      <c r="D157" s="7" t="s">
        <v>21</v>
      </c>
      <c r="E157" s="7" t="s">
        <v>24</v>
      </c>
      <c r="F157" s="7" t="s">
        <v>37</v>
      </c>
      <c r="G157">
        <v>2311</v>
      </c>
      <c r="H157" s="16">
        <v>5.2</v>
      </c>
      <c r="I157" s="16">
        <v>4.7</v>
      </c>
      <c r="J157" s="12">
        <f t="shared" si="6"/>
        <v>4.390548569908171E-2</v>
      </c>
      <c r="K157" s="16">
        <v>11.1</v>
      </c>
      <c r="L157" s="16">
        <v>5.5</v>
      </c>
      <c r="M157" s="16">
        <f t="shared" si="7"/>
        <v>0.30496028929241359</v>
      </c>
      <c r="N157" s="19">
        <f t="shared" si="8"/>
        <v>5.0999999999999996</v>
      </c>
    </row>
    <row r="158" spans="1:14" ht="21" x14ac:dyDescent="0.35">
      <c r="A158" s="10">
        <v>3217</v>
      </c>
      <c r="B158" s="7" t="s">
        <v>14</v>
      </c>
      <c r="C158" s="7" t="s">
        <v>13</v>
      </c>
      <c r="D158" s="7" t="s">
        <v>15</v>
      </c>
      <c r="E158" s="7" t="s">
        <v>15</v>
      </c>
      <c r="F158" s="7" t="s">
        <v>37</v>
      </c>
      <c r="G158">
        <v>2311</v>
      </c>
      <c r="H158" s="16">
        <v>7.5</v>
      </c>
      <c r="I158" s="16">
        <v>9.4</v>
      </c>
      <c r="J158" s="12">
        <f t="shared" si="6"/>
        <v>-9.8066590207998627E-2</v>
      </c>
      <c r="K158" s="16">
        <v>12.8</v>
      </c>
      <c r="L158" s="16">
        <v>7</v>
      </c>
      <c r="M158" s="16">
        <f t="shared" si="7"/>
        <v>0.26211192963361157</v>
      </c>
      <c r="N158" s="19">
        <f t="shared" si="8"/>
        <v>7.7000000000000011</v>
      </c>
    </row>
    <row r="159" spans="1:14" ht="21" x14ac:dyDescent="0.35">
      <c r="A159" s="10">
        <v>3219</v>
      </c>
      <c r="B159" s="7" t="s">
        <v>14</v>
      </c>
      <c r="C159" s="7" t="s">
        <v>13</v>
      </c>
      <c r="D159" s="7" t="s">
        <v>15</v>
      </c>
      <c r="E159" s="7" t="s">
        <v>15</v>
      </c>
      <c r="F159" s="7" t="s">
        <v>37</v>
      </c>
      <c r="G159">
        <v>2311</v>
      </c>
      <c r="H159" s="16">
        <v>6.6</v>
      </c>
      <c r="I159" s="16">
        <v>7</v>
      </c>
      <c r="J159" s="12">
        <f t="shared" si="6"/>
        <v>-2.5554104472388168E-2</v>
      </c>
      <c r="K159" s="16">
        <v>14.9</v>
      </c>
      <c r="L159" s="16">
        <v>12.4</v>
      </c>
      <c r="M159" s="16">
        <f t="shared" si="7"/>
        <v>7.976458325003899E-2</v>
      </c>
      <c r="N159" s="19">
        <f t="shared" si="8"/>
        <v>2.9000000000000004</v>
      </c>
    </row>
    <row r="160" spans="1:14" ht="21" x14ac:dyDescent="0.35">
      <c r="A160" s="10">
        <v>3220</v>
      </c>
      <c r="B160" s="7" t="s">
        <v>14</v>
      </c>
      <c r="C160" s="7" t="s">
        <v>13</v>
      </c>
      <c r="D160" s="7" t="s">
        <v>15</v>
      </c>
      <c r="E160" s="7" t="s">
        <v>15</v>
      </c>
      <c r="F160" s="7" t="s">
        <v>37</v>
      </c>
      <c r="G160">
        <v>2311</v>
      </c>
      <c r="H160" s="16">
        <v>11.3</v>
      </c>
      <c r="I160" s="16">
        <v>11.4</v>
      </c>
      <c r="J160" s="12">
        <f t="shared" si="6"/>
        <v>-3.8264078530528345E-3</v>
      </c>
      <c r="K160" s="16">
        <v>11.1</v>
      </c>
      <c r="L160" s="16">
        <v>9.1</v>
      </c>
      <c r="M160" s="16">
        <f t="shared" si="7"/>
        <v>8.6281586465563873E-2</v>
      </c>
      <c r="N160" s="19">
        <f t="shared" si="8"/>
        <v>2.0999999999999996</v>
      </c>
    </row>
    <row r="161" spans="1:14" ht="21" x14ac:dyDescent="0.35">
      <c r="A161" s="10">
        <v>3221</v>
      </c>
      <c r="B161" s="7" t="s">
        <v>20</v>
      </c>
      <c r="C161" s="7" t="s">
        <v>44</v>
      </c>
      <c r="D161" s="7" t="s">
        <v>21</v>
      </c>
      <c r="E161" s="7" t="s">
        <v>15</v>
      </c>
      <c r="F161" s="7" t="s">
        <v>37</v>
      </c>
      <c r="G161">
        <v>2311</v>
      </c>
      <c r="H161" s="16">
        <v>7.5</v>
      </c>
      <c r="I161" s="16">
        <v>6.5</v>
      </c>
      <c r="J161" s="12">
        <f t="shared" si="6"/>
        <v>6.2147906748844434E-2</v>
      </c>
      <c r="K161" s="16">
        <v>14.1</v>
      </c>
      <c r="L161" s="16">
        <v>7.1</v>
      </c>
      <c r="M161" s="16">
        <f t="shared" si="7"/>
        <v>0.29796076393630461</v>
      </c>
      <c r="N161" s="19">
        <f t="shared" si="8"/>
        <v>6</v>
      </c>
    </row>
    <row r="162" spans="1:14" ht="21" x14ac:dyDescent="0.35">
      <c r="A162" s="10">
        <v>3225</v>
      </c>
      <c r="B162" s="7" t="s">
        <v>23</v>
      </c>
      <c r="C162" s="7" t="s">
        <v>32</v>
      </c>
      <c r="D162" s="7" t="s">
        <v>21</v>
      </c>
      <c r="E162" s="7" t="s">
        <v>24</v>
      </c>
      <c r="F162" s="7" t="s">
        <v>37</v>
      </c>
      <c r="G162">
        <v>2311</v>
      </c>
      <c r="H162" s="16">
        <v>6.4</v>
      </c>
      <c r="I162" s="16">
        <v>6.7</v>
      </c>
      <c r="J162" s="12">
        <f t="shared" si="6"/>
        <v>-1.9894828716939272E-2</v>
      </c>
      <c r="K162" s="16">
        <v>10.5</v>
      </c>
      <c r="L162" s="16">
        <v>4.5999999999999996</v>
      </c>
      <c r="M162" s="16">
        <f t="shared" si="7"/>
        <v>0.35843146738836407</v>
      </c>
      <c r="N162" s="19">
        <f t="shared" si="8"/>
        <v>6.2</v>
      </c>
    </row>
    <row r="163" spans="1:14" ht="21" x14ac:dyDescent="0.35">
      <c r="A163" s="10">
        <v>3227</v>
      </c>
      <c r="B163" s="7" t="s">
        <v>27</v>
      </c>
      <c r="C163" s="7" t="s">
        <v>67</v>
      </c>
      <c r="D163" s="7" t="s">
        <v>15</v>
      </c>
      <c r="E163" s="7" t="s">
        <v>24</v>
      </c>
      <c r="F163" s="7" t="s">
        <v>37</v>
      </c>
      <c r="G163">
        <v>2311</v>
      </c>
      <c r="H163" s="16">
        <v>8.3000000000000007</v>
      </c>
      <c r="I163" s="16">
        <v>8.4</v>
      </c>
      <c r="J163" s="12">
        <f t="shared" si="6"/>
        <v>-5.2011936858077359E-3</v>
      </c>
      <c r="K163" s="16">
        <v>18.3</v>
      </c>
      <c r="L163" s="16">
        <v>9.1</v>
      </c>
      <c r="M163" s="16">
        <f t="shared" si="7"/>
        <v>0.30340969740933588</v>
      </c>
      <c r="N163" s="19">
        <f t="shared" si="8"/>
        <v>9.3000000000000007</v>
      </c>
    </row>
    <row r="164" spans="1:14" ht="21" x14ac:dyDescent="0.35">
      <c r="A164" s="10">
        <v>3231</v>
      </c>
      <c r="B164" s="7" t="s">
        <v>27</v>
      </c>
      <c r="C164" s="7" t="s">
        <v>67</v>
      </c>
      <c r="D164" s="7" t="s">
        <v>15</v>
      </c>
      <c r="E164" s="7" t="s">
        <v>24</v>
      </c>
      <c r="F164" s="7" t="s">
        <v>37</v>
      </c>
      <c r="G164">
        <v>2311</v>
      </c>
      <c r="H164" s="16">
        <v>8.1999999999999993</v>
      </c>
      <c r="I164" s="16">
        <v>7.8</v>
      </c>
      <c r="J164" s="12">
        <f t="shared" si="6"/>
        <v>2.1719249693236305E-2</v>
      </c>
      <c r="K164" s="16">
        <v>12.2</v>
      </c>
      <c r="L164" s="16">
        <v>7.4</v>
      </c>
      <c r="M164" s="16">
        <f t="shared" si="7"/>
        <v>0.21712811094377199</v>
      </c>
      <c r="N164" s="19">
        <f t="shared" si="8"/>
        <v>4.3999999999999995</v>
      </c>
    </row>
    <row r="165" spans="1:14" ht="21" x14ac:dyDescent="0.35">
      <c r="A165" s="10">
        <v>3233</v>
      </c>
      <c r="B165" s="7" t="s">
        <v>27</v>
      </c>
      <c r="C165" s="7" t="s">
        <v>67</v>
      </c>
      <c r="D165" s="7" t="s">
        <v>15</v>
      </c>
      <c r="E165" s="7" t="s">
        <v>24</v>
      </c>
      <c r="F165" s="7" t="s">
        <v>37</v>
      </c>
      <c r="G165">
        <v>2311</v>
      </c>
      <c r="H165" s="16">
        <v>6.4</v>
      </c>
      <c r="I165" s="16">
        <v>6.3</v>
      </c>
      <c r="J165" s="12">
        <f t="shared" si="6"/>
        <v>6.8394245303055367E-3</v>
      </c>
      <c r="K165" s="16">
        <v>10.9</v>
      </c>
      <c r="L165" s="16">
        <v>8.8000000000000007</v>
      </c>
      <c r="M165" s="16">
        <f t="shared" si="7"/>
        <v>9.2943825790454973E-2</v>
      </c>
      <c r="N165" s="19">
        <f t="shared" si="8"/>
        <v>1.9999999999999991</v>
      </c>
    </row>
    <row r="166" spans="1:14" ht="21" x14ac:dyDescent="0.35">
      <c r="A166" s="10">
        <v>3239</v>
      </c>
      <c r="B166" s="7" t="s">
        <v>27</v>
      </c>
      <c r="C166" s="7" t="s">
        <v>67</v>
      </c>
      <c r="D166" s="7" t="s">
        <v>15</v>
      </c>
      <c r="E166" s="7" t="s">
        <v>24</v>
      </c>
      <c r="F166" s="7" t="s">
        <v>37</v>
      </c>
      <c r="G166">
        <v>2311</v>
      </c>
      <c r="H166" s="16">
        <v>5.7</v>
      </c>
      <c r="I166" s="16">
        <v>6.5</v>
      </c>
      <c r="J166" s="12">
        <f t="shared" si="6"/>
        <v>-5.7038500970364177E-2</v>
      </c>
      <c r="K166" s="16">
        <v>13.3</v>
      </c>
      <c r="L166" s="16">
        <v>9.1999999999999993</v>
      </c>
      <c r="M166" s="16">
        <f t="shared" si="7"/>
        <v>0.16006381362153058</v>
      </c>
      <c r="N166" s="19">
        <f t="shared" si="8"/>
        <v>4.9000000000000012</v>
      </c>
    </row>
    <row r="167" spans="1:14" ht="21" x14ac:dyDescent="0.35">
      <c r="A167" s="10">
        <v>3240</v>
      </c>
      <c r="B167" s="7" t="s">
        <v>27</v>
      </c>
      <c r="C167" s="7" t="s">
        <v>67</v>
      </c>
      <c r="D167" s="7" t="s">
        <v>15</v>
      </c>
      <c r="E167" s="7" t="s">
        <v>24</v>
      </c>
      <c r="F167" s="7" t="s">
        <v>37</v>
      </c>
      <c r="G167">
        <v>2311</v>
      </c>
      <c r="H167" s="16">
        <v>8.4</v>
      </c>
      <c r="I167" s="16">
        <v>8</v>
      </c>
      <c r="J167" s="12">
        <f t="shared" si="6"/>
        <v>2.1189299069938092E-2</v>
      </c>
      <c r="K167" s="16">
        <v>10.9</v>
      </c>
      <c r="L167" s="16">
        <v>8.1</v>
      </c>
      <c r="M167" s="16">
        <f t="shared" si="7"/>
        <v>0.12894147906197395</v>
      </c>
      <c r="N167" s="19">
        <f t="shared" si="8"/>
        <v>2.4000000000000004</v>
      </c>
    </row>
    <row r="168" spans="1:14" ht="21" x14ac:dyDescent="0.35">
      <c r="A168" s="10">
        <v>3241</v>
      </c>
      <c r="B168" s="7" t="s">
        <v>27</v>
      </c>
      <c r="C168" s="7" t="s">
        <v>67</v>
      </c>
      <c r="D168" s="7" t="s">
        <v>15</v>
      </c>
      <c r="E168" s="7" t="s">
        <v>24</v>
      </c>
      <c r="F168" s="7" t="s">
        <v>37</v>
      </c>
      <c r="G168">
        <v>2311</v>
      </c>
      <c r="H168" s="16">
        <v>6.6</v>
      </c>
      <c r="I168" s="16">
        <v>6</v>
      </c>
      <c r="J168" s="12">
        <f t="shared" si="6"/>
        <v>4.1392685158224987E-2</v>
      </c>
      <c r="K168" s="16">
        <v>16.5</v>
      </c>
      <c r="L168" s="16">
        <v>8.5</v>
      </c>
      <c r="M168" s="16">
        <f t="shared" si="7"/>
        <v>0.28806501849961352</v>
      </c>
      <c r="N168" s="19">
        <f t="shared" si="8"/>
        <v>7.4</v>
      </c>
    </row>
    <row r="169" spans="1:14" ht="21" x14ac:dyDescent="0.35">
      <c r="A169" s="9">
        <v>3501</v>
      </c>
      <c r="B169" s="7" t="s">
        <v>14</v>
      </c>
      <c r="C169" s="7" t="s">
        <v>13</v>
      </c>
      <c r="D169" s="7" t="s">
        <v>15</v>
      </c>
      <c r="E169" s="7" t="s">
        <v>15</v>
      </c>
      <c r="F169" s="7" t="s">
        <v>16</v>
      </c>
      <c r="G169">
        <v>2404</v>
      </c>
      <c r="H169" s="16">
        <v>8.3000000000000007</v>
      </c>
      <c r="I169" s="16">
        <v>6.7</v>
      </c>
      <c r="J169" s="12">
        <f t="shared" si="6"/>
        <v>9.3003289675247472E-2</v>
      </c>
      <c r="K169" s="16">
        <v>9.4</v>
      </c>
      <c r="L169" s="16">
        <v>8.5</v>
      </c>
      <c r="M169" s="16">
        <f t="shared" si="7"/>
        <v>4.3708927885405952E-2</v>
      </c>
      <c r="N169" s="19">
        <f t="shared" si="8"/>
        <v>-0.70000000000000018</v>
      </c>
    </row>
    <row r="170" spans="1:14" ht="21" x14ac:dyDescent="0.35">
      <c r="A170" s="9">
        <v>3503</v>
      </c>
      <c r="B170" s="7" t="s">
        <v>14</v>
      </c>
      <c r="C170" s="7" t="s">
        <v>18</v>
      </c>
      <c r="D170" s="7" t="s">
        <v>15</v>
      </c>
      <c r="E170" s="7" t="s">
        <v>15</v>
      </c>
      <c r="F170" s="7" t="s">
        <v>16</v>
      </c>
      <c r="G170">
        <v>2404</v>
      </c>
      <c r="H170" s="16">
        <v>6.3</v>
      </c>
      <c r="I170" s="16">
        <v>8.6999999999999993</v>
      </c>
      <c r="J170" s="12">
        <f t="shared" si="6"/>
        <v>-0.14017870316503681</v>
      </c>
      <c r="K170" s="16">
        <v>13.5</v>
      </c>
      <c r="L170" s="16">
        <v>8.4</v>
      </c>
      <c r="M170" s="16">
        <f t="shared" si="7"/>
        <v>0.20605448243312441</v>
      </c>
      <c r="N170" s="19">
        <f t="shared" si="8"/>
        <v>7.4999999999999991</v>
      </c>
    </row>
    <row r="171" spans="1:14" ht="21" x14ac:dyDescent="0.35">
      <c r="A171" s="9">
        <v>3504</v>
      </c>
      <c r="B171" s="7" t="s">
        <v>20</v>
      </c>
      <c r="C171" s="7" t="s">
        <v>31</v>
      </c>
      <c r="D171" s="7" t="s">
        <v>21</v>
      </c>
      <c r="E171" s="7" t="s">
        <v>15</v>
      </c>
      <c r="F171" s="7" t="s">
        <v>16</v>
      </c>
      <c r="G171">
        <v>2404</v>
      </c>
      <c r="H171" s="16">
        <v>5</v>
      </c>
      <c r="I171" s="16">
        <v>6.5</v>
      </c>
      <c r="J171" s="12">
        <f t="shared" si="6"/>
        <v>-0.11394335230683675</v>
      </c>
      <c r="K171" s="16">
        <v>13.4</v>
      </c>
      <c r="L171" s="16">
        <v>7.2</v>
      </c>
      <c r="M171" s="16">
        <f t="shared" si="7"/>
        <v>0.26977230193353918</v>
      </c>
      <c r="N171" s="19">
        <f t="shared" si="8"/>
        <v>7.7</v>
      </c>
    </row>
    <row r="172" spans="1:14" ht="21" x14ac:dyDescent="0.35">
      <c r="A172" s="9">
        <v>3505</v>
      </c>
      <c r="B172" s="7" t="s">
        <v>20</v>
      </c>
      <c r="C172" s="7" t="s">
        <v>30</v>
      </c>
      <c r="D172" s="7" t="s">
        <v>21</v>
      </c>
      <c r="E172" s="7" t="s">
        <v>15</v>
      </c>
      <c r="F172" s="7" t="s">
        <v>16</v>
      </c>
      <c r="G172">
        <v>2404</v>
      </c>
      <c r="H172" s="16">
        <v>6.2</v>
      </c>
      <c r="I172" s="16">
        <v>6.3</v>
      </c>
      <c r="J172" s="12">
        <f t="shared" si="6"/>
        <v>-6.9488599553278055E-3</v>
      </c>
      <c r="K172" s="16">
        <v>13</v>
      </c>
      <c r="L172" s="16">
        <v>7.4</v>
      </c>
      <c r="M172" s="16">
        <f t="shared" si="7"/>
        <v>0.24471163257586054</v>
      </c>
      <c r="N172" s="19">
        <f t="shared" si="8"/>
        <v>5.6999999999999993</v>
      </c>
    </row>
    <row r="173" spans="1:14" ht="21" x14ac:dyDescent="0.35">
      <c r="A173" s="9">
        <v>3507</v>
      </c>
      <c r="B173" s="7" t="s">
        <v>14</v>
      </c>
      <c r="C173" s="7" t="s">
        <v>13</v>
      </c>
      <c r="D173" s="7" t="s">
        <v>15</v>
      </c>
      <c r="E173" s="7" t="s">
        <v>15</v>
      </c>
      <c r="F173" s="7" t="s">
        <v>16</v>
      </c>
      <c r="G173">
        <v>2404</v>
      </c>
      <c r="H173" s="16">
        <v>8.1</v>
      </c>
      <c r="I173" s="16">
        <v>7.4</v>
      </c>
      <c r="J173" s="12">
        <f t="shared" si="6"/>
        <v>3.9253299147673525E-2</v>
      </c>
      <c r="K173" s="16">
        <v>14.6</v>
      </c>
      <c r="L173" s="16">
        <v>10</v>
      </c>
      <c r="M173" s="16">
        <f t="shared" si="7"/>
        <v>0.16435285578443709</v>
      </c>
      <c r="N173" s="19">
        <f t="shared" si="8"/>
        <v>3.9000000000000004</v>
      </c>
    </row>
    <row r="174" spans="1:14" ht="21" x14ac:dyDescent="0.35">
      <c r="A174" s="9">
        <v>3508</v>
      </c>
      <c r="B174" s="7" t="s">
        <v>14</v>
      </c>
      <c r="C174" s="7" t="s">
        <v>13</v>
      </c>
      <c r="D174" s="7" t="s">
        <v>15</v>
      </c>
      <c r="E174" s="7" t="s">
        <v>15</v>
      </c>
      <c r="F174" s="7" t="s">
        <v>16</v>
      </c>
      <c r="G174">
        <v>2404</v>
      </c>
      <c r="H174" s="16">
        <v>6.5</v>
      </c>
      <c r="I174" s="16">
        <v>8</v>
      </c>
      <c r="J174" s="12">
        <f t="shared" si="6"/>
        <v>-9.0176630349088016E-2</v>
      </c>
      <c r="K174" s="16">
        <v>17.8</v>
      </c>
      <c r="L174" s="16">
        <v>8.1</v>
      </c>
      <c r="M174" s="16">
        <f t="shared" si="7"/>
        <v>0.34193498343024425</v>
      </c>
      <c r="N174" s="19">
        <f t="shared" si="8"/>
        <v>11.200000000000001</v>
      </c>
    </row>
    <row r="175" spans="1:14" ht="21" x14ac:dyDescent="0.35">
      <c r="A175" s="9">
        <v>3509</v>
      </c>
      <c r="B175" s="7" t="s">
        <v>20</v>
      </c>
      <c r="C175" s="7" t="s">
        <v>31</v>
      </c>
      <c r="D175" s="7" t="s">
        <v>21</v>
      </c>
      <c r="E175" s="7" t="s">
        <v>15</v>
      </c>
      <c r="F175" s="7" t="s">
        <v>16</v>
      </c>
      <c r="G175">
        <v>2404</v>
      </c>
      <c r="H175" s="16">
        <v>5.6</v>
      </c>
      <c r="I175" s="16">
        <v>6.3</v>
      </c>
      <c r="J175" s="12">
        <f t="shared" si="6"/>
        <v>-5.1152522447381311E-2</v>
      </c>
      <c r="K175" s="16">
        <v>14.4</v>
      </c>
      <c r="L175" s="16">
        <v>7.3</v>
      </c>
      <c r="M175" s="16">
        <f t="shared" si="7"/>
        <v>0.29503963197479377</v>
      </c>
      <c r="N175" s="19">
        <f t="shared" si="8"/>
        <v>7.8000000000000007</v>
      </c>
    </row>
    <row r="176" spans="1:14" ht="21" x14ac:dyDescent="0.35">
      <c r="A176" s="9">
        <v>3511</v>
      </c>
      <c r="B176" s="7" t="s">
        <v>14</v>
      </c>
      <c r="C176" s="7" t="s">
        <v>17</v>
      </c>
      <c r="D176" s="7" t="s">
        <v>15</v>
      </c>
      <c r="E176" s="7" t="s">
        <v>15</v>
      </c>
      <c r="F176" s="7" t="s">
        <v>16</v>
      </c>
      <c r="G176">
        <v>2404</v>
      </c>
      <c r="H176" s="16">
        <v>5.6</v>
      </c>
      <c r="I176" s="16">
        <v>8.3000000000000007</v>
      </c>
      <c r="J176" s="12">
        <f t="shared" si="6"/>
        <v>-0.17089006536987353</v>
      </c>
      <c r="K176" s="16">
        <v>16</v>
      </c>
      <c r="L176" s="16">
        <v>8.6</v>
      </c>
      <c r="M176" s="16">
        <f t="shared" si="7"/>
        <v>0.26962153141235706</v>
      </c>
      <c r="N176" s="19">
        <f t="shared" si="8"/>
        <v>10.100000000000001</v>
      </c>
    </row>
    <row r="177" spans="1:14" ht="21" x14ac:dyDescent="0.35">
      <c r="A177" s="9">
        <v>3514</v>
      </c>
      <c r="B177" s="7" t="s">
        <v>14</v>
      </c>
      <c r="C177" s="7" t="s">
        <v>13</v>
      </c>
      <c r="D177" s="7" t="s">
        <v>15</v>
      </c>
      <c r="E177" s="7" t="s">
        <v>15</v>
      </c>
      <c r="F177" s="7" t="s">
        <v>16</v>
      </c>
      <c r="G177">
        <v>2404</v>
      </c>
      <c r="H177" s="16">
        <v>7.4</v>
      </c>
      <c r="I177" s="16">
        <v>7.5</v>
      </c>
      <c r="J177" s="12">
        <f t="shared" si="6"/>
        <v>-5.8295436607238441E-3</v>
      </c>
      <c r="K177" s="16">
        <v>17</v>
      </c>
      <c r="L177" s="16">
        <v>8.5</v>
      </c>
      <c r="M177" s="16">
        <f t="shared" si="7"/>
        <v>0.3010299956639812</v>
      </c>
      <c r="N177" s="19">
        <f t="shared" si="8"/>
        <v>8.6</v>
      </c>
    </row>
    <row r="178" spans="1:14" ht="21" x14ac:dyDescent="0.35">
      <c r="A178" s="9">
        <v>3517</v>
      </c>
      <c r="B178" s="7" t="s">
        <v>20</v>
      </c>
      <c r="C178" s="7" t="s">
        <v>30</v>
      </c>
      <c r="D178" s="7" t="s">
        <v>21</v>
      </c>
      <c r="E178" s="7" t="s">
        <v>15</v>
      </c>
      <c r="F178" s="7" t="s">
        <v>16</v>
      </c>
      <c r="G178">
        <v>2404</v>
      </c>
      <c r="H178" s="16">
        <v>7.4</v>
      </c>
      <c r="I178" s="16">
        <v>6</v>
      </c>
      <c r="J178" s="12">
        <f t="shared" si="6"/>
        <v>9.1080469347332577E-2</v>
      </c>
      <c r="K178" s="16">
        <v>13.8</v>
      </c>
      <c r="L178" s="16">
        <v>6.3</v>
      </c>
      <c r="M178" s="16">
        <f t="shared" si="7"/>
        <v>0.34053853694765485</v>
      </c>
      <c r="N178" s="19">
        <f t="shared" si="8"/>
        <v>6.1000000000000005</v>
      </c>
    </row>
    <row r="179" spans="1:14" ht="21" x14ac:dyDescent="0.35">
      <c r="A179" s="9">
        <v>3521</v>
      </c>
      <c r="B179" s="7" t="s">
        <v>14</v>
      </c>
      <c r="C179" s="7" t="s">
        <v>17</v>
      </c>
      <c r="D179" s="7" t="s">
        <v>15</v>
      </c>
      <c r="E179" s="7" t="s">
        <v>15</v>
      </c>
      <c r="F179" s="7" t="s">
        <v>16</v>
      </c>
      <c r="G179">
        <v>2404</v>
      </c>
      <c r="H179" s="16">
        <v>7.9</v>
      </c>
      <c r="I179" s="16">
        <v>8</v>
      </c>
      <c r="J179" s="12">
        <f t="shared" si="6"/>
        <v>-5.4628957015021382E-3</v>
      </c>
      <c r="K179" s="16">
        <v>19.7</v>
      </c>
      <c r="L179" s="16">
        <v>8.9</v>
      </c>
      <c r="M179" s="16">
        <f t="shared" si="7"/>
        <v>0.3450762195166801</v>
      </c>
      <c r="N179" s="19">
        <f t="shared" si="8"/>
        <v>10.899999999999999</v>
      </c>
    </row>
    <row r="180" spans="1:14" ht="21" x14ac:dyDescent="0.35">
      <c r="A180" s="9">
        <v>3522</v>
      </c>
      <c r="B180" s="7" t="s">
        <v>14</v>
      </c>
      <c r="C180" s="7" t="s">
        <v>17</v>
      </c>
      <c r="D180" s="7" t="s">
        <v>15</v>
      </c>
      <c r="E180" s="7" t="s">
        <v>15</v>
      </c>
      <c r="F180" s="7" t="s">
        <v>16</v>
      </c>
      <c r="G180">
        <v>2404</v>
      </c>
      <c r="H180" s="16">
        <v>6.3</v>
      </c>
      <c r="I180" s="16">
        <v>6</v>
      </c>
      <c r="J180" s="12">
        <f t="shared" si="6"/>
        <v>2.1189299069938092E-2</v>
      </c>
      <c r="K180" s="16">
        <v>17.7</v>
      </c>
      <c r="L180" s="16">
        <v>8.1</v>
      </c>
      <c r="M180" s="16">
        <f t="shared" si="7"/>
        <v>0.33948824748315687</v>
      </c>
      <c r="N180" s="19">
        <f t="shared" si="8"/>
        <v>9.3000000000000007</v>
      </c>
    </row>
    <row r="181" spans="1:14" ht="21" x14ac:dyDescent="0.35">
      <c r="A181" s="9">
        <v>3523</v>
      </c>
      <c r="B181" s="7" t="s">
        <v>20</v>
      </c>
      <c r="C181" s="7" t="s">
        <v>42</v>
      </c>
      <c r="D181" s="7" t="s">
        <v>21</v>
      </c>
      <c r="E181" s="7" t="s">
        <v>15</v>
      </c>
      <c r="F181" s="7" t="s">
        <v>16</v>
      </c>
      <c r="G181">
        <v>2404</v>
      </c>
      <c r="H181" s="16">
        <v>5.3</v>
      </c>
      <c r="I181" s="16">
        <v>6</v>
      </c>
      <c r="J181" s="12">
        <f t="shared" si="6"/>
        <v>-5.3875380782854601E-2</v>
      </c>
      <c r="K181" s="16">
        <v>12.9</v>
      </c>
      <c r="L181" s="16">
        <v>8.3000000000000007</v>
      </c>
      <c r="M181" s="16">
        <f t="shared" si="7"/>
        <v>0.19151161792317506</v>
      </c>
      <c r="N181" s="19">
        <f t="shared" si="8"/>
        <v>5.3</v>
      </c>
    </row>
    <row r="182" spans="1:14" ht="21" x14ac:dyDescent="0.35">
      <c r="A182" s="9">
        <v>3534</v>
      </c>
      <c r="B182" s="7" t="s">
        <v>20</v>
      </c>
      <c r="C182" s="7" t="s">
        <v>42</v>
      </c>
      <c r="D182" s="7" t="s">
        <v>21</v>
      </c>
      <c r="E182" s="7" t="s">
        <v>15</v>
      </c>
      <c r="F182" s="7" t="s">
        <v>16</v>
      </c>
      <c r="G182">
        <v>2404</v>
      </c>
      <c r="H182" s="16">
        <v>5.4</v>
      </c>
      <c r="I182" s="16">
        <v>6</v>
      </c>
      <c r="J182" s="12">
        <f t="shared" si="6"/>
        <v>-4.5757490560675115E-2</v>
      </c>
      <c r="K182" s="16">
        <v>12.5</v>
      </c>
      <c r="L182" s="16">
        <v>8.1999999999999993</v>
      </c>
      <c r="M182" s="16">
        <f t="shared" si="7"/>
        <v>0.18309616062433973</v>
      </c>
      <c r="N182" s="19">
        <f t="shared" si="8"/>
        <v>4.9000000000000004</v>
      </c>
    </row>
    <row r="183" spans="1:14" ht="21" x14ac:dyDescent="0.35">
      <c r="A183" s="9">
        <v>3538</v>
      </c>
      <c r="B183" s="7" t="s">
        <v>14</v>
      </c>
      <c r="C183" s="7" t="s">
        <v>13</v>
      </c>
      <c r="D183" s="7" t="s">
        <v>15</v>
      </c>
      <c r="E183" s="7" t="s">
        <v>15</v>
      </c>
      <c r="F183" s="7" t="s">
        <v>16</v>
      </c>
      <c r="G183">
        <v>2404</v>
      </c>
      <c r="H183" s="16">
        <v>8.1</v>
      </c>
      <c r="I183" s="16">
        <v>7.8</v>
      </c>
      <c r="J183" s="12">
        <f t="shared" si="6"/>
        <v>1.6390416188169384E-2</v>
      </c>
      <c r="K183" s="16">
        <v>15.3</v>
      </c>
      <c r="L183" s="16">
        <v>12.6</v>
      </c>
      <c r="M183" s="16">
        <f t="shared" si="7"/>
        <v>8.4320885700035944E-2</v>
      </c>
      <c r="N183" s="19">
        <f t="shared" si="8"/>
        <v>2.4000000000000012</v>
      </c>
    </row>
    <row r="184" spans="1:14" ht="21" x14ac:dyDescent="0.35">
      <c r="A184" s="9">
        <v>3542</v>
      </c>
      <c r="B184" s="7" t="s">
        <v>14</v>
      </c>
      <c r="C184" s="7" t="s">
        <v>17</v>
      </c>
      <c r="D184" s="7" t="s">
        <v>15</v>
      </c>
      <c r="E184" s="7" t="s">
        <v>15</v>
      </c>
      <c r="F184" s="7" t="s">
        <v>16</v>
      </c>
      <c r="G184">
        <v>2404</v>
      </c>
      <c r="H184" s="16">
        <v>6.8</v>
      </c>
      <c r="I184" s="16">
        <v>7.3</v>
      </c>
      <c r="J184" s="12">
        <f t="shared" si="6"/>
        <v>-3.0813947414219608E-2</v>
      </c>
      <c r="K184" s="16">
        <v>12.5</v>
      </c>
      <c r="L184" s="16">
        <v>8.1</v>
      </c>
      <c r="M184" s="16">
        <f t="shared" si="7"/>
        <v>0.18842499412940666</v>
      </c>
      <c r="N184" s="19">
        <f t="shared" si="8"/>
        <v>4.9000000000000004</v>
      </c>
    </row>
    <row r="185" spans="1:14" ht="21" x14ac:dyDescent="0.35">
      <c r="A185" s="9">
        <v>3545</v>
      </c>
      <c r="B185" s="7" t="s">
        <v>27</v>
      </c>
      <c r="C185" s="7" t="s">
        <v>29</v>
      </c>
      <c r="D185" s="7" t="s">
        <v>15</v>
      </c>
      <c r="E185" s="7" t="s">
        <v>24</v>
      </c>
      <c r="F185" s="7" t="s">
        <v>16</v>
      </c>
      <c r="G185">
        <v>2404</v>
      </c>
      <c r="H185" s="16">
        <v>5.5</v>
      </c>
      <c r="I185" s="16">
        <v>7.3</v>
      </c>
      <c r="J185" s="12">
        <f t="shared" si="6"/>
        <v>-0.12296017062621205</v>
      </c>
      <c r="K185" s="16">
        <v>17.8</v>
      </c>
      <c r="L185" s="16">
        <v>9.1999999999999993</v>
      </c>
      <c r="M185" s="16">
        <f t="shared" si="7"/>
        <v>0.28663217496333876</v>
      </c>
      <c r="N185" s="19">
        <f t="shared" si="8"/>
        <v>10.400000000000002</v>
      </c>
    </row>
    <row r="186" spans="1:14" ht="21" x14ac:dyDescent="0.35">
      <c r="A186" s="9">
        <v>3546</v>
      </c>
      <c r="B186" s="7" t="s">
        <v>23</v>
      </c>
      <c r="C186" s="7" t="s">
        <v>25</v>
      </c>
      <c r="D186" s="7" t="s">
        <v>21</v>
      </c>
      <c r="E186" s="7" t="s">
        <v>24</v>
      </c>
      <c r="F186" s="7" t="s">
        <v>16</v>
      </c>
      <c r="G186">
        <v>2404</v>
      </c>
      <c r="H186" s="16">
        <v>5.4</v>
      </c>
      <c r="I186" s="16">
        <v>7</v>
      </c>
      <c r="J186" s="12">
        <f t="shared" si="6"/>
        <v>-0.11270428019128831</v>
      </c>
      <c r="K186" s="16">
        <v>14.2</v>
      </c>
      <c r="L186" s="16">
        <v>7.6</v>
      </c>
      <c r="M186" s="16">
        <f t="shared" si="7"/>
        <v>0.27147475210226513</v>
      </c>
      <c r="N186" s="19">
        <f t="shared" si="8"/>
        <v>8.1999999999999993</v>
      </c>
    </row>
    <row r="187" spans="1:14" ht="21" x14ac:dyDescent="0.35">
      <c r="A187" s="9">
        <v>3553</v>
      </c>
      <c r="B187" s="7" t="s">
        <v>23</v>
      </c>
      <c r="C187" s="7" t="s">
        <v>25</v>
      </c>
      <c r="D187" s="7" t="s">
        <v>21</v>
      </c>
      <c r="E187" s="7" t="s">
        <v>24</v>
      </c>
      <c r="F187" s="7" t="s">
        <v>16</v>
      </c>
      <c r="G187">
        <v>2404</v>
      </c>
      <c r="H187" s="16">
        <v>5.9</v>
      </c>
      <c r="I187" s="16">
        <v>7</v>
      </c>
      <c r="J187" s="12">
        <f t="shared" si="6"/>
        <v>-7.4246028372112638E-2</v>
      </c>
      <c r="K187" s="16">
        <v>10.8</v>
      </c>
      <c r="L187" s="16">
        <v>10.1</v>
      </c>
      <c r="M187" s="16">
        <f t="shared" si="7"/>
        <v>2.9102381704307154E-2</v>
      </c>
      <c r="N187" s="19">
        <f t="shared" si="8"/>
        <v>1.8000000000000007</v>
      </c>
    </row>
    <row r="188" spans="1:14" ht="21" x14ac:dyDescent="0.35">
      <c r="A188" s="9">
        <v>3554</v>
      </c>
      <c r="B188" s="7" t="s">
        <v>20</v>
      </c>
      <c r="C188" s="7" t="s">
        <v>30</v>
      </c>
      <c r="D188" s="7" t="s">
        <v>21</v>
      </c>
      <c r="E188" s="7" t="s">
        <v>15</v>
      </c>
      <c r="F188" s="7" t="s">
        <v>16</v>
      </c>
      <c r="G188">
        <v>2404</v>
      </c>
      <c r="H188" s="16">
        <v>5.7</v>
      </c>
      <c r="I188" s="16">
        <v>4.4000000000000004</v>
      </c>
      <c r="J188" s="12">
        <f t="shared" si="6"/>
        <v>0.11242217918630396</v>
      </c>
      <c r="K188" s="16">
        <v>12.7</v>
      </c>
      <c r="L188" s="16">
        <v>7.8</v>
      </c>
      <c r="M188" s="16">
        <f t="shared" si="7"/>
        <v>0.21170911826547645</v>
      </c>
      <c r="N188" s="19">
        <f t="shared" si="8"/>
        <v>3.5999999999999996</v>
      </c>
    </row>
    <row r="189" spans="1:14" ht="21" x14ac:dyDescent="0.35">
      <c r="A189" s="9">
        <v>3557</v>
      </c>
      <c r="B189" s="7" t="s">
        <v>23</v>
      </c>
      <c r="C189" s="7" t="s">
        <v>32</v>
      </c>
      <c r="D189" s="7" t="s">
        <v>21</v>
      </c>
      <c r="E189" s="7" t="s">
        <v>24</v>
      </c>
      <c r="F189" s="7" t="s">
        <v>16</v>
      </c>
      <c r="G189">
        <v>2404</v>
      </c>
      <c r="H189" s="16">
        <v>5.2</v>
      </c>
      <c r="I189" s="16">
        <v>4.3</v>
      </c>
      <c r="J189" s="12">
        <f t="shared" si="6"/>
        <v>8.2534888055212682E-2</v>
      </c>
      <c r="K189" s="16">
        <v>14.4</v>
      </c>
      <c r="L189" s="16">
        <v>5.6</v>
      </c>
      <c r="M189" s="16">
        <f t="shared" si="7"/>
        <v>0.41017446508904926</v>
      </c>
      <c r="N189" s="19">
        <f t="shared" si="8"/>
        <v>7.9</v>
      </c>
    </row>
    <row r="190" spans="1:14" ht="21" x14ac:dyDescent="0.35">
      <c r="A190" s="9">
        <v>3558</v>
      </c>
      <c r="B190" s="7" t="s">
        <v>14</v>
      </c>
      <c r="C190" s="7" t="s">
        <v>17</v>
      </c>
      <c r="D190" s="7" t="s">
        <v>15</v>
      </c>
      <c r="E190" s="7" t="s">
        <v>15</v>
      </c>
      <c r="F190" s="7" t="s">
        <v>16</v>
      </c>
      <c r="G190">
        <v>2404</v>
      </c>
      <c r="H190" s="16">
        <v>6</v>
      </c>
      <c r="I190" s="16">
        <v>7.4</v>
      </c>
      <c r="J190" s="12">
        <f t="shared" si="6"/>
        <v>-9.108046934733259E-2</v>
      </c>
      <c r="K190" s="16">
        <v>18.2</v>
      </c>
      <c r="L190" s="16">
        <v>8.4</v>
      </c>
      <c r="M190" s="16">
        <f t="shared" si="7"/>
        <v>0.33579210192319309</v>
      </c>
      <c r="N190" s="19">
        <f t="shared" si="8"/>
        <v>11.2</v>
      </c>
    </row>
    <row r="191" spans="1:14" ht="21" x14ac:dyDescent="0.35">
      <c r="A191" s="9">
        <v>3559</v>
      </c>
      <c r="B191" s="7" t="s">
        <v>20</v>
      </c>
      <c r="C191" s="7" t="s">
        <v>31</v>
      </c>
      <c r="D191" s="7" t="s">
        <v>21</v>
      </c>
      <c r="E191" s="7" t="s">
        <v>15</v>
      </c>
      <c r="F191" s="7" t="s">
        <v>16</v>
      </c>
      <c r="G191">
        <v>2404</v>
      </c>
      <c r="H191" s="16">
        <v>5.7</v>
      </c>
      <c r="I191" s="16">
        <v>5.5</v>
      </c>
      <c r="J191" s="12">
        <f t="shared" si="6"/>
        <v>1.5512166178247558E-2</v>
      </c>
      <c r="K191" s="16">
        <v>16</v>
      </c>
      <c r="L191" s="16">
        <v>6.6</v>
      </c>
      <c r="M191" s="16">
        <f t="shared" si="7"/>
        <v>0.38457604711405613</v>
      </c>
      <c r="N191" s="19">
        <f t="shared" si="8"/>
        <v>9.1999999999999993</v>
      </c>
    </row>
    <row r="192" spans="1:14" ht="21" x14ac:dyDescent="0.35">
      <c r="A192" s="9">
        <v>3568</v>
      </c>
      <c r="B192" s="7" t="s">
        <v>27</v>
      </c>
      <c r="C192" s="7" t="s">
        <v>29</v>
      </c>
      <c r="D192" s="7" t="s">
        <v>15</v>
      </c>
      <c r="E192" s="7" t="s">
        <v>24</v>
      </c>
      <c r="F192" s="7" t="s">
        <v>16</v>
      </c>
      <c r="G192">
        <v>2404</v>
      </c>
      <c r="H192" s="16">
        <v>5.7</v>
      </c>
      <c r="I192" s="16">
        <v>5.8</v>
      </c>
      <c r="J192" s="12">
        <f t="shared" si="6"/>
        <v>-7.5531378904458496E-3</v>
      </c>
      <c r="K192" s="16">
        <v>13.3</v>
      </c>
      <c r="L192" s="16">
        <v>6.4</v>
      </c>
      <c r="M192" s="16">
        <f t="shared" si="7"/>
        <v>0.3176716669831986</v>
      </c>
      <c r="N192" s="19">
        <f t="shared" si="8"/>
        <v>7</v>
      </c>
    </row>
    <row r="193" spans="1:14" ht="21" x14ac:dyDescent="0.35">
      <c r="A193" s="9">
        <v>3570</v>
      </c>
      <c r="B193" s="7" t="s">
        <v>23</v>
      </c>
      <c r="C193" s="7" t="s">
        <v>32</v>
      </c>
      <c r="D193" s="7" t="s">
        <v>21</v>
      </c>
      <c r="E193" s="7" t="s">
        <v>24</v>
      </c>
      <c r="F193" s="7" t="s">
        <v>16</v>
      </c>
      <c r="G193">
        <v>2404</v>
      </c>
      <c r="H193" s="16">
        <v>5.4</v>
      </c>
      <c r="I193" s="16">
        <v>7.4</v>
      </c>
      <c r="J193" s="12">
        <f t="shared" si="6"/>
        <v>-0.13683795990800771</v>
      </c>
      <c r="K193" s="16">
        <v>16.100000000000001</v>
      </c>
      <c r="L193" s="16">
        <v>7.5</v>
      </c>
      <c r="M193" s="16">
        <f t="shared" si="7"/>
        <v>0.33176461264014973</v>
      </c>
      <c r="N193" s="19">
        <f t="shared" si="8"/>
        <v>10.600000000000001</v>
      </c>
    </row>
    <row r="194" spans="1:14" ht="21" x14ac:dyDescent="0.35">
      <c r="A194" s="9">
        <v>3571</v>
      </c>
      <c r="B194" s="7" t="s">
        <v>20</v>
      </c>
      <c r="C194" s="7" t="s">
        <v>31</v>
      </c>
      <c r="D194" s="7" t="s">
        <v>21</v>
      </c>
      <c r="E194" s="7" t="s">
        <v>15</v>
      </c>
      <c r="F194" s="7" t="s">
        <v>16</v>
      </c>
      <c r="G194">
        <v>2404</v>
      </c>
      <c r="H194" s="16">
        <v>5.5</v>
      </c>
      <c r="I194" s="16">
        <v>6</v>
      </c>
      <c r="J194" s="12">
        <f t="shared" si="6"/>
        <v>-3.7788560889399803E-2</v>
      </c>
      <c r="K194" s="16">
        <v>14.6</v>
      </c>
      <c r="L194" s="16">
        <v>6.2</v>
      </c>
      <c r="M194" s="16">
        <f t="shared" si="7"/>
        <v>0.37196116628618314</v>
      </c>
      <c r="N194" s="19">
        <f t="shared" si="8"/>
        <v>8.8999999999999986</v>
      </c>
    </row>
    <row r="195" spans="1:14" ht="21" x14ac:dyDescent="0.35">
      <c r="A195" s="9">
        <v>3575</v>
      </c>
      <c r="B195" s="7" t="s">
        <v>27</v>
      </c>
      <c r="C195" s="7" t="s">
        <v>29</v>
      </c>
      <c r="D195" s="7" t="s">
        <v>15</v>
      </c>
      <c r="E195" s="7" t="s">
        <v>24</v>
      </c>
      <c r="F195" s="7" t="s">
        <v>16</v>
      </c>
      <c r="G195">
        <v>2404</v>
      </c>
      <c r="H195" s="16">
        <v>6.7</v>
      </c>
      <c r="I195" s="16">
        <v>6.4</v>
      </c>
      <c r="J195" s="12">
        <f t="shared" ref="J195:J228" si="9">LOG(H195/I195)</f>
        <v>1.9894828716939261E-2</v>
      </c>
      <c r="K195" s="16">
        <v>14.2</v>
      </c>
      <c r="L195" s="16">
        <v>5.6</v>
      </c>
      <c r="M195" s="16">
        <f t="shared" ref="M195:M228" si="10">LOG(K195/L195)</f>
        <v>0.40410031737685603</v>
      </c>
      <c r="N195" s="19">
        <f t="shared" ref="N195:N228" si="11">(K195-L195)-(H195-I195)</f>
        <v>8.3000000000000007</v>
      </c>
    </row>
    <row r="196" spans="1:14" ht="21" x14ac:dyDescent="0.35">
      <c r="A196" s="9">
        <v>3579</v>
      </c>
      <c r="B196" s="7" t="s">
        <v>20</v>
      </c>
      <c r="C196" s="7" t="s">
        <v>35</v>
      </c>
      <c r="D196" s="7" t="s">
        <v>21</v>
      </c>
      <c r="E196" s="7" t="s">
        <v>15</v>
      </c>
      <c r="F196" s="7" t="s">
        <v>16</v>
      </c>
      <c r="G196">
        <v>2404</v>
      </c>
      <c r="H196" s="16">
        <v>5.8</v>
      </c>
      <c r="I196" s="16">
        <v>6.5</v>
      </c>
      <c r="J196" s="12">
        <f t="shared" si="9"/>
        <v>-4.9485363079918319E-2</v>
      </c>
      <c r="K196" s="16">
        <v>9.1</v>
      </c>
      <c r="L196" s="16">
        <v>7.6</v>
      </c>
      <c r="M196" s="16">
        <f t="shared" si="10"/>
        <v>7.8227800040302276E-2</v>
      </c>
      <c r="N196" s="19">
        <f t="shared" si="11"/>
        <v>2.2000000000000002</v>
      </c>
    </row>
    <row r="197" spans="1:14" ht="21" x14ac:dyDescent="0.35">
      <c r="A197" s="9">
        <v>3580</v>
      </c>
      <c r="B197" s="7" t="s">
        <v>20</v>
      </c>
      <c r="C197" s="7" t="s">
        <v>35</v>
      </c>
      <c r="D197" s="7" t="s">
        <v>21</v>
      </c>
      <c r="E197" s="7" t="s">
        <v>15</v>
      </c>
      <c r="F197" s="7" t="s">
        <v>16</v>
      </c>
      <c r="G197">
        <v>2404</v>
      </c>
      <c r="H197" s="16">
        <v>5.7</v>
      </c>
      <c r="I197" s="16">
        <v>5.3</v>
      </c>
      <c r="J197" s="12">
        <f t="shared" si="9"/>
        <v>3.1598986071702348E-2</v>
      </c>
      <c r="K197" s="16">
        <v>12.8</v>
      </c>
      <c r="L197" s="16">
        <v>6.7</v>
      </c>
      <c r="M197" s="16">
        <f t="shared" si="10"/>
        <v>0.28113516694704194</v>
      </c>
      <c r="N197" s="19">
        <f t="shared" si="11"/>
        <v>5.7</v>
      </c>
    </row>
    <row r="198" spans="1:14" ht="21" x14ac:dyDescent="0.35">
      <c r="A198" s="9">
        <v>3581</v>
      </c>
      <c r="B198" s="7" t="s">
        <v>20</v>
      </c>
      <c r="C198" s="7" t="s">
        <v>31</v>
      </c>
      <c r="D198" s="7" t="s">
        <v>21</v>
      </c>
      <c r="E198" s="7" t="s">
        <v>15</v>
      </c>
      <c r="F198" s="7" t="s">
        <v>16</v>
      </c>
      <c r="G198">
        <v>2404</v>
      </c>
      <c r="H198" s="16">
        <v>5.3</v>
      </c>
      <c r="I198" s="16">
        <v>4.0999999999999996</v>
      </c>
      <c r="J198" s="12">
        <f t="shared" si="9"/>
        <v>0.11149201288105356</v>
      </c>
      <c r="K198" s="16">
        <v>14.5</v>
      </c>
      <c r="L198" s="16">
        <v>8.4</v>
      </c>
      <c r="M198" s="16">
        <f t="shared" si="10"/>
        <v>0.23708871617309321</v>
      </c>
      <c r="N198" s="19">
        <f t="shared" si="11"/>
        <v>4.8999999999999995</v>
      </c>
    </row>
    <row r="199" spans="1:14" ht="21" x14ac:dyDescent="0.35">
      <c r="A199" s="9">
        <v>3584</v>
      </c>
      <c r="B199" s="7" t="s">
        <v>20</v>
      </c>
      <c r="C199" s="7" t="s">
        <v>31</v>
      </c>
      <c r="D199" s="7" t="s">
        <v>21</v>
      </c>
      <c r="E199" s="7" t="s">
        <v>15</v>
      </c>
      <c r="F199" s="7" t="s">
        <v>16</v>
      </c>
      <c r="G199">
        <v>2404</v>
      </c>
      <c r="H199" s="16">
        <v>6.4</v>
      </c>
      <c r="I199" s="16">
        <v>7</v>
      </c>
      <c r="J199" s="12">
        <f t="shared" si="9"/>
        <v>-3.8918066030369618E-2</v>
      </c>
      <c r="K199" s="16">
        <v>15.3</v>
      </c>
      <c r="L199" s="16">
        <v>7.1</v>
      </c>
      <c r="M199" s="16">
        <f t="shared" si="10"/>
        <v>0.33343308209852357</v>
      </c>
      <c r="N199" s="19">
        <f t="shared" si="11"/>
        <v>8.8000000000000007</v>
      </c>
    </row>
    <row r="200" spans="1:14" ht="21" x14ac:dyDescent="0.35">
      <c r="A200" s="9">
        <v>3586</v>
      </c>
      <c r="B200" s="7" t="s">
        <v>27</v>
      </c>
      <c r="C200" s="7" t="s">
        <v>29</v>
      </c>
      <c r="D200" s="7" t="s">
        <v>15</v>
      </c>
      <c r="E200" s="7" t="s">
        <v>24</v>
      </c>
      <c r="F200" s="7" t="s">
        <v>16</v>
      </c>
      <c r="G200">
        <v>2404</v>
      </c>
      <c r="H200" s="16">
        <v>8.3000000000000007</v>
      </c>
      <c r="I200" s="16">
        <v>7.3</v>
      </c>
      <c r="J200" s="12">
        <f t="shared" si="9"/>
        <v>5.5755232255618042E-2</v>
      </c>
      <c r="K200" s="16">
        <v>14.3</v>
      </c>
      <c r="L200" s="16">
        <v>7.3</v>
      </c>
      <c r="M200" s="16">
        <f t="shared" si="10"/>
        <v>0.29201317734460591</v>
      </c>
      <c r="N200" s="19">
        <f t="shared" si="11"/>
        <v>6</v>
      </c>
    </row>
    <row r="201" spans="1:14" ht="21" x14ac:dyDescent="0.35">
      <c r="A201" s="9">
        <v>3587</v>
      </c>
      <c r="B201" s="7" t="s">
        <v>27</v>
      </c>
      <c r="C201" s="7" t="s">
        <v>26</v>
      </c>
      <c r="D201" s="7" t="s">
        <v>15</v>
      </c>
      <c r="E201" s="7" t="s">
        <v>24</v>
      </c>
      <c r="F201" s="7" t="s">
        <v>16</v>
      </c>
      <c r="G201">
        <v>2404</v>
      </c>
      <c r="H201" s="16">
        <v>6.4</v>
      </c>
      <c r="I201" s="16">
        <v>8.3000000000000007</v>
      </c>
      <c r="J201" s="12">
        <f t="shared" si="9"/>
        <v>-0.11289811839218677</v>
      </c>
      <c r="K201" s="16">
        <v>14.7</v>
      </c>
      <c r="L201" s="16">
        <v>7.8</v>
      </c>
      <c r="M201" s="16">
        <f t="shared" si="10"/>
        <v>0.27522273205769571</v>
      </c>
      <c r="N201" s="19">
        <f t="shared" si="11"/>
        <v>8.8000000000000007</v>
      </c>
    </row>
    <row r="202" spans="1:14" ht="21" x14ac:dyDescent="0.35">
      <c r="A202" s="9">
        <v>3588</v>
      </c>
      <c r="B202" s="7" t="s">
        <v>27</v>
      </c>
      <c r="C202" s="7" t="s">
        <v>29</v>
      </c>
      <c r="D202" s="7" t="s">
        <v>15</v>
      </c>
      <c r="E202" s="7" t="s">
        <v>24</v>
      </c>
      <c r="F202" s="7" t="s">
        <v>16</v>
      </c>
      <c r="G202">
        <v>2404</v>
      </c>
      <c r="H202" s="16">
        <v>8.3000000000000007</v>
      </c>
      <c r="I202" s="16">
        <v>10.1</v>
      </c>
      <c r="J202" s="12">
        <f t="shared" si="9"/>
        <v>-8.524328140656863E-2</v>
      </c>
      <c r="K202" s="16">
        <v>20.399999999999999</v>
      </c>
      <c r="L202" s="16">
        <v>11.1</v>
      </c>
      <c r="M202" s="16">
        <f t="shared" si="10"/>
        <v>0.2643071886392413</v>
      </c>
      <c r="N202" s="19">
        <f t="shared" si="11"/>
        <v>11.099999999999998</v>
      </c>
    </row>
    <row r="203" spans="1:14" ht="21" x14ac:dyDescent="0.35">
      <c r="A203" s="9">
        <v>3591</v>
      </c>
      <c r="B203" s="7" t="s">
        <v>14</v>
      </c>
      <c r="C203" s="7" t="s">
        <v>13</v>
      </c>
      <c r="D203" s="7" t="s">
        <v>15</v>
      </c>
      <c r="E203" s="7" t="s">
        <v>15</v>
      </c>
      <c r="F203" s="7" t="s">
        <v>16</v>
      </c>
      <c r="G203">
        <v>2404</v>
      </c>
      <c r="H203" s="16">
        <v>8</v>
      </c>
      <c r="I203" s="16">
        <v>9</v>
      </c>
      <c r="J203" s="12">
        <f t="shared" si="9"/>
        <v>-5.1152522447381311E-2</v>
      </c>
      <c r="K203" s="16">
        <v>12</v>
      </c>
      <c r="L203" s="16">
        <v>8.4</v>
      </c>
      <c r="M203" s="16">
        <f t="shared" si="10"/>
        <v>0.15490195998574319</v>
      </c>
      <c r="N203" s="19">
        <f t="shared" si="11"/>
        <v>4.5999999999999996</v>
      </c>
    </row>
    <row r="204" spans="1:14" ht="21" x14ac:dyDescent="0.35">
      <c r="A204" s="9">
        <v>3593</v>
      </c>
      <c r="B204" s="7" t="s">
        <v>23</v>
      </c>
      <c r="C204" s="7" t="s">
        <v>65</v>
      </c>
      <c r="D204" s="7" t="s">
        <v>21</v>
      </c>
      <c r="E204" s="7" t="s">
        <v>24</v>
      </c>
      <c r="F204" s="7" t="s">
        <v>16</v>
      </c>
      <c r="G204">
        <v>2404</v>
      </c>
      <c r="H204" s="16">
        <v>5.8</v>
      </c>
      <c r="I204" s="16">
        <v>6.1</v>
      </c>
      <c r="J204" s="12">
        <f t="shared" si="9"/>
        <v>-2.1901841447829726E-2</v>
      </c>
      <c r="K204" s="16">
        <v>11.6</v>
      </c>
      <c r="L204" s="16">
        <v>7</v>
      </c>
      <c r="M204" s="16">
        <f t="shared" si="10"/>
        <v>0.21935994921266161</v>
      </c>
      <c r="N204" s="19">
        <f t="shared" si="11"/>
        <v>4.8999999999999995</v>
      </c>
    </row>
    <row r="205" spans="1:14" ht="21" x14ac:dyDescent="0.35">
      <c r="A205" s="9">
        <v>3598</v>
      </c>
      <c r="B205" s="7" t="s">
        <v>27</v>
      </c>
      <c r="C205" s="7" t="s">
        <v>26</v>
      </c>
      <c r="D205" s="7" t="s">
        <v>15</v>
      </c>
      <c r="E205" s="7" t="s">
        <v>24</v>
      </c>
      <c r="F205" s="7" t="s">
        <v>16</v>
      </c>
      <c r="G205">
        <v>2404</v>
      </c>
      <c r="H205" s="16">
        <v>6.8</v>
      </c>
      <c r="I205" s="16">
        <v>8</v>
      </c>
      <c r="J205" s="12">
        <f t="shared" si="9"/>
        <v>-7.0581074285707285E-2</v>
      </c>
      <c r="K205" s="16">
        <v>19.100000000000001</v>
      </c>
      <c r="L205" s="16">
        <v>9.6999999999999993</v>
      </c>
      <c r="M205" s="16">
        <f t="shared" si="10"/>
        <v>0.29426163298148278</v>
      </c>
      <c r="N205" s="19">
        <f t="shared" si="11"/>
        <v>10.600000000000001</v>
      </c>
    </row>
    <row r="206" spans="1:14" ht="21" x14ac:dyDescent="0.35">
      <c r="A206" s="9">
        <v>3599</v>
      </c>
      <c r="B206" s="7" t="s">
        <v>20</v>
      </c>
      <c r="C206" s="7" t="s">
        <v>31</v>
      </c>
      <c r="D206" s="7" t="s">
        <v>21</v>
      </c>
      <c r="E206" s="7" t="s">
        <v>15</v>
      </c>
      <c r="F206" s="7" t="s">
        <v>16</v>
      </c>
      <c r="G206">
        <v>2404</v>
      </c>
      <c r="H206" s="16">
        <v>5.7</v>
      </c>
      <c r="I206" s="16">
        <v>5.4</v>
      </c>
      <c r="J206" s="12">
        <f t="shared" si="9"/>
        <v>2.34810958495229E-2</v>
      </c>
      <c r="K206" s="16">
        <v>14.8</v>
      </c>
      <c r="L206" s="16">
        <v>8.1999999999999993</v>
      </c>
      <c r="M206" s="16">
        <f t="shared" si="10"/>
        <v>0.25644786301124078</v>
      </c>
      <c r="N206" s="19">
        <f t="shared" si="11"/>
        <v>6.3000000000000016</v>
      </c>
    </row>
    <row r="207" spans="1:14" ht="21" x14ac:dyDescent="0.35">
      <c r="A207" s="9">
        <v>3602</v>
      </c>
      <c r="B207" s="7" t="s">
        <v>27</v>
      </c>
      <c r="C207" s="7" t="s">
        <v>26</v>
      </c>
      <c r="D207" s="7" t="s">
        <v>15</v>
      </c>
      <c r="E207" s="7" t="s">
        <v>24</v>
      </c>
      <c r="F207" s="7" t="s">
        <v>16</v>
      </c>
      <c r="G207">
        <v>2404</v>
      </c>
      <c r="H207" s="16">
        <v>6.3</v>
      </c>
      <c r="I207" s="16">
        <v>6.6</v>
      </c>
      <c r="J207" s="12">
        <f t="shared" si="9"/>
        <v>-2.0203386088286951E-2</v>
      </c>
      <c r="K207" s="16">
        <v>15.4</v>
      </c>
      <c r="L207" s="16">
        <v>9.5</v>
      </c>
      <c r="M207" s="16">
        <f t="shared" si="10"/>
        <v>0.20979711554761529</v>
      </c>
      <c r="N207" s="19">
        <f t="shared" si="11"/>
        <v>6.2</v>
      </c>
    </row>
    <row r="208" spans="1:14" ht="21" x14ac:dyDescent="0.35">
      <c r="A208" s="9">
        <v>3603</v>
      </c>
      <c r="B208" s="7" t="s">
        <v>20</v>
      </c>
      <c r="C208" s="7" t="s">
        <v>30</v>
      </c>
      <c r="D208" s="7" t="s">
        <v>21</v>
      </c>
      <c r="E208" s="7" t="s">
        <v>15</v>
      </c>
      <c r="F208" s="7" t="s">
        <v>16</v>
      </c>
      <c r="G208">
        <v>2404</v>
      </c>
      <c r="H208" s="16">
        <v>5.7</v>
      </c>
      <c r="I208" s="16">
        <v>6.1</v>
      </c>
      <c r="J208" s="12">
        <f t="shared" si="9"/>
        <v>-2.9454979338275619E-2</v>
      </c>
      <c r="K208" s="16">
        <v>9.1</v>
      </c>
      <c r="L208" s="16">
        <v>7.4</v>
      </c>
      <c r="M208" s="16">
        <f t="shared" si="10"/>
        <v>8.9809672590117365E-2</v>
      </c>
      <c r="N208" s="19">
        <f t="shared" si="11"/>
        <v>2.0999999999999988</v>
      </c>
    </row>
    <row r="209" spans="1:14" ht="21" x14ac:dyDescent="0.35">
      <c r="A209" s="9">
        <v>3607</v>
      </c>
      <c r="B209" s="7" t="s">
        <v>20</v>
      </c>
      <c r="C209" s="7" t="s">
        <v>30</v>
      </c>
      <c r="D209" s="7" t="s">
        <v>21</v>
      </c>
      <c r="E209" s="7" t="s">
        <v>15</v>
      </c>
      <c r="F209" s="7" t="s">
        <v>16</v>
      </c>
      <c r="G209">
        <v>2404</v>
      </c>
      <c r="H209" s="16">
        <v>7.5</v>
      </c>
      <c r="I209" s="16">
        <v>7.7</v>
      </c>
      <c r="J209" s="12">
        <f t="shared" si="9"/>
        <v>-1.1429461780781828E-2</v>
      </c>
      <c r="K209" s="16">
        <v>12.7</v>
      </c>
      <c r="L209" s="16">
        <v>7.7</v>
      </c>
      <c r="M209" s="16">
        <f t="shared" si="10"/>
        <v>0.21731299578347493</v>
      </c>
      <c r="N209" s="19">
        <f t="shared" si="11"/>
        <v>5.1999999999999993</v>
      </c>
    </row>
    <row r="210" spans="1:14" ht="21" x14ac:dyDescent="0.35">
      <c r="A210" s="9">
        <v>3608</v>
      </c>
      <c r="B210" s="7" t="s">
        <v>20</v>
      </c>
      <c r="C210" s="7" t="s">
        <v>31</v>
      </c>
      <c r="D210" s="7" t="s">
        <v>21</v>
      </c>
      <c r="E210" s="7" t="s">
        <v>15</v>
      </c>
      <c r="F210" s="7" t="s">
        <v>16</v>
      </c>
      <c r="G210">
        <v>2404</v>
      </c>
      <c r="H210" s="16">
        <v>5.7</v>
      </c>
      <c r="I210" s="16">
        <v>5.9</v>
      </c>
      <c r="J210" s="12">
        <f t="shared" si="9"/>
        <v>-1.4977155969652801E-2</v>
      </c>
      <c r="K210" s="16">
        <v>12.7</v>
      </c>
      <c r="L210" s="16">
        <v>5.8</v>
      </c>
      <c r="M210" s="16">
        <f t="shared" si="10"/>
        <v>0.34037572739301958</v>
      </c>
      <c r="N210" s="19">
        <f t="shared" si="11"/>
        <v>7.1</v>
      </c>
    </row>
    <row r="211" spans="1:14" ht="21" x14ac:dyDescent="0.35">
      <c r="A211" s="9">
        <v>3609</v>
      </c>
      <c r="B211" s="7" t="s">
        <v>20</v>
      </c>
      <c r="C211" s="7" t="s">
        <v>42</v>
      </c>
      <c r="D211" s="7" t="s">
        <v>21</v>
      </c>
      <c r="E211" s="7" t="s">
        <v>15</v>
      </c>
      <c r="F211" s="7" t="s">
        <v>16</v>
      </c>
      <c r="G211">
        <v>2404</v>
      </c>
      <c r="H211" s="16">
        <v>7.3</v>
      </c>
      <c r="I211" s="16">
        <v>7.6</v>
      </c>
      <c r="J211" s="12">
        <f t="shared" si="9"/>
        <v>-1.7490732160335455E-2</v>
      </c>
      <c r="K211" s="16">
        <v>14.6</v>
      </c>
      <c r="L211" s="16">
        <v>10.9</v>
      </c>
      <c r="M211" s="16">
        <f t="shared" si="10"/>
        <v>0.12692635784381345</v>
      </c>
      <c r="N211" s="19">
        <f t="shared" si="11"/>
        <v>3.9999999999999991</v>
      </c>
    </row>
    <row r="212" spans="1:14" ht="21" x14ac:dyDescent="0.35">
      <c r="A212" s="9">
        <v>3610</v>
      </c>
      <c r="B212" s="7" t="s">
        <v>23</v>
      </c>
      <c r="C212" s="7" t="s">
        <v>22</v>
      </c>
      <c r="D212" s="7" t="s">
        <v>21</v>
      </c>
      <c r="E212" s="7" t="s">
        <v>24</v>
      </c>
      <c r="F212" s="7" t="s">
        <v>16</v>
      </c>
      <c r="G212">
        <v>2404</v>
      </c>
      <c r="H212" s="16">
        <v>7.7</v>
      </c>
      <c r="I212" s="16">
        <v>9.3000000000000007</v>
      </c>
      <c r="J212" s="12">
        <f t="shared" si="9"/>
        <v>-8.1992223381453289E-2</v>
      </c>
      <c r="K212" s="16">
        <v>16.7</v>
      </c>
      <c r="L212" s="16">
        <v>10.9</v>
      </c>
      <c r="M212" s="16">
        <f t="shared" si="10"/>
        <v>0.18528997320695961</v>
      </c>
      <c r="N212" s="19">
        <f t="shared" si="11"/>
        <v>7.3999999999999995</v>
      </c>
    </row>
    <row r="213" spans="1:14" ht="21" x14ac:dyDescent="0.35">
      <c r="A213" s="9">
        <v>3613</v>
      </c>
      <c r="B213" s="7" t="s">
        <v>23</v>
      </c>
      <c r="C213" s="7" t="s">
        <v>32</v>
      </c>
      <c r="D213" s="7" t="s">
        <v>21</v>
      </c>
      <c r="E213" s="7" t="s">
        <v>24</v>
      </c>
      <c r="F213" s="7" t="s">
        <v>16</v>
      </c>
      <c r="G213">
        <v>2404</v>
      </c>
      <c r="H213" s="16">
        <v>6</v>
      </c>
      <c r="I213" s="16">
        <v>6.8</v>
      </c>
      <c r="J213" s="12">
        <f t="shared" si="9"/>
        <v>-5.4357662322592697E-2</v>
      </c>
      <c r="K213" s="16">
        <v>19.5</v>
      </c>
      <c r="L213" s="16">
        <v>8.6999999999999993</v>
      </c>
      <c r="M213" s="16">
        <f t="shared" si="10"/>
        <v>0.35051535874389955</v>
      </c>
      <c r="N213" s="19">
        <f t="shared" si="11"/>
        <v>11.600000000000001</v>
      </c>
    </row>
    <row r="214" spans="1:14" ht="21" x14ac:dyDescent="0.35">
      <c r="A214" s="9">
        <v>3617</v>
      </c>
      <c r="B214" s="7" t="s">
        <v>20</v>
      </c>
      <c r="C214" s="7" t="s">
        <v>35</v>
      </c>
      <c r="D214" s="7" t="s">
        <v>21</v>
      </c>
      <c r="E214" s="7" t="s">
        <v>15</v>
      </c>
      <c r="F214" s="7" t="s">
        <v>16</v>
      </c>
      <c r="G214">
        <v>2404</v>
      </c>
      <c r="H214" s="16">
        <v>5.6</v>
      </c>
      <c r="I214" s="16">
        <v>6.3</v>
      </c>
      <c r="J214" s="12">
        <f t="shared" si="9"/>
        <v>-5.1152522447381311E-2</v>
      </c>
      <c r="K214" s="16">
        <v>17.399999999999999</v>
      </c>
      <c r="L214" s="16">
        <v>6.2</v>
      </c>
      <c r="M214" s="16">
        <f t="shared" si="10"/>
        <v>0.44815755878434582</v>
      </c>
      <c r="N214" s="19">
        <f t="shared" si="11"/>
        <v>11.899999999999999</v>
      </c>
    </row>
    <row r="215" spans="1:14" ht="21" x14ac:dyDescent="0.35">
      <c r="A215" s="9">
        <v>3623</v>
      </c>
      <c r="B215" s="7" t="s">
        <v>20</v>
      </c>
      <c r="C215" s="7" t="s">
        <v>30</v>
      </c>
      <c r="D215" s="7" t="s">
        <v>21</v>
      </c>
      <c r="E215" s="7" t="s">
        <v>15</v>
      </c>
      <c r="F215" s="7" t="s">
        <v>16</v>
      </c>
      <c r="G215">
        <v>2404</v>
      </c>
      <c r="H215" s="16">
        <v>6.4</v>
      </c>
      <c r="I215" s="16">
        <v>7.5</v>
      </c>
      <c r="J215" s="12">
        <f t="shared" si="9"/>
        <v>-6.8881289407812851E-2</v>
      </c>
      <c r="K215" s="16">
        <v>12.2</v>
      </c>
      <c r="L215" s="16">
        <v>8.1999999999999993</v>
      </c>
      <c r="M215" s="16">
        <f t="shared" si="10"/>
        <v>0.17254597829103155</v>
      </c>
      <c r="N215" s="19">
        <f t="shared" si="11"/>
        <v>5.0999999999999996</v>
      </c>
    </row>
    <row r="216" spans="1:14" ht="21" x14ac:dyDescent="0.35">
      <c r="A216" s="9">
        <v>3629</v>
      </c>
      <c r="B216" s="7" t="s">
        <v>27</v>
      </c>
      <c r="C216" s="7" t="s">
        <v>33</v>
      </c>
      <c r="D216" s="7" t="s">
        <v>15</v>
      </c>
      <c r="E216" s="7" t="s">
        <v>24</v>
      </c>
      <c r="F216" s="7" t="s">
        <v>16</v>
      </c>
      <c r="G216">
        <v>2404</v>
      </c>
      <c r="H216" s="16">
        <v>4.3</v>
      </c>
      <c r="I216" s="16">
        <v>5</v>
      </c>
      <c r="J216" s="12">
        <f t="shared" si="9"/>
        <v>-6.5501548756432285E-2</v>
      </c>
      <c r="K216" s="16">
        <v>15.3</v>
      </c>
      <c r="L216" s="16">
        <v>7.2</v>
      </c>
      <c r="M216" s="16">
        <f t="shared" si="10"/>
        <v>0.32735893438633035</v>
      </c>
      <c r="N216" s="19">
        <f t="shared" si="11"/>
        <v>8.8000000000000007</v>
      </c>
    </row>
    <row r="217" spans="1:14" ht="21" x14ac:dyDescent="0.35">
      <c r="A217" s="9">
        <v>3636</v>
      </c>
      <c r="B217" s="7" t="s">
        <v>27</v>
      </c>
      <c r="C217" s="7" t="s">
        <v>26</v>
      </c>
      <c r="D217" s="7" t="s">
        <v>15</v>
      </c>
      <c r="E217" s="7" t="s">
        <v>24</v>
      </c>
      <c r="F217" s="7" t="s">
        <v>16</v>
      </c>
      <c r="G217">
        <v>2404</v>
      </c>
      <c r="H217" s="16">
        <v>7.3</v>
      </c>
      <c r="I217" s="16">
        <v>7.5</v>
      </c>
      <c r="J217" s="12">
        <f t="shared" si="9"/>
        <v>-1.1738403271244173E-2</v>
      </c>
      <c r="K217" s="16">
        <v>18.399999999999999</v>
      </c>
      <c r="L217" s="16">
        <v>8.6</v>
      </c>
      <c r="M217" s="16">
        <f t="shared" si="10"/>
        <v>0.33031937176596871</v>
      </c>
      <c r="N217" s="19">
        <f t="shared" si="11"/>
        <v>10</v>
      </c>
    </row>
    <row r="218" spans="1:14" ht="21" x14ac:dyDescent="0.35">
      <c r="A218" s="9">
        <v>3639</v>
      </c>
      <c r="B218" s="7" t="s">
        <v>14</v>
      </c>
      <c r="C218" s="7" t="s">
        <v>34</v>
      </c>
      <c r="D218" s="7" t="s">
        <v>15</v>
      </c>
      <c r="E218" s="7" t="s">
        <v>15</v>
      </c>
      <c r="F218" s="7" t="s">
        <v>16</v>
      </c>
      <c r="G218">
        <v>2404</v>
      </c>
      <c r="H218" s="16">
        <v>5.9</v>
      </c>
      <c r="I218" s="16">
        <v>5.6</v>
      </c>
      <c r="J218" s="12">
        <f t="shared" si="9"/>
        <v>2.2663984635943785E-2</v>
      </c>
      <c r="K218" s="16">
        <v>13.8</v>
      </c>
      <c r="L218" s="16">
        <v>6.8</v>
      </c>
      <c r="M218" s="16">
        <f t="shared" si="10"/>
        <v>0.30737017369500025</v>
      </c>
      <c r="N218" s="19">
        <f t="shared" si="11"/>
        <v>6.7</v>
      </c>
    </row>
    <row r="219" spans="1:14" ht="21" x14ac:dyDescent="0.35">
      <c r="A219" s="9">
        <v>3642</v>
      </c>
      <c r="B219" s="7" t="s">
        <v>27</v>
      </c>
      <c r="C219" s="7" t="s">
        <v>29</v>
      </c>
      <c r="D219" s="7" t="s">
        <v>15</v>
      </c>
      <c r="E219" s="7" t="s">
        <v>24</v>
      </c>
      <c r="F219" s="7" t="s">
        <v>16</v>
      </c>
      <c r="G219">
        <v>2404</v>
      </c>
      <c r="H219" s="16">
        <v>6.5</v>
      </c>
      <c r="I219" s="16">
        <v>7.2</v>
      </c>
      <c r="J219" s="12">
        <f t="shared" si="9"/>
        <v>-4.441913978841288E-2</v>
      </c>
      <c r="K219" s="16">
        <v>14.8</v>
      </c>
      <c r="L219" s="16">
        <v>7.4</v>
      </c>
      <c r="M219" s="16">
        <f t="shared" si="10"/>
        <v>0.3010299956639812</v>
      </c>
      <c r="N219" s="19">
        <f t="shared" si="11"/>
        <v>8.1000000000000014</v>
      </c>
    </row>
    <row r="220" spans="1:14" ht="21" x14ac:dyDescent="0.35">
      <c r="A220" s="9">
        <v>3649</v>
      </c>
      <c r="B220" s="7" t="s">
        <v>20</v>
      </c>
      <c r="C220" s="7" t="s">
        <v>35</v>
      </c>
      <c r="D220" s="7" t="s">
        <v>21</v>
      </c>
      <c r="E220" s="7" t="s">
        <v>15</v>
      </c>
      <c r="F220" s="7" t="s">
        <v>16</v>
      </c>
      <c r="G220">
        <v>2404</v>
      </c>
      <c r="H220" s="16">
        <v>5.5</v>
      </c>
      <c r="I220" s="16">
        <v>7.6</v>
      </c>
      <c r="J220" s="12">
        <f t="shared" si="9"/>
        <v>-0.14045090278654748</v>
      </c>
      <c r="K220" s="16">
        <v>18.600000000000001</v>
      </c>
      <c r="L220" s="16">
        <v>6.1</v>
      </c>
      <c r="M220" s="16">
        <f t="shared" si="10"/>
        <v>0.4841831092071493</v>
      </c>
      <c r="N220" s="19">
        <f t="shared" si="11"/>
        <v>14.600000000000001</v>
      </c>
    </row>
    <row r="221" spans="1:14" ht="21" x14ac:dyDescent="0.35">
      <c r="A221" s="9">
        <v>3651</v>
      </c>
      <c r="B221" s="7" t="s">
        <v>20</v>
      </c>
      <c r="C221" s="7" t="s">
        <v>42</v>
      </c>
      <c r="D221" s="7" t="s">
        <v>21</v>
      </c>
      <c r="E221" s="7" t="s">
        <v>15</v>
      </c>
      <c r="F221" s="7" t="s">
        <v>16</v>
      </c>
      <c r="G221">
        <v>2404</v>
      </c>
      <c r="H221" s="16">
        <v>5.6</v>
      </c>
      <c r="I221" s="16">
        <v>4.8</v>
      </c>
      <c r="J221" s="12">
        <f t="shared" si="9"/>
        <v>6.6946789630613221E-2</v>
      </c>
      <c r="K221" s="16">
        <v>6.9</v>
      </c>
      <c r="L221" s="16">
        <v>6.3</v>
      </c>
      <c r="M221" s="16">
        <f t="shared" si="10"/>
        <v>3.9508541283673655E-2</v>
      </c>
      <c r="N221" s="19">
        <f t="shared" si="11"/>
        <v>-0.19999999999999929</v>
      </c>
    </row>
    <row r="222" spans="1:14" ht="21" x14ac:dyDescent="0.35">
      <c r="A222" s="9">
        <v>3653</v>
      </c>
      <c r="B222" s="7" t="s">
        <v>20</v>
      </c>
      <c r="C222" s="7" t="s">
        <v>42</v>
      </c>
      <c r="D222" s="7" t="s">
        <v>21</v>
      </c>
      <c r="E222" s="7" t="s">
        <v>15</v>
      </c>
      <c r="F222" s="7" t="s">
        <v>16</v>
      </c>
      <c r="G222">
        <v>2404</v>
      </c>
      <c r="H222" s="16">
        <v>5.8</v>
      </c>
      <c r="I222" s="16">
        <v>7.5</v>
      </c>
      <c r="J222" s="12">
        <f t="shared" si="9"/>
        <v>-0.11163326982876277</v>
      </c>
      <c r="K222" s="16">
        <v>14.1</v>
      </c>
      <c r="L222" s="16">
        <v>7.2</v>
      </c>
      <c r="M222" s="16">
        <f t="shared" si="10"/>
        <v>0.29188661622411144</v>
      </c>
      <c r="N222" s="19">
        <f t="shared" si="11"/>
        <v>8.6</v>
      </c>
    </row>
    <row r="223" spans="1:14" ht="21" x14ac:dyDescent="0.35">
      <c r="A223" s="9">
        <v>3655</v>
      </c>
      <c r="B223" s="7" t="s">
        <v>20</v>
      </c>
      <c r="C223" s="7" t="s">
        <v>42</v>
      </c>
      <c r="D223" s="7" t="s">
        <v>21</v>
      </c>
      <c r="E223" s="7" t="s">
        <v>15</v>
      </c>
      <c r="F223" s="7" t="s">
        <v>16</v>
      </c>
      <c r="G223">
        <v>2404</v>
      </c>
      <c r="H223" s="16">
        <v>4</v>
      </c>
      <c r="I223" s="16">
        <v>4.2</v>
      </c>
      <c r="J223" s="12">
        <f t="shared" si="9"/>
        <v>-2.1189299069938095E-2</v>
      </c>
      <c r="K223" s="16">
        <v>13.2</v>
      </c>
      <c r="L223" s="16">
        <v>5.6</v>
      </c>
      <c r="M223" s="16">
        <f t="shared" si="10"/>
        <v>0.37238590419964945</v>
      </c>
      <c r="N223" s="19">
        <f t="shared" si="11"/>
        <v>7.8</v>
      </c>
    </row>
    <row r="224" spans="1:14" ht="21" x14ac:dyDescent="0.35">
      <c r="A224" s="9">
        <v>3660</v>
      </c>
      <c r="B224" s="7" t="s">
        <v>23</v>
      </c>
      <c r="C224" s="7" t="s">
        <v>22</v>
      </c>
      <c r="D224" s="7" t="s">
        <v>21</v>
      </c>
      <c r="E224" s="7" t="s">
        <v>24</v>
      </c>
      <c r="F224" s="7" t="s">
        <v>16</v>
      </c>
      <c r="G224">
        <v>2404</v>
      </c>
      <c r="H224" s="16">
        <v>5.8</v>
      </c>
      <c r="I224" s="16">
        <v>6</v>
      </c>
      <c r="J224" s="12">
        <f t="shared" si="9"/>
        <v>-1.4723256820706347E-2</v>
      </c>
      <c r="K224" s="16">
        <v>13.9</v>
      </c>
      <c r="L224" s="16">
        <v>6.3</v>
      </c>
      <c r="M224" s="16">
        <f t="shared" si="10"/>
        <v>0.34367425080051339</v>
      </c>
      <c r="N224" s="19">
        <f t="shared" si="11"/>
        <v>7.8000000000000007</v>
      </c>
    </row>
    <row r="225" spans="1:14" ht="21" x14ac:dyDescent="0.35">
      <c r="A225" s="9">
        <v>3662</v>
      </c>
      <c r="B225" s="7" t="s">
        <v>23</v>
      </c>
      <c r="C225" s="7" t="s">
        <v>22</v>
      </c>
      <c r="D225" s="7" t="s">
        <v>21</v>
      </c>
      <c r="E225" s="7" t="s">
        <v>24</v>
      </c>
      <c r="F225" s="7" t="s">
        <v>16</v>
      </c>
      <c r="G225">
        <v>2404</v>
      </c>
      <c r="H225" s="16">
        <v>4</v>
      </c>
      <c r="I225" s="16">
        <v>4.2</v>
      </c>
      <c r="J225" s="12">
        <f t="shared" si="9"/>
        <v>-2.1189299069938095E-2</v>
      </c>
      <c r="K225" s="16">
        <v>12.2</v>
      </c>
      <c r="L225" s="16">
        <v>5.2</v>
      </c>
      <c r="M225" s="16">
        <f t="shared" si="10"/>
        <v>0.370356487039949</v>
      </c>
      <c r="N225" s="19">
        <f t="shared" si="11"/>
        <v>7.1999999999999993</v>
      </c>
    </row>
    <row r="226" spans="1:14" ht="21" x14ac:dyDescent="0.35">
      <c r="A226" s="9">
        <v>3677</v>
      </c>
      <c r="B226" s="7" t="s">
        <v>27</v>
      </c>
      <c r="C226" s="7" t="s">
        <v>33</v>
      </c>
      <c r="D226" s="7" t="s">
        <v>15</v>
      </c>
      <c r="E226" s="7" t="s">
        <v>24</v>
      </c>
      <c r="F226" s="7" t="s">
        <v>16</v>
      </c>
      <c r="G226">
        <v>2404</v>
      </c>
      <c r="H226" s="16">
        <v>5.9</v>
      </c>
      <c r="I226" s="16">
        <v>6.8</v>
      </c>
      <c r="J226" s="12">
        <f t="shared" si="9"/>
        <v>-6.1656901064092114E-2</v>
      </c>
      <c r="K226" s="16">
        <v>13.8</v>
      </c>
      <c r="L226" s="16">
        <v>6.1</v>
      </c>
      <c r="M226" s="16">
        <f t="shared" si="10"/>
        <v>0.35454925139046956</v>
      </c>
      <c r="N226" s="19">
        <f t="shared" si="11"/>
        <v>8.6000000000000014</v>
      </c>
    </row>
    <row r="227" spans="1:14" ht="21" x14ac:dyDescent="0.35">
      <c r="A227" s="9">
        <v>3678</v>
      </c>
      <c r="B227" s="7" t="s">
        <v>20</v>
      </c>
      <c r="C227" s="7" t="s">
        <v>42</v>
      </c>
      <c r="D227" s="7" t="s">
        <v>21</v>
      </c>
      <c r="E227" s="7" t="s">
        <v>15</v>
      </c>
      <c r="F227" s="7" t="s">
        <v>16</v>
      </c>
      <c r="G227">
        <v>2404</v>
      </c>
      <c r="H227" s="16">
        <v>5.4</v>
      </c>
      <c r="I227" s="16">
        <v>6.3</v>
      </c>
      <c r="J227" s="12">
        <f t="shared" si="9"/>
        <v>-6.6946789630613165E-2</v>
      </c>
      <c r="K227" s="16">
        <v>11.2</v>
      </c>
      <c r="L227" s="16">
        <v>5.6</v>
      </c>
      <c r="M227" s="16">
        <f t="shared" si="10"/>
        <v>0.3010299956639812</v>
      </c>
      <c r="N227" s="19">
        <f t="shared" si="11"/>
        <v>6.4999999999999991</v>
      </c>
    </row>
    <row r="228" spans="1:14" ht="21" x14ac:dyDescent="0.35">
      <c r="A228" s="9">
        <v>3683</v>
      </c>
      <c r="B228" s="7" t="s">
        <v>27</v>
      </c>
      <c r="C228" s="7" t="s">
        <v>33</v>
      </c>
      <c r="D228" s="7" t="s">
        <v>15</v>
      </c>
      <c r="E228" s="7" t="s">
        <v>24</v>
      </c>
      <c r="F228" s="7" t="s">
        <v>16</v>
      </c>
      <c r="G228">
        <v>2404</v>
      </c>
      <c r="H228" s="16">
        <v>5</v>
      </c>
      <c r="I228" s="16">
        <v>6.1</v>
      </c>
      <c r="J228" s="12">
        <f t="shared" si="9"/>
        <v>-8.6359830674748214E-2</v>
      </c>
      <c r="K228" s="16">
        <v>16</v>
      </c>
      <c r="L228" s="16">
        <v>6.4</v>
      </c>
      <c r="M228" s="16">
        <f t="shared" si="10"/>
        <v>0.3979400086720376</v>
      </c>
      <c r="N228" s="19">
        <f t="shared" si="11"/>
        <v>10.7</v>
      </c>
    </row>
  </sheetData>
  <sortState xmlns:xlrd2="http://schemas.microsoft.com/office/spreadsheetml/2017/richdata2" ref="A2:G230">
    <sortCondition ref="A2:A230"/>
    <sortCondition ref="B2:B23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59D5-CE50-4C3E-BE5B-3EBDE8FB0810}">
  <dimension ref="A1:H354"/>
  <sheetViews>
    <sheetView workbookViewId="0">
      <selection activeCell="D10" sqref="D10"/>
    </sheetView>
  </sheetViews>
  <sheetFormatPr defaultRowHeight="15" x14ac:dyDescent="0.25"/>
  <sheetData>
    <row r="1" spans="1:8" ht="15.75" x14ac:dyDescent="0.25">
      <c r="A1" s="20" t="s">
        <v>0</v>
      </c>
      <c r="B1" s="20" t="s">
        <v>2</v>
      </c>
      <c r="C1" s="20" t="s">
        <v>7</v>
      </c>
      <c r="D1" s="20" t="s">
        <v>48</v>
      </c>
      <c r="E1" s="20" t="s">
        <v>49</v>
      </c>
      <c r="F1" s="20" t="s">
        <v>50</v>
      </c>
      <c r="G1" s="20" t="s">
        <v>6</v>
      </c>
      <c r="H1" s="20" t="s">
        <v>76</v>
      </c>
    </row>
    <row r="2" spans="1:8" ht="15.75" x14ac:dyDescent="0.25">
      <c r="A2" s="20">
        <v>2117</v>
      </c>
      <c r="B2" s="20" t="s">
        <v>30</v>
      </c>
      <c r="C2" s="20" t="s">
        <v>37</v>
      </c>
      <c r="D2" s="20" t="s">
        <v>20</v>
      </c>
      <c r="E2" s="20" t="s">
        <v>21</v>
      </c>
      <c r="F2" s="20" t="s">
        <v>15</v>
      </c>
      <c r="G2" s="20">
        <v>88</v>
      </c>
      <c r="H2" s="20">
        <v>0.03</v>
      </c>
    </row>
    <row r="3" spans="1:8" ht="15.75" x14ac:dyDescent="0.25">
      <c r="A3" s="20">
        <v>2120</v>
      </c>
      <c r="B3" s="20" t="s">
        <v>40</v>
      </c>
      <c r="C3" s="20" t="s">
        <v>37</v>
      </c>
      <c r="D3" s="20" t="s">
        <v>20</v>
      </c>
      <c r="E3" s="20" t="s">
        <v>21</v>
      </c>
      <c r="F3" s="20" t="s">
        <v>15</v>
      </c>
      <c r="G3" s="20">
        <v>88</v>
      </c>
      <c r="H3" s="20">
        <v>2.1000000000000001E-2</v>
      </c>
    </row>
    <row r="4" spans="1:8" ht="15.75" x14ac:dyDescent="0.25">
      <c r="A4" s="20">
        <v>2141</v>
      </c>
      <c r="B4" s="20" t="s">
        <v>42</v>
      </c>
      <c r="C4" s="20" t="s">
        <v>37</v>
      </c>
      <c r="D4" s="20" t="s">
        <v>20</v>
      </c>
      <c r="E4" s="20" t="s">
        <v>21</v>
      </c>
      <c r="F4" s="20" t="s">
        <v>15</v>
      </c>
      <c r="G4" s="20">
        <v>88</v>
      </c>
      <c r="H4" s="20">
        <v>4.2999999999999997E-2</v>
      </c>
    </row>
    <row r="5" spans="1:8" ht="15.75" x14ac:dyDescent="0.25">
      <c r="A5" s="20">
        <v>2211</v>
      </c>
      <c r="B5" s="20" t="s">
        <v>13</v>
      </c>
      <c r="C5" s="20" t="s">
        <v>37</v>
      </c>
      <c r="D5" s="20" t="s">
        <v>14</v>
      </c>
      <c r="E5" s="20" t="s">
        <v>15</v>
      </c>
      <c r="F5" s="20" t="s">
        <v>15</v>
      </c>
      <c r="G5" s="20">
        <v>88</v>
      </c>
      <c r="H5" s="20">
        <v>1.4999999999999999E-2</v>
      </c>
    </row>
    <row r="6" spans="1:8" ht="15.75" x14ac:dyDescent="0.25">
      <c r="A6" s="20">
        <v>2223</v>
      </c>
      <c r="B6" s="20" t="s">
        <v>43</v>
      </c>
      <c r="C6" s="20" t="s">
        <v>37</v>
      </c>
      <c r="D6" s="20" t="s">
        <v>27</v>
      </c>
      <c r="E6" s="20" t="s">
        <v>15</v>
      </c>
      <c r="F6" s="20" t="s">
        <v>24</v>
      </c>
      <c r="G6" s="20">
        <v>88</v>
      </c>
      <c r="H6" s="20">
        <v>2.5000000000000001E-2</v>
      </c>
    </row>
    <row r="7" spans="1:8" ht="15.75" x14ac:dyDescent="0.25">
      <c r="A7" s="20">
        <v>2244</v>
      </c>
      <c r="B7" s="20" t="s">
        <v>42</v>
      </c>
      <c r="C7" s="20" t="s">
        <v>37</v>
      </c>
      <c r="D7" s="20" t="s">
        <v>20</v>
      </c>
      <c r="E7" s="20" t="s">
        <v>21</v>
      </c>
      <c r="F7" s="20" t="s">
        <v>15</v>
      </c>
      <c r="G7" s="20">
        <v>88</v>
      </c>
      <c r="H7" s="20">
        <v>7.0000000000000007E-2</v>
      </c>
    </row>
    <row r="8" spans="1:8" ht="15.75" x14ac:dyDescent="0.25">
      <c r="A8" s="20">
        <v>2245</v>
      </c>
      <c r="B8" s="20" t="s">
        <v>42</v>
      </c>
      <c r="C8" s="20" t="s">
        <v>37</v>
      </c>
      <c r="D8" s="20" t="s">
        <v>20</v>
      </c>
      <c r="E8" s="20" t="s">
        <v>21</v>
      </c>
      <c r="F8" s="20" t="s">
        <v>15</v>
      </c>
      <c r="G8" s="20">
        <v>88</v>
      </c>
      <c r="H8" s="20">
        <v>8.1000000000000003E-2</v>
      </c>
    </row>
    <row r="9" spans="1:8" ht="15.75" x14ac:dyDescent="0.25">
      <c r="A9" s="20">
        <v>2645</v>
      </c>
      <c r="B9" s="20" t="s">
        <v>34</v>
      </c>
      <c r="C9" s="20" t="s">
        <v>16</v>
      </c>
      <c r="D9" s="20" t="s">
        <v>14</v>
      </c>
      <c r="E9" s="20" t="s">
        <v>15</v>
      </c>
      <c r="F9" s="20" t="s">
        <v>15</v>
      </c>
      <c r="G9" s="20">
        <v>60</v>
      </c>
      <c r="H9" s="20">
        <v>6.5000000000000002E-2</v>
      </c>
    </row>
    <row r="10" spans="1:8" ht="15.75" x14ac:dyDescent="0.25">
      <c r="A10" s="20">
        <v>2645</v>
      </c>
      <c r="B10" s="20" t="s">
        <v>34</v>
      </c>
      <c r="C10" s="20" t="s">
        <v>16</v>
      </c>
      <c r="D10" s="20" t="s">
        <v>14</v>
      </c>
      <c r="E10" s="20" t="s">
        <v>15</v>
      </c>
      <c r="F10" s="20" t="s">
        <v>15</v>
      </c>
      <c r="G10" s="20">
        <v>88</v>
      </c>
      <c r="H10" s="20">
        <v>0.03</v>
      </c>
    </row>
    <row r="11" spans="1:8" ht="15.75" x14ac:dyDescent="0.25">
      <c r="A11" s="20">
        <v>2656</v>
      </c>
      <c r="B11" s="20" t="s">
        <v>64</v>
      </c>
      <c r="C11" s="20" t="s">
        <v>16</v>
      </c>
      <c r="D11" s="20" t="s">
        <v>20</v>
      </c>
      <c r="E11" s="20" t="s">
        <v>21</v>
      </c>
      <c r="F11" s="20" t="s">
        <v>15</v>
      </c>
      <c r="G11" s="20">
        <v>14</v>
      </c>
      <c r="H11" s="20">
        <v>5.2999999999999999E-2</v>
      </c>
    </row>
    <row r="12" spans="1:8" ht="15.75" x14ac:dyDescent="0.25">
      <c r="A12" s="20">
        <v>2656</v>
      </c>
      <c r="B12" s="20" t="s">
        <v>64</v>
      </c>
      <c r="C12" s="20" t="s">
        <v>16</v>
      </c>
      <c r="D12" s="20" t="s">
        <v>20</v>
      </c>
      <c r="E12" s="20" t="s">
        <v>21</v>
      </c>
      <c r="F12" s="20" t="s">
        <v>15</v>
      </c>
      <c r="G12" s="20">
        <v>60</v>
      </c>
      <c r="H12" s="20">
        <v>4.9000000000000002E-2</v>
      </c>
    </row>
    <row r="13" spans="1:8" ht="15.75" x14ac:dyDescent="0.25">
      <c r="A13" s="20">
        <v>2656</v>
      </c>
      <c r="B13" s="20" t="s">
        <v>64</v>
      </c>
      <c r="C13" s="20" t="s">
        <v>16</v>
      </c>
      <c r="D13" s="20" t="s">
        <v>20</v>
      </c>
      <c r="E13" s="20" t="s">
        <v>21</v>
      </c>
      <c r="F13" s="20" t="s">
        <v>15</v>
      </c>
      <c r="G13" s="20">
        <v>88</v>
      </c>
      <c r="H13" s="20">
        <v>3.1E-2</v>
      </c>
    </row>
    <row r="14" spans="1:8" ht="15.75" x14ac:dyDescent="0.25">
      <c r="A14" s="20">
        <v>2662</v>
      </c>
      <c r="B14" s="20" t="s">
        <v>62</v>
      </c>
      <c r="C14" s="20" t="s">
        <v>16</v>
      </c>
      <c r="D14" s="20" t="s">
        <v>14</v>
      </c>
      <c r="E14" s="20" t="s">
        <v>15</v>
      </c>
      <c r="F14" s="20" t="s">
        <v>15</v>
      </c>
      <c r="G14" s="20">
        <v>14</v>
      </c>
      <c r="H14" s="20">
        <v>4.5999999999999999E-2</v>
      </c>
    </row>
    <row r="15" spans="1:8" ht="15.75" x14ac:dyDescent="0.25">
      <c r="A15" s="20">
        <v>2662</v>
      </c>
      <c r="B15" s="20" t="s">
        <v>62</v>
      </c>
      <c r="C15" s="20" t="s">
        <v>16</v>
      </c>
      <c r="D15" s="20" t="s">
        <v>14</v>
      </c>
      <c r="E15" s="20" t="s">
        <v>15</v>
      </c>
      <c r="F15" s="20" t="s">
        <v>15</v>
      </c>
      <c r="G15" s="20">
        <v>60</v>
      </c>
      <c r="H15" s="20">
        <v>4.9000000000000002E-2</v>
      </c>
    </row>
    <row r="16" spans="1:8" ht="15.75" x14ac:dyDescent="0.25">
      <c r="A16" s="20">
        <v>2662</v>
      </c>
      <c r="B16" s="20" t="s">
        <v>62</v>
      </c>
      <c r="C16" s="20" t="s">
        <v>16</v>
      </c>
      <c r="D16" s="20" t="s">
        <v>14</v>
      </c>
      <c r="E16" s="20" t="s">
        <v>15</v>
      </c>
      <c r="F16" s="20" t="s">
        <v>15</v>
      </c>
      <c r="G16" s="20">
        <v>88</v>
      </c>
      <c r="H16" s="20">
        <v>3.6999999999999998E-2</v>
      </c>
    </row>
    <row r="17" spans="1:8" ht="15.75" x14ac:dyDescent="0.25">
      <c r="A17" s="20">
        <v>2663</v>
      </c>
      <c r="B17" s="20" t="s">
        <v>63</v>
      </c>
      <c r="C17" s="20" t="s">
        <v>16</v>
      </c>
      <c r="D17" s="20" t="s">
        <v>14</v>
      </c>
      <c r="E17" s="20" t="s">
        <v>15</v>
      </c>
      <c r="F17" s="20" t="s">
        <v>15</v>
      </c>
      <c r="G17" s="20">
        <v>14</v>
      </c>
      <c r="H17" s="20">
        <v>6.0999999999999999E-2</v>
      </c>
    </row>
    <row r="18" spans="1:8" ht="15.75" x14ac:dyDescent="0.25">
      <c r="A18" s="20">
        <v>2663</v>
      </c>
      <c r="B18" s="20" t="s">
        <v>63</v>
      </c>
      <c r="C18" s="20" t="s">
        <v>16</v>
      </c>
      <c r="D18" s="20" t="s">
        <v>14</v>
      </c>
      <c r="E18" s="20" t="s">
        <v>15</v>
      </c>
      <c r="F18" s="20" t="s">
        <v>15</v>
      </c>
      <c r="G18" s="20">
        <v>88</v>
      </c>
      <c r="H18" s="20">
        <v>5.7000000000000002E-2</v>
      </c>
    </row>
    <row r="19" spans="1:8" ht="15.75" x14ac:dyDescent="0.25">
      <c r="A19" s="20">
        <v>2670</v>
      </c>
      <c r="B19" s="20" t="s">
        <v>36</v>
      </c>
      <c r="C19" s="20" t="s">
        <v>16</v>
      </c>
      <c r="D19" s="20" t="s">
        <v>23</v>
      </c>
      <c r="E19" s="20" t="s">
        <v>21</v>
      </c>
      <c r="F19" s="20" t="s">
        <v>24</v>
      </c>
      <c r="G19" s="20">
        <v>60</v>
      </c>
      <c r="H19" s="20">
        <v>3.4000000000000002E-2</v>
      </c>
    </row>
    <row r="20" spans="1:8" ht="15.75" x14ac:dyDescent="0.25">
      <c r="A20" s="20">
        <v>2670</v>
      </c>
      <c r="B20" s="20" t="s">
        <v>36</v>
      </c>
      <c r="C20" s="20" t="s">
        <v>16</v>
      </c>
      <c r="D20" s="20" t="s">
        <v>23</v>
      </c>
      <c r="E20" s="20" t="s">
        <v>21</v>
      </c>
      <c r="F20" s="20" t="s">
        <v>24</v>
      </c>
      <c r="G20" s="20">
        <v>88</v>
      </c>
      <c r="H20" s="20">
        <v>3.5999999999999997E-2</v>
      </c>
    </row>
    <row r="21" spans="1:8" ht="15.75" x14ac:dyDescent="0.25">
      <c r="A21" s="20">
        <v>2671</v>
      </c>
      <c r="B21" s="20" t="s">
        <v>42</v>
      </c>
      <c r="C21" s="20" t="s">
        <v>16</v>
      </c>
      <c r="D21" s="20" t="s">
        <v>20</v>
      </c>
      <c r="E21" s="20" t="s">
        <v>21</v>
      </c>
      <c r="F21" s="20" t="s">
        <v>15</v>
      </c>
      <c r="G21" s="20">
        <v>14</v>
      </c>
      <c r="H21" s="20">
        <v>4.3999999999999997E-2</v>
      </c>
    </row>
    <row r="22" spans="1:8" ht="15.75" x14ac:dyDescent="0.25">
      <c r="A22" s="20">
        <v>2671</v>
      </c>
      <c r="B22" s="20" t="s">
        <v>42</v>
      </c>
      <c r="C22" s="20" t="s">
        <v>16</v>
      </c>
      <c r="D22" s="20" t="s">
        <v>20</v>
      </c>
      <c r="E22" s="20" t="s">
        <v>21</v>
      </c>
      <c r="F22" s="20" t="s">
        <v>15</v>
      </c>
      <c r="G22" s="20">
        <v>60</v>
      </c>
      <c r="H22" s="20">
        <v>0.04</v>
      </c>
    </row>
    <row r="23" spans="1:8" ht="15.75" x14ac:dyDescent="0.25">
      <c r="A23" s="20">
        <v>2671</v>
      </c>
      <c r="B23" s="20" t="s">
        <v>42</v>
      </c>
      <c r="C23" s="20" t="s">
        <v>16</v>
      </c>
      <c r="D23" s="20" t="s">
        <v>20</v>
      </c>
      <c r="E23" s="20" t="s">
        <v>21</v>
      </c>
      <c r="F23" s="20" t="s">
        <v>15</v>
      </c>
      <c r="G23" s="20">
        <v>88</v>
      </c>
      <c r="H23" s="20">
        <v>4.1000000000000002E-2</v>
      </c>
    </row>
    <row r="24" spans="1:8" ht="15.75" x14ac:dyDescent="0.25">
      <c r="A24" s="20">
        <v>2674</v>
      </c>
      <c r="B24" s="20" t="s">
        <v>62</v>
      </c>
      <c r="C24" s="20" t="s">
        <v>16</v>
      </c>
      <c r="D24" s="20" t="s">
        <v>14</v>
      </c>
      <c r="E24" s="20" t="s">
        <v>15</v>
      </c>
      <c r="F24" s="20" t="s">
        <v>15</v>
      </c>
      <c r="G24" s="20">
        <v>14</v>
      </c>
      <c r="H24" s="20">
        <v>5.8000000000000003E-2</v>
      </c>
    </row>
    <row r="25" spans="1:8" ht="15.75" x14ac:dyDescent="0.25">
      <c r="A25" s="20">
        <v>2674</v>
      </c>
      <c r="B25" s="20" t="s">
        <v>62</v>
      </c>
      <c r="C25" s="20" t="s">
        <v>16</v>
      </c>
      <c r="D25" s="20" t="s">
        <v>14</v>
      </c>
      <c r="E25" s="20" t="s">
        <v>15</v>
      </c>
      <c r="F25" s="20" t="s">
        <v>15</v>
      </c>
      <c r="G25" s="20">
        <v>60</v>
      </c>
      <c r="H25" s="20">
        <v>5.7000000000000002E-2</v>
      </c>
    </row>
    <row r="26" spans="1:8" ht="15.75" x14ac:dyDescent="0.25">
      <c r="A26" s="20">
        <v>2674</v>
      </c>
      <c r="B26" s="20" t="s">
        <v>62</v>
      </c>
      <c r="C26" s="20" t="s">
        <v>16</v>
      </c>
      <c r="D26" s="20" t="s">
        <v>14</v>
      </c>
      <c r="E26" s="20" t="s">
        <v>15</v>
      </c>
      <c r="F26" s="20" t="s">
        <v>15</v>
      </c>
      <c r="G26" s="20">
        <v>88</v>
      </c>
      <c r="H26" s="20">
        <v>0.06</v>
      </c>
    </row>
    <row r="27" spans="1:8" ht="15.75" x14ac:dyDescent="0.25">
      <c r="A27" s="20">
        <v>2676</v>
      </c>
      <c r="B27" s="20" t="s">
        <v>63</v>
      </c>
      <c r="C27" s="20" t="s">
        <v>16</v>
      </c>
      <c r="D27" s="20" t="s">
        <v>14</v>
      </c>
      <c r="E27" s="20" t="s">
        <v>15</v>
      </c>
      <c r="F27" s="20" t="s">
        <v>15</v>
      </c>
      <c r="G27" s="20">
        <v>14</v>
      </c>
      <c r="H27" s="20">
        <v>1.2E-2</v>
      </c>
    </row>
    <row r="28" spans="1:8" ht="15.75" x14ac:dyDescent="0.25">
      <c r="A28" s="20">
        <v>2676</v>
      </c>
      <c r="B28" s="20" t="s">
        <v>63</v>
      </c>
      <c r="C28" s="20" t="s">
        <v>16</v>
      </c>
      <c r="D28" s="20" t="s">
        <v>14</v>
      </c>
      <c r="E28" s="20" t="s">
        <v>15</v>
      </c>
      <c r="F28" s="20" t="s">
        <v>15</v>
      </c>
      <c r="G28" s="20">
        <v>60</v>
      </c>
      <c r="H28" s="20">
        <v>2.9000000000000001E-2</v>
      </c>
    </row>
    <row r="29" spans="1:8" ht="15.75" x14ac:dyDescent="0.25">
      <c r="A29" s="20">
        <v>2697</v>
      </c>
      <c r="B29" s="20" t="s">
        <v>64</v>
      </c>
      <c r="C29" s="20" t="s">
        <v>16</v>
      </c>
      <c r="D29" s="20" t="s">
        <v>20</v>
      </c>
      <c r="E29" s="20" t="s">
        <v>21</v>
      </c>
      <c r="F29" s="20" t="s">
        <v>15</v>
      </c>
      <c r="G29" s="20">
        <v>14</v>
      </c>
      <c r="H29" s="20">
        <v>4.3999999999999997E-2</v>
      </c>
    </row>
    <row r="30" spans="1:8" ht="15.75" x14ac:dyDescent="0.25">
      <c r="A30" s="20">
        <v>2697</v>
      </c>
      <c r="B30" s="20" t="s">
        <v>64</v>
      </c>
      <c r="C30" s="20" t="s">
        <v>16</v>
      </c>
      <c r="D30" s="20" t="s">
        <v>20</v>
      </c>
      <c r="E30" s="20" t="s">
        <v>21</v>
      </c>
      <c r="F30" s="20" t="s">
        <v>15</v>
      </c>
      <c r="G30" s="20">
        <v>60</v>
      </c>
      <c r="H30" s="20">
        <v>5.6000000000000001E-2</v>
      </c>
    </row>
    <row r="31" spans="1:8" ht="15.75" x14ac:dyDescent="0.25">
      <c r="A31" s="20">
        <v>2697</v>
      </c>
      <c r="B31" s="20" t="s">
        <v>64</v>
      </c>
      <c r="C31" s="20" t="s">
        <v>16</v>
      </c>
      <c r="D31" s="20" t="s">
        <v>20</v>
      </c>
      <c r="E31" s="20" t="s">
        <v>21</v>
      </c>
      <c r="F31" s="20" t="s">
        <v>15</v>
      </c>
      <c r="G31" s="20">
        <v>88</v>
      </c>
      <c r="H31" s="20">
        <v>3.7999999999999999E-2</v>
      </c>
    </row>
    <row r="32" spans="1:8" ht="15.75" x14ac:dyDescent="0.25">
      <c r="A32" s="20">
        <v>3003</v>
      </c>
      <c r="B32" s="20" t="s">
        <v>30</v>
      </c>
      <c r="C32" s="20" t="s">
        <v>37</v>
      </c>
      <c r="D32" s="20" t="s">
        <v>20</v>
      </c>
      <c r="E32" s="20" t="s">
        <v>21</v>
      </c>
      <c r="F32" s="20" t="s">
        <v>15</v>
      </c>
      <c r="G32" s="20">
        <v>0</v>
      </c>
      <c r="H32" s="20">
        <v>4.5999999999999999E-2</v>
      </c>
    </row>
    <row r="33" spans="1:8" ht="15.75" x14ac:dyDescent="0.25">
      <c r="A33" s="20">
        <v>3003</v>
      </c>
      <c r="B33" s="20" t="s">
        <v>30</v>
      </c>
      <c r="C33" s="20" t="s">
        <v>37</v>
      </c>
      <c r="D33" s="20" t="s">
        <v>20</v>
      </c>
      <c r="E33" s="20" t="s">
        <v>21</v>
      </c>
      <c r="F33" s="20" t="s">
        <v>15</v>
      </c>
      <c r="G33" s="20">
        <v>14</v>
      </c>
      <c r="H33" s="20">
        <v>5.3999999999999999E-2</v>
      </c>
    </row>
    <row r="34" spans="1:8" ht="15.75" x14ac:dyDescent="0.25">
      <c r="A34" s="20">
        <v>3003</v>
      </c>
      <c r="B34" s="20" t="s">
        <v>30</v>
      </c>
      <c r="C34" s="20" t="s">
        <v>37</v>
      </c>
      <c r="D34" s="20" t="s">
        <v>20</v>
      </c>
      <c r="E34" s="20" t="s">
        <v>21</v>
      </c>
      <c r="F34" s="20" t="s">
        <v>15</v>
      </c>
      <c r="G34" s="20">
        <v>60</v>
      </c>
      <c r="H34" s="20">
        <v>5.8999999999999997E-2</v>
      </c>
    </row>
    <row r="35" spans="1:8" ht="15.75" x14ac:dyDescent="0.25">
      <c r="A35" s="20">
        <v>3003</v>
      </c>
      <c r="B35" s="20" t="s">
        <v>30</v>
      </c>
      <c r="C35" s="20" t="s">
        <v>37</v>
      </c>
      <c r="D35" s="20" t="s">
        <v>20</v>
      </c>
      <c r="E35" s="20" t="s">
        <v>21</v>
      </c>
      <c r="F35" s="20" t="s">
        <v>15</v>
      </c>
      <c r="G35" s="20">
        <v>88</v>
      </c>
      <c r="H35" s="20">
        <v>4.3999999999999997E-2</v>
      </c>
    </row>
    <row r="36" spans="1:8" ht="15.75" x14ac:dyDescent="0.25">
      <c r="A36" s="20">
        <v>3004</v>
      </c>
      <c r="B36" s="20" t="s">
        <v>25</v>
      </c>
      <c r="C36" s="20" t="s">
        <v>37</v>
      </c>
      <c r="D36" s="20" t="s">
        <v>23</v>
      </c>
      <c r="E36" s="20" t="s">
        <v>21</v>
      </c>
      <c r="F36" s="20" t="s">
        <v>24</v>
      </c>
      <c r="G36" s="20">
        <v>0</v>
      </c>
      <c r="H36" s="20">
        <v>5.0999999999999997E-2</v>
      </c>
    </row>
    <row r="37" spans="1:8" ht="15.75" x14ac:dyDescent="0.25">
      <c r="A37" s="20">
        <v>3004</v>
      </c>
      <c r="B37" s="20" t="s">
        <v>25</v>
      </c>
      <c r="C37" s="20" t="s">
        <v>37</v>
      </c>
      <c r="D37" s="20" t="s">
        <v>23</v>
      </c>
      <c r="E37" s="20" t="s">
        <v>21</v>
      </c>
      <c r="F37" s="20" t="s">
        <v>24</v>
      </c>
      <c r="G37" s="20">
        <v>14</v>
      </c>
      <c r="H37" s="20">
        <v>6.0999999999999999E-2</v>
      </c>
    </row>
    <row r="38" spans="1:8" ht="15.75" x14ac:dyDescent="0.25">
      <c r="A38" s="20">
        <v>3004</v>
      </c>
      <c r="B38" s="20" t="s">
        <v>25</v>
      </c>
      <c r="C38" s="20" t="s">
        <v>37</v>
      </c>
      <c r="D38" s="20" t="s">
        <v>23</v>
      </c>
      <c r="E38" s="20" t="s">
        <v>21</v>
      </c>
      <c r="F38" s="20" t="s">
        <v>24</v>
      </c>
      <c r="G38" s="20">
        <v>60</v>
      </c>
      <c r="H38" s="20">
        <v>4.5999999999999999E-2</v>
      </c>
    </row>
    <row r="39" spans="1:8" ht="15.75" x14ac:dyDescent="0.25">
      <c r="A39" s="20">
        <v>3004</v>
      </c>
      <c r="B39" s="20" t="s">
        <v>25</v>
      </c>
      <c r="C39" s="20" t="s">
        <v>37</v>
      </c>
      <c r="D39" s="20" t="s">
        <v>23</v>
      </c>
      <c r="E39" s="20" t="s">
        <v>21</v>
      </c>
      <c r="F39" s="20" t="s">
        <v>24</v>
      </c>
      <c r="G39" s="20">
        <v>88</v>
      </c>
      <c r="H39" s="20">
        <v>1.6E-2</v>
      </c>
    </row>
    <row r="40" spans="1:8" ht="15.75" x14ac:dyDescent="0.25">
      <c r="A40" s="20">
        <v>3005</v>
      </c>
      <c r="B40" s="20" t="s">
        <v>25</v>
      </c>
      <c r="C40" s="20" t="s">
        <v>37</v>
      </c>
      <c r="D40" s="20" t="s">
        <v>23</v>
      </c>
      <c r="E40" s="20" t="s">
        <v>21</v>
      </c>
      <c r="F40" s="20" t="s">
        <v>24</v>
      </c>
      <c r="G40" s="20">
        <v>0</v>
      </c>
      <c r="H40" s="20">
        <v>5.1999999999999998E-2</v>
      </c>
    </row>
    <row r="41" spans="1:8" ht="15.75" x14ac:dyDescent="0.25">
      <c r="A41" s="20">
        <v>3005</v>
      </c>
      <c r="B41" s="20" t="s">
        <v>25</v>
      </c>
      <c r="C41" s="20" t="s">
        <v>37</v>
      </c>
      <c r="D41" s="20" t="s">
        <v>23</v>
      </c>
      <c r="E41" s="20" t="s">
        <v>21</v>
      </c>
      <c r="F41" s="20" t="s">
        <v>24</v>
      </c>
      <c r="G41" s="20">
        <v>14</v>
      </c>
      <c r="H41" s="20">
        <v>5.0999999999999997E-2</v>
      </c>
    </row>
    <row r="42" spans="1:8" ht="15.75" x14ac:dyDescent="0.25">
      <c r="A42" s="20">
        <v>3005</v>
      </c>
      <c r="B42" s="20" t="s">
        <v>25</v>
      </c>
      <c r="C42" s="20" t="s">
        <v>37</v>
      </c>
      <c r="D42" s="20" t="s">
        <v>23</v>
      </c>
      <c r="E42" s="20" t="s">
        <v>21</v>
      </c>
      <c r="F42" s="20" t="s">
        <v>24</v>
      </c>
      <c r="G42" s="20">
        <v>60</v>
      </c>
      <c r="H42" s="20">
        <v>4.7E-2</v>
      </c>
    </row>
    <row r="43" spans="1:8" ht="15.75" x14ac:dyDescent="0.25">
      <c r="A43" s="20">
        <v>3005</v>
      </c>
      <c r="B43" s="20" t="s">
        <v>25</v>
      </c>
      <c r="C43" s="20" t="s">
        <v>37</v>
      </c>
      <c r="D43" s="20" t="s">
        <v>23</v>
      </c>
      <c r="E43" s="20" t="s">
        <v>21</v>
      </c>
      <c r="F43" s="20" t="s">
        <v>24</v>
      </c>
      <c r="G43" s="20">
        <v>88</v>
      </c>
      <c r="H43" s="20">
        <v>4.7E-2</v>
      </c>
    </row>
    <row r="44" spans="1:8" ht="15.75" x14ac:dyDescent="0.25">
      <c r="A44" s="20">
        <v>3007</v>
      </c>
      <c r="B44" s="20" t="s">
        <v>25</v>
      </c>
      <c r="C44" s="20" t="s">
        <v>37</v>
      </c>
      <c r="D44" s="20" t="s">
        <v>23</v>
      </c>
      <c r="E44" s="20" t="s">
        <v>21</v>
      </c>
      <c r="F44" s="20" t="s">
        <v>24</v>
      </c>
      <c r="G44" s="20">
        <v>0</v>
      </c>
      <c r="H44" s="20">
        <v>3.9E-2</v>
      </c>
    </row>
    <row r="45" spans="1:8" ht="15.75" x14ac:dyDescent="0.25">
      <c r="A45" s="20">
        <v>3007</v>
      </c>
      <c r="B45" s="20" t="s">
        <v>25</v>
      </c>
      <c r="C45" s="20" t="s">
        <v>37</v>
      </c>
      <c r="D45" s="20" t="s">
        <v>23</v>
      </c>
      <c r="E45" s="20" t="s">
        <v>21</v>
      </c>
      <c r="F45" s="20" t="s">
        <v>24</v>
      </c>
      <c r="G45" s="20">
        <v>14</v>
      </c>
      <c r="H45" s="20">
        <v>2.3E-2</v>
      </c>
    </row>
    <row r="46" spans="1:8" ht="15.75" x14ac:dyDescent="0.25">
      <c r="A46" s="20">
        <v>3007</v>
      </c>
      <c r="B46" s="20" t="s">
        <v>25</v>
      </c>
      <c r="C46" s="20" t="s">
        <v>37</v>
      </c>
      <c r="D46" s="20" t="s">
        <v>23</v>
      </c>
      <c r="E46" s="20" t="s">
        <v>21</v>
      </c>
      <c r="F46" s="20" t="s">
        <v>24</v>
      </c>
      <c r="G46" s="20">
        <v>60</v>
      </c>
      <c r="H46" s="20">
        <v>0.05</v>
      </c>
    </row>
    <row r="47" spans="1:8" ht="15.75" x14ac:dyDescent="0.25">
      <c r="A47" s="20">
        <v>3007</v>
      </c>
      <c r="B47" s="20" t="s">
        <v>25</v>
      </c>
      <c r="C47" s="20" t="s">
        <v>37</v>
      </c>
      <c r="D47" s="20" t="s">
        <v>23</v>
      </c>
      <c r="E47" s="20" t="s">
        <v>21</v>
      </c>
      <c r="F47" s="20" t="s">
        <v>24</v>
      </c>
      <c r="G47" s="20">
        <v>88</v>
      </c>
      <c r="H47" s="20">
        <v>4.9000000000000002E-2</v>
      </c>
    </row>
    <row r="48" spans="1:8" ht="15.75" x14ac:dyDescent="0.25">
      <c r="A48" s="20">
        <v>3009</v>
      </c>
      <c r="B48" s="20" t="s">
        <v>17</v>
      </c>
      <c r="C48" s="20" t="s">
        <v>37</v>
      </c>
      <c r="D48" s="20" t="s">
        <v>14</v>
      </c>
      <c r="E48" s="20" t="s">
        <v>15</v>
      </c>
      <c r="F48" s="20" t="s">
        <v>15</v>
      </c>
      <c r="G48" s="20">
        <v>14</v>
      </c>
      <c r="H48" s="20">
        <v>4.3999999999999997E-2</v>
      </c>
    </row>
    <row r="49" spans="1:8" ht="15.75" x14ac:dyDescent="0.25">
      <c r="A49" s="20">
        <v>3009</v>
      </c>
      <c r="B49" s="20" t="s">
        <v>17</v>
      </c>
      <c r="C49" s="20" t="s">
        <v>37</v>
      </c>
      <c r="D49" s="20" t="s">
        <v>14</v>
      </c>
      <c r="E49" s="20" t="s">
        <v>15</v>
      </c>
      <c r="F49" s="20" t="s">
        <v>15</v>
      </c>
      <c r="G49" s="20">
        <v>60</v>
      </c>
      <c r="H49" s="20">
        <v>4.7E-2</v>
      </c>
    </row>
    <row r="50" spans="1:8" ht="15.75" x14ac:dyDescent="0.25">
      <c r="A50" s="20">
        <v>3010</v>
      </c>
      <c r="B50" s="20" t="s">
        <v>30</v>
      </c>
      <c r="C50" s="20" t="s">
        <v>37</v>
      </c>
      <c r="D50" s="20" t="s">
        <v>20</v>
      </c>
      <c r="E50" s="20" t="s">
        <v>21</v>
      </c>
      <c r="F50" s="20" t="s">
        <v>15</v>
      </c>
      <c r="G50" s="20">
        <v>0</v>
      </c>
      <c r="H50" s="20">
        <v>1.7000000000000001E-2</v>
      </c>
    </row>
    <row r="51" spans="1:8" ht="15.75" x14ac:dyDescent="0.25">
      <c r="A51" s="20">
        <v>3010</v>
      </c>
      <c r="B51" s="20" t="s">
        <v>30</v>
      </c>
      <c r="C51" s="20" t="s">
        <v>37</v>
      </c>
      <c r="D51" s="20" t="s">
        <v>20</v>
      </c>
      <c r="E51" s="20" t="s">
        <v>21</v>
      </c>
      <c r="F51" s="20" t="s">
        <v>15</v>
      </c>
      <c r="G51" s="20">
        <v>14</v>
      </c>
      <c r="H51" s="20">
        <v>2.7E-2</v>
      </c>
    </row>
    <row r="52" spans="1:8" ht="15.75" x14ac:dyDescent="0.25">
      <c r="A52" s="20">
        <v>3010</v>
      </c>
      <c r="B52" s="20" t="s">
        <v>30</v>
      </c>
      <c r="C52" s="20" t="s">
        <v>37</v>
      </c>
      <c r="D52" s="20" t="s">
        <v>20</v>
      </c>
      <c r="E52" s="20" t="s">
        <v>21</v>
      </c>
      <c r="F52" s="20" t="s">
        <v>15</v>
      </c>
      <c r="G52" s="20">
        <v>60</v>
      </c>
      <c r="H52" s="20">
        <v>5.2999999999999999E-2</v>
      </c>
    </row>
    <row r="53" spans="1:8" ht="15.75" x14ac:dyDescent="0.25">
      <c r="A53" s="20">
        <v>3010</v>
      </c>
      <c r="B53" s="20" t="s">
        <v>30</v>
      </c>
      <c r="C53" s="20" t="s">
        <v>37</v>
      </c>
      <c r="D53" s="20" t="s">
        <v>20</v>
      </c>
      <c r="E53" s="20" t="s">
        <v>21</v>
      </c>
      <c r="F53" s="20" t="s">
        <v>15</v>
      </c>
      <c r="G53" s="20">
        <v>88</v>
      </c>
      <c r="H53" s="20">
        <v>6.2E-2</v>
      </c>
    </row>
    <row r="54" spans="1:8" ht="15.75" x14ac:dyDescent="0.25">
      <c r="A54" s="20">
        <v>3012</v>
      </c>
      <c r="B54" s="20" t="s">
        <v>45</v>
      </c>
      <c r="C54" s="20" t="s">
        <v>37</v>
      </c>
      <c r="D54" s="20" t="s">
        <v>14</v>
      </c>
      <c r="E54" s="20" t="s">
        <v>15</v>
      </c>
      <c r="F54" s="20" t="s">
        <v>15</v>
      </c>
      <c r="G54" s="20">
        <v>0</v>
      </c>
      <c r="H54" s="20">
        <v>4.5999999999999999E-2</v>
      </c>
    </row>
    <row r="55" spans="1:8" ht="15.75" x14ac:dyDescent="0.25">
      <c r="A55" s="20">
        <v>3012</v>
      </c>
      <c r="B55" s="20" t="s">
        <v>45</v>
      </c>
      <c r="C55" s="20" t="s">
        <v>37</v>
      </c>
      <c r="D55" s="20" t="s">
        <v>14</v>
      </c>
      <c r="E55" s="20" t="s">
        <v>15</v>
      </c>
      <c r="F55" s="20" t="s">
        <v>15</v>
      </c>
      <c r="G55" s="20">
        <v>14</v>
      </c>
      <c r="H55" s="20">
        <v>5.3999999999999999E-2</v>
      </c>
    </row>
    <row r="56" spans="1:8" ht="15.75" x14ac:dyDescent="0.25">
      <c r="A56" s="20">
        <v>3012</v>
      </c>
      <c r="B56" s="20" t="s">
        <v>45</v>
      </c>
      <c r="C56" s="20" t="s">
        <v>37</v>
      </c>
      <c r="D56" s="20" t="s">
        <v>14</v>
      </c>
      <c r="E56" s="20" t="s">
        <v>15</v>
      </c>
      <c r="F56" s="20" t="s">
        <v>15</v>
      </c>
      <c r="G56" s="20">
        <v>60</v>
      </c>
      <c r="H56" s="20">
        <v>4.5999999999999999E-2</v>
      </c>
    </row>
    <row r="57" spans="1:8" ht="15.75" x14ac:dyDescent="0.25">
      <c r="A57" s="20">
        <v>3012</v>
      </c>
      <c r="B57" s="20" t="s">
        <v>45</v>
      </c>
      <c r="C57" s="20" t="s">
        <v>37</v>
      </c>
      <c r="D57" s="20" t="s">
        <v>14</v>
      </c>
      <c r="E57" s="20" t="s">
        <v>15</v>
      </c>
      <c r="F57" s="20" t="s">
        <v>15</v>
      </c>
      <c r="G57" s="20">
        <v>88</v>
      </c>
      <c r="H57" s="20">
        <v>4.9000000000000002E-2</v>
      </c>
    </row>
    <row r="58" spans="1:8" ht="15.75" x14ac:dyDescent="0.25">
      <c r="A58" s="20">
        <v>3013</v>
      </c>
      <c r="B58" s="20" t="s">
        <v>13</v>
      </c>
      <c r="C58" s="20" t="s">
        <v>37</v>
      </c>
      <c r="D58" s="20" t="s">
        <v>14</v>
      </c>
      <c r="E58" s="20" t="s">
        <v>15</v>
      </c>
      <c r="F58" s="20" t="s">
        <v>15</v>
      </c>
      <c r="G58" s="20">
        <v>0</v>
      </c>
      <c r="H58" s="20">
        <v>4.5999999999999999E-2</v>
      </c>
    </row>
    <row r="59" spans="1:8" ht="15.75" x14ac:dyDescent="0.25">
      <c r="A59" s="20">
        <v>3013</v>
      </c>
      <c r="B59" s="20" t="s">
        <v>13</v>
      </c>
      <c r="C59" s="20" t="s">
        <v>37</v>
      </c>
      <c r="D59" s="20" t="s">
        <v>14</v>
      </c>
      <c r="E59" s="20" t="s">
        <v>15</v>
      </c>
      <c r="F59" s="20" t="s">
        <v>15</v>
      </c>
      <c r="G59" s="20">
        <v>14</v>
      </c>
      <c r="H59" s="20">
        <v>2.9000000000000001E-2</v>
      </c>
    </row>
    <row r="60" spans="1:8" ht="15.75" x14ac:dyDescent="0.25">
      <c r="A60" s="20">
        <v>3013</v>
      </c>
      <c r="B60" s="20" t="s">
        <v>13</v>
      </c>
      <c r="C60" s="20" t="s">
        <v>37</v>
      </c>
      <c r="D60" s="20" t="s">
        <v>14</v>
      </c>
      <c r="E60" s="20" t="s">
        <v>15</v>
      </c>
      <c r="F60" s="20" t="s">
        <v>15</v>
      </c>
      <c r="G60" s="20">
        <v>60</v>
      </c>
      <c r="H60" s="20">
        <v>4.2000000000000003E-2</v>
      </c>
    </row>
    <row r="61" spans="1:8" ht="15.75" x14ac:dyDescent="0.25">
      <c r="A61" s="20">
        <v>3013</v>
      </c>
      <c r="B61" s="20" t="s">
        <v>13</v>
      </c>
      <c r="C61" s="20" t="s">
        <v>37</v>
      </c>
      <c r="D61" s="20" t="s">
        <v>14</v>
      </c>
      <c r="E61" s="20" t="s">
        <v>15</v>
      </c>
      <c r="F61" s="20" t="s">
        <v>15</v>
      </c>
      <c r="G61" s="20">
        <v>88</v>
      </c>
      <c r="H61" s="20">
        <v>5.3999999999999999E-2</v>
      </c>
    </row>
    <row r="62" spans="1:8" ht="15.75" x14ac:dyDescent="0.25">
      <c r="A62" s="20">
        <v>3014</v>
      </c>
      <c r="B62" s="20" t="s">
        <v>25</v>
      </c>
      <c r="C62" s="20" t="s">
        <v>37</v>
      </c>
      <c r="D62" s="20" t="s">
        <v>23</v>
      </c>
      <c r="E62" s="20" t="s">
        <v>21</v>
      </c>
      <c r="F62" s="20" t="s">
        <v>24</v>
      </c>
      <c r="G62" s="20">
        <v>0</v>
      </c>
      <c r="H62" s="20">
        <v>2.8000000000000001E-2</v>
      </c>
    </row>
    <row r="63" spans="1:8" ht="15.75" x14ac:dyDescent="0.25">
      <c r="A63" s="20">
        <v>3014</v>
      </c>
      <c r="B63" s="20" t="s">
        <v>25</v>
      </c>
      <c r="C63" s="20" t="s">
        <v>37</v>
      </c>
      <c r="D63" s="20" t="s">
        <v>23</v>
      </c>
      <c r="E63" s="20" t="s">
        <v>21</v>
      </c>
      <c r="F63" s="20" t="s">
        <v>24</v>
      </c>
      <c r="G63" s="20">
        <v>14</v>
      </c>
      <c r="H63" s="20">
        <v>3.9E-2</v>
      </c>
    </row>
    <row r="64" spans="1:8" ht="15.75" x14ac:dyDescent="0.25">
      <c r="A64" s="20">
        <v>3014</v>
      </c>
      <c r="B64" s="20" t="s">
        <v>25</v>
      </c>
      <c r="C64" s="20" t="s">
        <v>37</v>
      </c>
      <c r="D64" s="20" t="s">
        <v>23</v>
      </c>
      <c r="E64" s="20" t="s">
        <v>21</v>
      </c>
      <c r="F64" s="20" t="s">
        <v>24</v>
      </c>
      <c r="G64" s="20">
        <v>88</v>
      </c>
      <c r="H64" s="20">
        <v>5.6000000000000001E-2</v>
      </c>
    </row>
    <row r="65" spans="1:8" ht="15.75" x14ac:dyDescent="0.25">
      <c r="A65" s="20">
        <v>3015</v>
      </c>
      <c r="B65" s="20" t="s">
        <v>44</v>
      </c>
      <c r="C65" s="20" t="s">
        <v>37</v>
      </c>
      <c r="D65" s="20" t="s">
        <v>20</v>
      </c>
      <c r="E65" s="20" t="s">
        <v>21</v>
      </c>
      <c r="F65" s="20" t="s">
        <v>15</v>
      </c>
      <c r="G65" s="20">
        <v>0</v>
      </c>
      <c r="H65" s="20">
        <v>6.7000000000000004E-2</v>
      </c>
    </row>
    <row r="66" spans="1:8" ht="15.75" x14ac:dyDescent="0.25">
      <c r="A66" s="20">
        <v>3015</v>
      </c>
      <c r="B66" s="20" t="s">
        <v>44</v>
      </c>
      <c r="C66" s="20" t="s">
        <v>37</v>
      </c>
      <c r="D66" s="20" t="s">
        <v>20</v>
      </c>
      <c r="E66" s="20" t="s">
        <v>21</v>
      </c>
      <c r="F66" s="20" t="s">
        <v>15</v>
      </c>
      <c r="G66" s="20">
        <v>14</v>
      </c>
      <c r="H66" s="20">
        <v>6.0999999999999999E-2</v>
      </c>
    </row>
    <row r="67" spans="1:8" ht="15.75" x14ac:dyDescent="0.25">
      <c r="A67" s="20">
        <v>3015</v>
      </c>
      <c r="B67" s="20" t="s">
        <v>44</v>
      </c>
      <c r="C67" s="20" t="s">
        <v>37</v>
      </c>
      <c r="D67" s="20" t="s">
        <v>20</v>
      </c>
      <c r="E67" s="20" t="s">
        <v>21</v>
      </c>
      <c r="F67" s="20" t="s">
        <v>15</v>
      </c>
      <c r="G67" s="20">
        <v>60</v>
      </c>
      <c r="H67" s="20">
        <v>4.3999999999999997E-2</v>
      </c>
    </row>
    <row r="68" spans="1:8" ht="15.75" x14ac:dyDescent="0.25">
      <c r="A68" s="20">
        <v>3015</v>
      </c>
      <c r="B68" s="20" t="s">
        <v>44</v>
      </c>
      <c r="C68" s="20" t="s">
        <v>37</v>
      </c>
      <c r="D68" s="20" t="s">
        <v>20</v>
      </c>
      <c r="E68" s="20" t="s">
        <v>21</v>
      </c>
      <c r="F68" s="20" t="s">
        <v>15</v>
      </c>
      <c r="G68" s="20">
        <v>88</v>
      </c>
      <c r="H68" s="20">
        <v>6.0999999999999999E-2</v>
      </c>
    </row>
    <row r="69" spans="1:8" ht="15.75" x14ac:dyDescent="0.25">
      <c r="A69" s="20">
        <v>3016</v>
      </c>
      <c r="B69" s="20" t="s">
        <v>18</v>
      </c>
      <c r="C69" s="20" t="s">
        <v>37</v>
      </c>
      <c r="D69" s="20" t="s">
        <v>14</v>
      </c>
      <c r="E69" s="20" t="s">
        <v>15</v>
      </c>
      <c r="F69" s="20" t="s">
        <v>15</v>
      </c>
      <c r="G69" s="20">
        <v>0</v>
      </c>
      <c r="H69" s="20">
        <v>2.5999999999999999E-2</v>
      </c>
    </row>
    <row r="70" spans="1:8" ht="15.75" x14ac:dyDescent="0.25">
      <c r="A70" s="20">
        <v>3016</v>
      </c>
      <c r="B70" s="20" t="s">
        <v>18</v>
      </c>
      <c r="C70" s="20" t="s">
        <v>37</v>
      </c>
      <c r="D70" s="20" t="s">
        <v>14</v>
      </c>
      <c r="E70" s="20" t="s">
        <v>15</v>
      </c>
      <c r="F70" s="20" t="s">
        <v>15</v>
      </c>
      <c r="G70" s="20">
        <v>14</v>
      </c>
      <c r="H70" s="20">
        <v>4.7E-2</v>
      </c>
    </row>
    <row r="71" spans="1:8" ht="15.75" x14ac:dyDescent="0.25">
      <c r="A71" s="20">
        <v>3016</v>
      </c>
      <c r="B71" s="20" t="s">
        <v>18</v>
      </c>
      <c r="C71" s="20" t="s">
        <v>37</v>
      </c>
      <c r="D71" s="20" t="s">
        <v>14</v>
      </c>
      <c r="E71" s="20" t="s">
        <v>15</v>
      </c>
      <c r="F71" s="20" t="s">
        <v>15</v>
      </c>
      <c r="G71" s="20">
        <v>60</v>
      </c>
      <c r="H71" s="20">
        <v>0.05</v>
      </c>
    </row>
    <row r="72" spans="1:8" ht="15.75" x14ac:dyDescent="0.25">
      <c r="A72" s="20">
        <v>3016</v>
      </c>
      <c r="B72" s="20" t="s">
        <v>18</v>
      </c>
      <c r="C72" s="20" t="s">
        <v>37</v>
      </c>
      <c r="D72" s="20" t="s">
        <v>14</v>
      </c>
      <c r="E72" s="20" t="s">
        <v>15</v>
      </c>
      <c r="F72" s="20" t="s">
        <v>15</v>
      </c>
      <c r="G72" s="20">
        <v>88</v>
      </c>
      <c r="H72" s="20">
        <v>4.5999999999999999E-2</v>
      </c>
    </row>
    <row r="73" spans="1:8" ht="15.75" x14ac:dyDescent="0.25">
      <c r="A73" s="20">
        <v>3017</v>
      </c>
      <c r="B73" s="20" t="s">
        <v>25</v>
      </c>
      <c r="C73" s="20" t="s">
        <v>37</v>
      </c>
      <c r="D73" s="20" t="s">
        <v>23</v>
      </c>
      <c r="E73" s="20" t="s">
        <v>21</v>
      </c>
      <c r="F73" s="20" t="s">
        <v>24</v>
      </c>
      <c r="G73" s="20">
        <v>0</v>
      </c>
      <c r="H73" s="20">
        <v>2.9000000000000001E-2</v>
      </c>
    </row>
    <row r="74" spans="1:8" ht="15.75" x14ac:dyDescent="0.25">
      <c r="A74" s="20">
        <v>3017</v>
      </c>
      <c r="B74" s="20" t="s">
        <v>25</v>
      </c>
      <c r="C74" s="20" t="s">
        <v>37</v>
      </c>
      <c r="D74" s="20" t="s">
        <v>23</v>
      </c>
      <c r="E74" s="20" t="s">
        <v>21</v>
      </c>
      <c r="F74" s="20" t="s">
        <v>24</v>
      </c>
      <c r="G74" s="20">
        <v>14</v>
      </c>
      <c r="H74" s="20">
        <v>4.9000000000000002E-2</v>
      </c>
    </row>
    <row r="75" spans="1:8" ht="15.75" x14ac:dyDescent="0.25">
      <c r="A75" s="20">
        <v>3017</v>
      </c>
      <c r="B75" s="20" t="s">
        <v>25</v>
      </c>
      <c r="C75" s="20" t="s">
        <v>37</v>
      </c>
      <c r="D75" s="20" t="s">
        <v>23</v>
      </c>
      <c r="E75" s="20" t="s">
        <v>21</v>
      </c>
      <c r="F75" s="20" t="s">
        <v>24</v>
      </c>
      <c r="G75" s="20">
        <v>60</v>
      </c>
      <c r="H75" s="20">
        <v>4.2000000000000003E-2</v>
      </c>
    </row>
    <row r="76" spans="1:8" ht="15.75" x14ac:dyDescent="0.25">
      <c r="A76" s="20">
        <v>3017</v>
      </c>
      <c r="B76" s="20" t="s">
        <v>25</v>
      </c>
      <c r="C76" s="20" t="s">
        <v>37</v>
      </c>
      <c r="D76" s="20" t="s">
        <v>23</v>
      </c>
      <c r="E76" s="20" t="s">
        <v>21</v>
      </c>
      <c r="F76" s="20" t="s">
        <v>24</v>
      </c>
      <c r="G76" s="20">
        <v>88</v>
      </c>
      <c r="H76" s="20">
        <v>0.06</v>
      </c>
    </row>
    <row r="77" spans="1:8" ht="15.75" x14ac:dyDescent="0.25">
      <c r="A77" s="20">
        <v>3018</v>
      </c>
      <c r="B77" s="20" t="s">
        <v>18</v>
      </c>
      <c r="C77" s="20" t="s">
        <v>37</v>
      </c>
      <c r="D77" s="20" t="s">
        <v>14</v>
      </c>
      <c r="E77" s="20" t="s">
        <v>15</v>
      </c>
      <c r="F77" s="20" t="s">
        <v>15</v>
      </c>
      <c r="G77" s="20">
        <v>14</v>
      </c>
      <c r="H77" s="20">
        <v>8.0000000000000002E-3</v>
      </c>
    </row>
    <row r="78" spans="1:8" ht="15.75" x14ac:dyDescent="0.25">
      <c r="A78" s="20">
        <v>3018</v>
      </c>
      <c r="B78" s="20" t="s">
        <v>18</v>
      </c>
      <c r="C78" s="20" t="s">
        <v>37</v>
      </c>
      <c r="D78" s="20" t="s">
        <v>14</v>
      </c>
      <c r="E78" s="20" t="s">
        <v>15</v>
      </c>
      <c r="F78" s="20" t="s">
        <v>15</v>
      </c>
      <c r="G78" s="20">
        <v>60</v>
      </c>
      <c r="H78" s="20">
        <v>3.5000000000000003E-2</v>
      </c>
    </row>
    <row r="79" spans="1:8" ht="15.75" x14ac:dyDescent="0.25">
      <c r="A79" s="20">
        <v>3018</v>
      </c>
      <c r="B79" s="20" t="s">
        <v>18</v>
      </c>
      <c r="C79" s="20" t="s">
        <v>37</v>
      </c>
      <c r="D79" s="20" t="s">
        <v>14</v>
      </c>
      <c r="E79" s="20" t="s">
        <v>15</v>
      </c>
      <c r="F79" s="20" t="s">
        <v>15</v>
      </c>
      <c r="G79" s="20">
        <v>88</v>
      </c>
      <c r="H79" s="20">
        <v>3.3000000000000002E-2</v>
      </c>
    </row>
    <row r="80" spans="1:8" ht="15.75" x14ac:dyDescent="0.25">
      <c r="A80" s="20">
        <v>3019</v>
      </c>
      <c r="B80" s="20" t="s">
        <v>45</v>
      </c>
      <c r="C80" s="20" t="s">
        <v>37</v>
      </c>
      <c r="D80" s="20" t="s">
        <v>14</v>
      </c>
      <c r="E80" s="20" t="s">
        <v>15</v>
      </c>
      <c r="F80" s="20" t="s">
        <v>15</v>
      </c>
      <c r="G80" s="20">
        <v>0</v>
      </c>
      <c r="H80" s="20">
        <v>4.2999999999999997E-2</v>
      </c>
    </row>
    <row r="81" spans="1:8" ht="15.75" x14ac:dyDescent="0.25">
      <c r="A81" s="20">
        <v>3019</v>
      </c>
      <c r="B81" s="20" t="s">
        <v>45</v>
      </c>
      <c r="C81" s="20" t="s">
        <v>37</v>
      </c>
      <c r="D81" s="20" t="s">
        <v>14</v>
      </c>
      <c r="E81" s="20" t="s">
        <v>15</v>
      </c>
      <c r="F81" s="20" t="s">
        <v>15</v>
      </c>
      <c r="G81" s="20">
        <v>14</v>
      </c>
      <c r="H81" s="20">
        <v>4.5999999999999999E-2</v>
      </c>
    </row>
    <row r="82" spans="1:8" ht="15.75" x14ac:dyDescent="0.25">
      <c r="A82" s="20">
        <v>3019</v>
      </c>
      <c r="B82" s="20" t="s">
        <v>45</v>
      </c>
      <c r="C82" s="20" t="s">
        <v>37</v>
      </c>
      <c r="D82" s="20" t="s">
        <v>14</v>
      </c>
      <c r="E82" s="20" t="s">
        <v>15</v>
      </c>
      <c r="F82" s="20" t="s">
        <v>15</v>
      </c>
      <c r="G82" s="20">
        <v>60</v>
      </c>
      <c r="H82" s="20">
        <v>3.5999999999999997E-2</v>
      </c>
    </row>
    <row r="83" spans="1:8" ht="15.75" x14ac:dyDescent="0.25">
      <c r="A83" s="20">
        <v>3019</v>
      </c>
      <c r="B83" s="20" t="s">
        <v>45</v>
      </c>
      <c r="C83" s="20" t="s">
        <v>37</v>
      </c>
      <c r="D83" s="20" t="s">
        <v>14</v>
      </c>
      <c r="E83" s="20" t="s">
        <v>15</v>
      </c>
      <c r="F83" s="20" t="s">
        <v>15</v>
      </c>
      <c r="G83" s="20">
        <v>88</v>
      </c>
      <c r="H83" s="20">
        <v>4.9000000000000002E-2</v>
      </c>
    </row>
    <row r="84" spans="1:8" ht="15.75" x14ac:dyDescent="0.25">
      <c r="A84" s="20">
        <v>3021</v>
      </c>
      <c r="B84" s="20" t="s">
        <v>25</v>
      </c>
      <c r="C84" s="20" t="s">
        <v>37</v>
      </c>
      <c r="D84" s="20" t="s">
        <v>23</v>
      </c>
      <c r="E84" s="20" t="s">
        <v>21</v>
      </c>
      <c r="F84" s="20" t="s">
        <v>24</v>
      </c>
      <c r="G84" s="20">
        <v>14</v>
      </c>
      <c r="H84" s="20">
        <v>2.9000000000000001E-2</v>
      </c>
    </row>
    <row r="85" spans="1:8" ht="15.75" x14ac:dyDescent="0.25">
      <c r="A85" s="20">
        <v>3021</v>
      </c>
      <c r="B85" s="20" t="s">
        <v>25</v>
      </c>
      <c r="C85" s="20" t="s">
        <v>37</v>
      </c>
      <c r="D85" s="20" t="s">
        <v>23</v>
      </c>
      <c r="E85" s="20" t="s">
        <v>21</v>
      </c>
      <c r="F85" s="20" t="s">
        <v>24</v>
      </c>
      <c r="G85" s="20">
        <v>60</v>
      </c>
      <c r="H85" s="20">
        <v>6.0999999999999999E-2</v>
      </c>
    </row>
    <row r="86" spans="1:8" ht="15.75" x14ac:dyDescent="0.25">
      <c r="A86" s="20">
        <v>3021</v>
      </c>
      <c r="B86" s="20" t="s">
        <v>25</v>
      </c>
      <c r="C86" s="20" t="s">
        <v>37</v>
      </c>
      <c r="D86" s="20" t="s">
        <v>23</v>
      </c>
      <c r="E86" s="20" t="s">
        <v>21</v>
      </c>
      <c r="F86" s="20" t="s">
        <v>24</v>
      </c>
      <c r="G86" s="20">
        <v>88</v>
      </c>
      <c r="H86" s="20">
        <v>4.2999999999999997E-2</v>
      </c>
    </row>
    <row r="87" spans="1:8" ht="15.75" x14ac:dyDescent="0.25">
      <c r="A87" s="20">
        <v>3022</v>
      </c>
      <c r="B87" s="20" t="s">
        <v>44</v>
      </c>
      <c r="C87" s="20" t="s">
        <v>37</v>
      </c>
      <c r="D87" s="20" t="s">
        <v>20</v>
      </c>
      <c r="E87" s="20" t="s">
        <v>21</v>
      </c>
      <c r="F87" s="20" t="s">
        <v>15</v>
      </c>
      <c r="G87" s="20">
        <v>0</v>
      </c>
      <c r="H87" s="20">
        <v>3.7999999999999999E-2</v>
      </c>
    </row>
    <row r="88" spans="1:8" ht="15.75" x14ac:dyDescent="0.25">
      <c r="A88" s="20">
        <v>3022</v>
      </c>
      <c r="B88" s="20" t="s">
        <v>44</v>
      </c>
      <c r="C88" s="20" t="s">
        <v>37</v>
      </c>
      <c r="D88" s="20" t="s">
        <v>20</v>
      </c>
      <c r="E88" s="20" t="s">
        <v>21</v>
      </c>
      <c r="F88" s="20" t="s">
        <v>15</v>
      </c>
      <c r="G88" s="20">
        <v>14</v>
      </c>
      <c r="H88" s="20">
        <v>3.4000000000000002E-2</v>
      </c>
    </row>
    <row r="89" spans="1:8" ht="15.75" x14ac:dyDescent="0.25">
      <c r="A89" s="20">
        <v>3022</v>
      </c>
      <c r="B89" s="20" t="s">
        <v>44</v>
      </c>
      <c r="C89" s="20" t="s">
        <v>37</v>
      </c>
      <c r="D89" s="20" t="s">
        <v>20</v>
      </c>
      <c r="E89" s="20" t="s">
        <v>21</v>
      </c>
      <c r="F89" s="20" t="s">
        <v>15</v>
      </c>
      <c r="G89" s="20">
        <v>60</v>
      </c>
      <c r="H89" s="20">
        <v>3.6999999999999998E-2</v>
      </c>
    </row>
    <row r="90" spans="1:8" ht="15.75" x14ac:dyDescent="0.25">
      <c r="A90" s="20">
        <v>3022</v>
      </c>
      <c r="B90" s="20" t="s">
        <v>44</v>
      </c>
      <c r="C90" s="20" t="s">
        <v>37</v>
      </c>
      <c r="D90" s="20" t="s">
        <v>20</v>
      </c>
      <c r="E90" s="20" t="s">
        <v>21</v>
      </c>
      <c r="F90" s="20" t="s">
        <v>15</v>
      </c>
      <c r="G90" s="20">
        <v>88</v>
      </c>
      <c r="H90" s="20">
        <v>4.8000000000000001E-2</v>
      </c>
    </row>
    <row r="91" spans="1:8" ht="15.75" x14ac:dyDescent="0.25">
      <c r="A91" s="20">
        <v>3023</v>
      </c>
      <c r="B91" s="20" t="s">
        <v>68</v>
      </c>
      <c r="C91" s="20" t="s">
        <v>37</v>
      </c>
      <c r="D91" s="20" t="s">
        <v>23</v>
      </c>
      <c r="E91" s="20" t="s">
        <v>21</v>
      </c>
      <c r="F91" s="20" t="s">
        <v>24</v>
      </c>
      <c r="G91" s="20">
        <v>0</v>
      </c>
      <c r="H91" s="20">
        <v>4.4999999999999998E-2</v>
      </c>
    </row>
    <row r="92" spans="1:8" ht="15.75" x14ac:dyDescent="0.25">
      <c r="A92" s="20">
        <v>3023</v>
      </c>
      <c r="B92" s="20" t="s">
        <v>68</v>
      </c>
      <c r="C92" s="20" t="s">
        <v>37</v>
      </c>
      <c r="D92" s="20" t="s">
        <v>23</v>
      </c>
      <c r="E92" s="20" t="s">
        <v>21</v>
      </c>
      <c r="F92" s="20" t="s">
        <v>24</v>
      </c>
      <c r="G92" s="20">
        <v>14</v>
      </c>
      <c r="H92" s="20">
        <v>5.2999999999999999E-2</v>
      </c>
    </row>
    <row r="93" spans="1:8" ht="15.75" x14ac:dyDescent="0.25">
      <c r="A93" s="20">
        <v>3023</v>
      </c>
      <c r="B93" s="20" t="s">
        <v>68</v>
      </c>
      <c r="C93" s="20" t="s">
        <v>37</v>
      </c>
      <c r="D93" s="20" t="s">
        <v>23</v>
      </c>
      <c r="E93" s="20" t="s">
        <v>21</v>
      </c>
      <c r="F93" s="20" t="s">
        <v>24</v>
      </c>
      <c r="G93" s="20">
        <v>60</v>
      </c>
      <c r="H93" s="20">
        <v>4.7E-2</v>
      </c>
    </row>
    <row r="94" spans="1:8" ht="15.75" x14ac:dyDescent="0.25">
      <c r="A94" s="20">
        <v>3023</v>
      </c>
      <c r="B94" s="20" t="s">
        <v>68</v>
      </c>
      <c r="C94" s="20" t="s">
        <v>37</v>
      </c>
      <c r="D94" s="20" t="s">
        <v>23</v>
      </c>
      <c r="E94" s="20" t="s">
        <v>21</v>
      </c>
      <c r="F94" s="20" t="s">
        <v>24</v>
      </c>
      <c r="G94" s="20">
        <v>88</v>
      </c>
      <c r="H94" s="20">
        <v>4.7E-2</v>
      </c>
    </row>
    <row r="95" spans="1:8" ht="15.75" x14ac:dyDescent="0.25">
      <c r="A95" s="20">
        <v>3030</v>
      </c>
      <c r="B95" s="20" t="s">
        <v>66</v>
      </c>
      <c r="C95" s="20" t="s">
        <v>37</v>
      </c>
      <c r="D95" s="20" t="s">
        <v>14</v>
      </c>
      <c r="E95" s="20" t="s">
        <v>15</v>
      </c>
      <c r="F95" s="20" t="s">
        <v>15</v>
      </c>
      <c r="G95" s="20">
        <v>0</v>
      </c>
      <c r="H95" s="20">
        <v>5.6000000000000001E-2</v>
      </c>
    </row>
    <row r="96" spans="1:8" ht="15.75" x14ac:dyDescent="0.25">
      <c r="A96" s="20">
        <v>3030</v>
      </c>
      <c r="B96" s="20" t="s">
        <v>66</v>
      </c>
      <c r="C96" s="20" t="s">
        <v>37</v>
      </c>
      <c r="D96" s="20" t="s">
        <v>14</v>
      </c>
      <c r="E96" s="20" t="s">
        <v>15</v>
      </c>
      <c r="F96" s="20" t="s">
        <v>15</v>
      </c>
      <c r="G96" s="20">
        <v>14</v>
      </c>
      <c r="H96" s="20">
        <v>3.4000000000000002E-2</v>
      </c>
    </row>
    <row r="97" spans="1:8" ht="15.75" x14ac:dyDescent="0.25">
      <c r="A97" s="20">
        <v>3030</v>
      </c>
      <c r="B97" s="20" t="s">
        <v>66</v>
      </c>
      <c r="C97" s="20" t="s">
        <v>37</v>
      </c>
      <c r="D97" s="20" t="s">
        <v>14</v>
      </c>
      <c r="E97" s="20" t="s">
        <v>15</v>
      </c>
      <c r="F97" s="20" t="s">
        <v>15</v>
      </c>
      <c r="G97" s="20">
        <v>60</v>
      </c>
      <c r="H97" s="20">
        <v>7.0000000000000007E-2</v>
      </c>
    </row>
    <row r="98" spans="1:8" ht="15.75" x14ac:dyDescent="0.25">
      <c r="A98" s="20">
        <v>3030</v>
      </c>
      <c r="B98" s="20" t="s">
        <v>66</v>
      </c>
      <c r="C98" s="20" t="s">
        <v>37</v>
      </c>
      <c r="D98" s="20" t="s">
        <v>14</v>
      </c>
      <c r="E98" s="20" t="s">
        <v>15</v>
      </c>
      <c r="F98" s="20" t="s">
        <v>15</v>
      </c>
      <c r="G98" s="20">
        <v>88</v>
      </c>
      <c r="H98" s="20">
        <v>4.7E-2</v>
      </c>
    </row>
    <row r="99" spans="1:8" ht="15.75" x14ac:dyDescent="0.25">
      <c r="A99" s="20">
        <v>3034</v>
      </c>
      <c r="B99" s="20" t="s">
        <v>66</v>
      </c>
      <c r="C99" s="20" t="s">
        <v>37</v>
      </c>
      <c r="D99" s="20" t="s">
        <v>14</v>
      </c>
      <c r="E99" s="20" t="s">
        <v>15</v>
      </c>
      <c r="F99" s="20" t="s">
        <v>15</v>
      </c>
      <c r="G99" s="20">
        <v>0</v>
      </c>
      <c r="H99" s="20">
        <v>4.3999999999999997E-2</v>
      </c>
    </row>
    <row r="100" spans="1:8" ht="15.75" x14ac:dyDescent="0.25">
      <c r="A100" s="20">
        <v>3034</v>
      </c>
      <c r="B100" s="20" t="s">
        <v>66</v>
      </c>
      <c r="C100" s="20" t="s">
        <v>37</v>
      </c>
      <c r="D100" s="20" t="s">
        <v>14</v>
      </c>
      <c r="E100" s="20" t="s">
        <v>15</v>
      </c>
      <c r="F100" s="20" t="s">
        <v>15</v>
      </c>
      <c r="G100" s="20">
        <v>14</v>
      </c>
      <c r="H100" s="20">
        <v>4.2999999999999997E-2</v>
      </c>
    </row>
    <row r="101" spans="1:8" ht="15.75" x14ac:dyDescent="0.25">
      <c r="A101" s="20">
        <v>3034</v>
      </c>
      <c r="B101" s="20" t="s">
        <v>66</v>
      </c>
      <c r="C101" s="20" t="s">
        <v>37</v>
      </c>
      <c r="D101" s="20" t="s">
        <v>14</v>
      </c>
      <c r="E101" s="20" t="s">
        <v>15</v>
      </c>
      <c r="F101" s="20" t="s">
        <v>15</v>
      </c>
      <c r="G101" s="20">
        <v>60</v>
      </c>
      <c r="H101" s="20">
        <v>6.8000000000000005E-2</v>
      </c>
    </row>
    <row r="102" spans="1:8" ht="15.75" x14ac:dyDescent="0.25">
      <c r="A102" s="20">
        <v>3034</v>
      </c>
      <c r="B102" s="20" t="s">
        <v>66</v>
      </c>
      <c r="C102" s="20" t="s">
        <v>37</v>
      </c>
      <c r="D102" s="20" t="s">
        <v>14</v>
      </c>
      <c r="E102" s="20" t="s">
        <v>15</v>
      </c>
      <c r="F102" s="20" t="s">
        <v>15</v>
      </c>
      <c r="G102" s="20">
        <v>88</v>
      </c>
      <c r="H102" s="20">
        <v>5.1999999999999998E-2</v>
      </c>
    </row>
    <row r="103" spans="1:8" ht="15.75" x14ac:dyDescent="0.25">
      <c r="A103" s="20">
        <v>3112</v>
      </c>
      <c r="B103" s="20" t="s">
        <v>30</v>
      </c>
      <c r="C103" s="20" t="s">
        <v>37</v>
      </c>
      <c r="D103" s="20" t="s">
        <v>20</v>
      </c>
      <c r="E103" s="20" t="s">
        <v>21</v>
      </c>
      <c r="F103" s="20" t="s">
        <v>15</v>
      </c>
      <c r="G103" s="20">
        <v>0</v>
      </c>
      <c r="H103" s="20">
        <v>4.4999999999999998E-2</v>
      </c>
    </row>
    <row r="104" spans="1:8" ht="15.75" x14ac:dyDescent="0.25">
      <c r="A104" s="20">
        <v>3112</v>
      </c>
      <c r="B104" s="20" t="s">
        <v>30</v>
      </c>
      <c r="C104" s="20" t="s">
        <v>37</v>
      </c>
      <c r="D104" s="20" t="s">
        <v>20</v>
      </c>
      <c r="E104" s="20" t="s">
        <v>21</v>
      </c>
      <c r="F104" s="20" t="s">
        <v>15</v>
      </c>
      <c r="G104" s="20">
        <v>14</v>
      </c>
      <c r="H104" s="20">
        <v>5.8000000000000003E-2</v>
      </c>
    </row>
    <row r="105" spans="1:8" ht="15.75" x14ac:dyDescent="0.25">
      <c r="A105" s="20">
        <v>3112</v>
      </c>
      <c r="B105" s="20" t="s">
        <v>30</v>
      </c>
      <c r="C105" s="20" t="s">
        <v>37</v>
      </c>
      <c r="D105" s="20" t="s">
        <v>20</v>
      </c>
      <c r="E105" s="20" t="s">
        <v>21</v>
      </c>
      <c r="F105" s="20" t="s">
        <v>15</v>
      </c>
      <c r="G105" s="20">
        <v>60</v>
      </c>
      <c r="H105" s="20">
        <v>5.8000000000000003E-2</v>
      </c>
    </row>
    <row r="106" spans="1:8" ht="15.75" x14ac:dyDescent="0.25">
      <c r="A106" s="20">
        <v>3112</v>
      </c>
      <c r="B106" s="20" t="s">
        <v>30</v>
      </c>
      <c r="C106" s="20" t="s">
        <v>37</v>
      </c>
      <c r="D106" s="20" t="s">
        <v>20</v>
      </c>
      <c r="E106" s="20" t="s">
        <v>21</v>
      </c>
      <c r="F106" s="20" t="s">
        <v>15</v>
      </c>
      <c r="G106" s="20">
        <v>88</v>
      </c>
      <c r="H106" s="20">
        <v>6.0999999999999999E-2</v>
      </c>
    </row>
    <row r="107" spans="1:8" ht="15.75" x14ac:dyDescent="0.25">
      <c r="A107" s="20">
        <v>3113</v>
      </c>
      <c r="B107" s="20" t="s">
        <v>45</v>
      </c>
      <c r="C107" s="20" t="s">
        <v>37</v>
      </c>
      <c r="D107" s="20" t="s">
        <v>14</v>
      </c>
      <c r="E107" s="20" t="s">
        <v>15</v>
      </c>
      <c r="F107" s="20" t="s">
        <v>15</v>
      </c>
      <c r="G107" s="20">
        <v>0</v>
      </c>
      <c r="H107" s="20">
        <v>3.5000000000000003E-2</v>
      </c>
    </row>
    <row r="108" spans="1:8" ht="15.75" x14ac:dyDescent="0.25">
      <c r="A108" s="20">
        <v>3113</v>
      </c>
      <c r="B108" s="20" t="s">
        <v>45</v>
      </c>
      <c r="C108" s="20" t="s">
        <v>37</v>
      </c>
      <c r="D108" s="20" t="s">
        <v>14</v>
      </c>
      <c r="E108" s="20" t="s">
        <v>15</v>
      </c>
      <c r="F108" s="20" t="s">
        <v>15</v>
      </c>
      <c r="G108" s="20">
        <v>14</v>
      </c>
      <c r="H108" s="20">
        <v>2.3E-2</v>
      </c>
    </row>
    <row r="109" spans="1:8" ht="15.75" x14ac:dyDescent="0.25">
      <c r="A109" s="20">
        <v>3113</v>
      </c>
      <c r="B109" s="20" t="s">
        <v>45</v>
      </c>
      <c r="C109" s="20" t="s">
        <v>37</v>
      </c>
      <c r="D109" s="20" t="s">
        <v>14</v>
      </c>
      <c r="E109" s="20" t="s">
        <v>15</v>
      </c>
      <c r="F109" s="20" t="s">
        <v>15</v>
      </c>
      <c r="G109" s="20">
        <v>88</v>
      </c>
      <c r="H109" s="20">
        <v>2.1000000000000001E-2</v>
      </c>
    </row>
    <row r="110" spans="1:8" ht="15.75" x14ac:dyDescent="0.25">
      <c r="A110" s="20">
        <v>3114</v>
      </c>
      <c r="B110" s="20" t="s">
        <v>46</v>
      </c>
      <c r="C110" s="20" t="s">
        <v>37</v>
      </c>
      <c r="D110" s="20" t="s">
        <v>23</v>
      </c>
      <c r="E110" s="20" t="s">
        <v>21</v>
      </c>
      <c r="F110" s="20" t="s">
        <v>24</v>
      </c>
      <c r="G110" s="20">
        <v>0</v>
      </c>
      <c r="H110" s="20">
        <v>2.5999999999999999E-2</v>
      </c>
    </row>
    <row r="111" spans="1:8" ht="15.75" x14ac:dyDescent="0.25">
      <c r="A111" s="20">
        <v>3114</v>
      </c>
      <c r="B111" s="20" t="s">
        <v>46</v>
      </c>
      <c r="C111" s="20" t="s">
        <v>37</v>
      </c>
      <c r="D111" s="20" t="s">
        <v>23</v>
      </c>
      <c r="E111" s="20" t="s">
        <v>21</v>
      </c>
      <c r="F111" s="20" t="s">
        <v>24</v>
      </c>
      <c r="G111" s="20">
        <v>14</v>
      </c>
      <c r="H111" s="20">
        <v>1.4E-2</v>
      </c>
    </row>
    <row r="112" spans="1:8" ht="15.75" x14ac:dyDescent="0.25">
      <c r="A112" s="20">
        <v>3114</v>
      </c>
      <c r="B112" s="20" t="s">
        <v>46</v>
      </c>
      <c r="C112" s="20" t="s">
        <v>37</v>
      </c>
      <c r="D112" s="20" t="s">
        <v>23</v>
      </c>
      <c r="E112" s="20" t="s">
        <v>21</v>
      </c>
      <c r="F112" s="20" t="s">
        <v>24</v>
      </c>
      <c r="G112" s="20">
        <v>60</v>
      </c>
      <c r="H112" s="20">
        <v>5.8999999999999997E-2</v>
      </c>
    </row>
    <row r="113" spans="1:8" ht="15.75" x14ac:dyDescent="0.25">
      <c r="A113" s="20">
        <v>3114</v>
      </c>
      <c r="B113" s="20" t="s">
        <v>46</v>
      </c>
      <c r="C113" s="20" t="s">
        <v>37</v>
      </c>
      <c r="D113" s="20" t="s">
        <v>23</v>
      </c>
      <c r="E113" s="20" t="s">
        <v>21</v>
      </c>
      <c r="F113" s="20" t="s">
        <v>24</v>
      </c>
      <c r="G113" s="20">
        <v>88</v>
      </c>
      <c r="H113" s="20">
        <v>0.06</v>
      </c>
    </row>
    <row r="114" spans="1:8" ht="15.75" x14ac:dyDescent="0.25">
      <c r="A114" s="20">
        <v>3115</v>
      </c>
      <c r="B114" s="20" t="s">
        <v>30</v>
      </c>
      <c r="C114" s="20" t="s">
        <v>37</v>
      </c>
      <c r="D114" s="20" t="s">
        <v>20</v>
      </c>
      <c r="E114" s="20" t="s">
        <v>21</v>
      </c>
      <c r="F114" s="20" t="s">
        <v>15</v>
      </c>
      <c r="G114" s="20">
        <v>0</v>
      </c>
      <c r="H114" s="20">
        <v>4.4999999999999998E-2</v>
      </c>
    </row>
    <row r="115" spans="1:8" ht="15.75" x14ac:dyDescent="0.25">
      <c r="A115" s="20">
        <v>3115</v>
      </c>
      <c r="B115" s="20" t="s">
        <v>30</v>
      </c>
      <c r="C115" s="20" t="s">
        <v>37</v>
      </c>
      <c r="D115" s="20" t="s">
        <v>20</v>
      </c>
      <c r="E115" s="20" t="s">
        <v>21</v>
      </c>
      <c r="F115" s="20" t="s">
        <v>15</v>
      </c>
      <c r="G115" s="20">
        <v>14</v>
      </c>
      <c r="H115" s="20">
        <v>5.1999999999999998E-2</v>
      </c>
    </row>
    <row r="116" spans="1:8" ht="15.75" x14ac:dyDescent="0.25">
      <c r="A116" s="20">
        <v>3115</v>
      </c>
      <c r="B116" s="20" t="s">
        <v>30</v>
      </c>
      <c r="C116" s="20" t="s">
        <v>37</v>
      </c>
      <c r="D116" s="20" t="s">
        <v>20</v>
      </c>
      <c r="E116" s="20" t="s">
        <v>21</v>
      </c>
      <c r="F116" s="20" t="s">
        <v>15</v>
      </c>
      <c r="G116" s="20">
        <v>60</v>
      </c>
      <c r="H116" s="20">
        <v>5.8000000000000003E-2</v>
      </c>
    </row>
    <row r="117" spans="1:8" ht="15.75" x14ac:dyDescent="0.25">
      <c r="A117" s="20">
        <v>3115</v>
      </c>
      <c r="B117" s="20" t="s">
        <v>30</v>
      </c>
      <c r="C117" s="20" t="s">
        <v>37</v>
      </c>
      <c r="D117" s="20" t="s">
        <v>20</v>
      </c>
      <c r="E117" s="20" t="s">
        <v>21</v>
      </c>
      <c r="F117" s="20" t="s">
        <v>15</v>
      </c>
      <c r="G117" s="20">
        <v>88</v>
      </c>
      <c r="H117" s="20">
        <v>5.8999999999999997E-2</v>
      </c>
    </row>
    <row r="118" spans="1:8" ht="15.75" x14ac:dyDescent="0.25">
      <c r="A118" s="20">
        <v>3116</v>
      </c>
      <c r="B118" s="20" t="s">
        <v>25</v>
      </c>
      <c r="C118" s="20" t="s">
        <v>37</v>
      </c>
      <c r="D118" s="20" t="s">
        <v>23</v>
      </c>
      <c r="E118" s="20" t="s">
        <v>21</v>
      </c>
      <c r="F118" s="20" t="s">
        <v>24</v>
      </c>
      <c r="G118" s="20">
        <v>0</v>
      </c>
      <c r="H118" s="20">
        <v>3.5000000000000003E-2</v>
      </c>
    </row>
    <row r="119" spans="1:8" ht="15.75" x14ac:dyDescent="0.25">
      <c r="A119" s="20">
        <v>3116</v>
      </c>
      <c r="B119" s="20" t="s">
        <v>25</v>
      </c>
      <c r="C119" s="20" t="s">
        <v>37</v>
      </c>
      <c r="D119" s="20" t="s">
        <v>23</v>
      </c>
      <c r="E119" s="20" t="s">
        <v>21</v>
      </c>
      <c r="F119" s="20" t="s">
        <v>24</v>
      </c>
      <c r="G119" s="20">
        <v>14</v>
      </c>
      <c r="H119" s="20">
        <v>2.8000000000000001E-2</v>
      </c>
    </row>
    <row r="120" spans="1:8" ht="15.75" x14ac:dyDescent="0.25">
      <c r="A120" s="20">
        <v>3116</v>
      </c>
      <c r="B120" s="20" t="s">
        <v>25</v>
      </c>
      <c r="C120" s="20" t="s">
        <v>37</v>
      </c>
      <c r="D120" s="20" t="s">
        <v>23</v>
      </c>
      <c r="E120" s="20" t="s">
        <v>21</v>
      </c>
      <c r="F120" s="20" t="s">
        <v>24</v>
      </c>
      <c r="G120" s="20">
        <v>60</v>
      </c>
      <c r="H120" s="20">
        <v>8.6999999999999994E-2</v>
      </c>
    </row>
    <row r="121" spans="1:8" ht="15.75" x14ac:dyDescent="0.25">
      <c r="A121" s="20">
        <v>3116</v>
      </c>
      <c r="B121" s="20" t="s">
        <v>25</v>
      </c>
      <c r="C121" s="20" t="s">
        <v>37</v>
      </c>
      <c r="D121" s="20" t="s">
        <v>23</v>
      </c>
      <c r="E121" s="20" t="s">
        <v>21</v>
      </c>
      <c r="F121" s="20" t="s">
        <v>24</v>
      </c>
      <c r="G121" s="20">
        <v>88</v>
      </c>
      <c r="H121" s="20">
        <v>2.9000000000000001E-2</v>
      </c>
    </row>
    <row r="122" spans="1:8" ht="15.75" x14ac:dyDescent="0.25">
      <c r="A122" s="20">
        <v>3117</v>
      </c>
      <c r="B122" s="20" t="s">
        <v>17</v>
      </c>
      <c r="C122" s="20" t="s">
        <v>37</v>
      </c>
      <c r="D122" s="20" t="s">
        <v>14</v>
      </c>
      <c r="E122" s="20" t="s">
        <v>15</v>
      </c>
      <c r="F122" s="20" t="s">
        <v>15</v>
      </c>
      <c r="G122" s="20">
        <v>0</v>
      </c>
      <c r="H122" s="20">
        <v>2.5000000000000001E-2</v>
      </c>
    </row>
    <row r="123" spans="1:8" ht="15.75" x14ac:dyDescent="0.25">
      <c r="A123" s="20">
        <v>3117</v>
      </c>
      <c r="B123" s="20" t="s">
        <v>17</v>
      </c>
      <c r="C123" s="20" t="s">
        <v>37</v>
      </c>
      <c r="D123" s="20" t="s">
        <v>14</v>
      </c>
      <c r="E123" s="20" t="s">
        <v>15</v>
      </c>
      <c r="F123" s="20" t="s">
        <v>15</v>
      </c>
      <c r="G123" s="20">
        <v>14</v>
      </c>
      <c r="H123" s="20">
        <v>3.1E-2</v>
      </c>
    </row>
    <row r="124" spans="1:8" ht="15.75" x14ac:dyDescent="0.25">
      <c r="A124" s="20">
        <v>3117</v>
      </c>
      <c r="B124" s="20" t="s">
        <v>17</v>
      </c>
      <c r="C124" s="20" t="s">
        <v>37</v>
      </c>
      <c r="D124" s="20" t="s">
        <v>14</v>
      </c>
      <c r="E124" s="20" t="s">
        <v>15</v>
      </c>
      <c r="F124" s="20" t="s">
        <v>15</v>
      </c>
      <c r="G124" s="20">
        <v>60</v>
      </c>
      <c r="H124" s="20">
        <v>6.2E-2</v>
      </c>
    </row>
    <row r="125" spans="1:8" ht="15.75" x14ac:dyDescent="0.25">
      <c r="A125" s="20">
        <v>3117</v>
      </c>
      <c r="B125" s="20" t="s">
        <v>17</v>
      </c>
      <c r="C125" s="20" t="s">
        <v>37</v>
      </c>
      <c r="D125" s="20" t="s">
        <v>14</v>
      </c>
      <c r="E125" s="20" t="s">
        <v>15</v>
      </c>
      <c r="F125" s="20" t="s">
        <v>15</v>
      </c>
      <c r="G125" s="20">
        <v>88</v>
      </c>
      <c r="H125" s="20">
        <v>5.2999999999999999E-2</v>
      </c>
    </row>
    <row r="126" spans="1:8" ht="15.75" x14ac:dyDescent="0.25">
      <c r="A126" s="20">
        <v>3118</v>
      </c>
      <c r="B126" s="20" t="s">
        <v>30</v>
      </c>
      <c r="C126" s="20" t="s">
        <v>37</v>
      </c>
      <c r="D126" s="20" t="s">
        <v>20</v>
      </c>
      <c r="E126" s="20" t="s">
        <v>21</v>
      </c>
      <c r="F126" s="20" t="s">
        <v>15</v>
      </c>
      <c r="G126" s="20">
        <v>0</v>
      </c>
      <c r="H126" s="20">
        <v>4.2999999999999997E-2</v>
      </c>
    </row>
    <row r="127" spans="1:8" ht="15.75" x14ac:dyDescent="0.25">
      <c r="A127" s="20">
        <v>3118</v>
      </c>
      <c r="B127" s="20" t="s">
        <v>30</v>
      </c>
      <c r="C127" s="20" t="s">
        <v>37</v>
      </c>
      <c r="D127" s="20" t="s">
        <v>20</v>
      </c>
      <c r="E127" s="20" t="s">
        <v>21</v>
      </c>
      <c r="F127" s="20" t="s">
        <v>15</v>
      </c>
      <c r="G127" s="20">
        <v>14</v>
      </c>
      <c r="H127" s="20">
        <v>0.02</v>
      </c>
    </row>
    <row r="128" spans="1:8" ht="15.75" x14ac:dyDescent="0.25">
      <c r="A128" s="20">
        <v>3118</v>
      </c>
      <c r="B128" s="20" t="s">
        <v>30</v>
      </c>
      <c r="C128" s="20" t="s">
        <v>37</v>
      </c>
      <c r="D128" s="20" t="s">
        <v>20</v>
      </c>
      <c r="E128" s="20" t="s">
        <v>21</v>
      </c>
      <c r="F128" s="20" t="s">
        <v>15</v>
      </c>
      <c r="G128" s="20">
        <v>60</v>
      </c>
      <c r="H128" s="20">
        <v>4.3999999999999997E-2</v>
      </c>
    </row>
    <row r="129" spans="1:8" ht="15.75" x14ac:dyDescent="0.25">
      <c r="A129" s="20">
        <v>3118</v>
      </c>
      <c r="B129" s="20" t="s">
        <v>30</v>
      </c>
      <c r="C129" s="20" t="s">
        <v>37</v>
      </c>
      <c r="D129" s="20" t="s">
        <v>20</v>
      </c>
      <c r="E129" s="20" t="s">
        <v>21</v>
      </c>
      <c r="F129" s="20" t="s">
        <v>15</v>
      </c>
      <c r="G129" s="20">
        <v>88</v>
      </c>
      <c r="H129" s="20">
        <v>5.8000000000000003E-2</v>
      </c>
    </row>
    <row r="130" spans="1:8" ht="15.75" x14ac:dyDescent="0.25">
      <c r="A130" s="20">
        <v>3119</v>
      </c>
      <c r="B130" s="20" t="s">
        <v>30</v>
      </c>
      <c r="C130" s="20" t="s">
        <v>37</v>
      </c>
      <c r="D130" s="20" t="s">
        <v>20</v>
      </c>
      <c r="E130" s="20" t="s">
        <v>21</v>
      </c>
      <c r="F130" s="20" t="s">
        <v>15</v>
      </c>
      <c r="G130" s="20">
        <v>0</v>
      </c>
      <c r="H130" s="20">
        <v>3.5999999999999997E-2</v>
      </c>
    </row>
    <row r="131" spans="1:8" ht="15.75" x14ac:dyDescent="0.25">
      <c r="A131" s="20">
        <v>3119</v>
      </c>
      <c r="B131" s="20" t="s">
        <v>30</v>
      </c>
      <c r="C131" s="20" t="s">
        <v>37</v>
      </c>
      <c r="D131" s="20" t="s">
        <v>20</v>
      </c>
      <c r="E131" s="20" t="s">
        <v>21</v>
      </c>
      <c r="F131" s="20" t="s">
        <v>15</v>
      </c>
      <c r="G131" s="20">
        <v>14</v>
      </c>
      <c r="H131" s="20">
        <v>3.6999999999999998E-2</v>
      </c>
    </row>
    <row r="132" spans="1:8" ht="15.75" x14ac:dyDescent="0.25">
      <c r="A132" s="20">
        <v>3119</v>
      </c>
      <c r="B132" s="20" t="s">
        <v>30</v>
      </c>
      <c r="C132" s="20" t="s">
        <v>37</v>
      </c>
      <c r="D132" s="20" t="s">
        <v>20</v>
      </c>
      <c r="E132" s="20" t="s">
        <v>21</v>
      </c>
      <c r="F132" s="20" t="s">
        <v>15</v>
      </c>
      <c r="G132" s="20">
        <v>88</v>
      </c>
      <c r="H132" s="20">
        <v>3.5999999999999997E-2</v>
      </c>
    </row>
    <row r="133" spans="1:8" ht="15.75" x14ac:dyDescent="0.25">
      <c r="A133" s="20">
        <v>3129</v>
      </c>
      <c r="B133" s="20" t="s">
        <v>17</v>
      </c>
      <c r="C133" s="20" t="s">
        <v>37</v>
      </c>
      <c r="D133" s="20" t="s">
        <v>14</v>
      </c>
      <c r="E133" s="20" t="s">
        <v>15</v>
      </c>
      <c r="F133" s="20" t="s">
        <v>15</v>
      </c>
      <c r="G133" s="20">
        <v>0</v>
      </c>
      <c r="H133" s="20">
        <v>3.5000000000000003E-2</v>
      </c>
    </row>
    <row r="134" spans="1:8" ht="15.75" x14ac:dyDescent="0.25">
      <c r="A134" s="20">
        <v>3129</v>
      </c>
      <c r="B134" s="20" t="s">
        <v>17</v>
      </c>
      <c r="C134" s="20" t="s">
        <v>37</v>
      </c>
      <c r="D134" s="20" t="s">
        <v>14</v>
      </c>
      <c r="E134" s="20" t="s">
        <v>15</v>
      </c>
      <c r="F134" s="20" t="s">
        <v>15</v>
      </c>
      <c r="G134" s="20">
        <v>14</v>
      </c>
      <c r="H134" s="20">
        <v>5.5E-2</v>
      </c>
    </row>
    <row r="135" spans="1:8" ht="15.75" x14ac:dyDescent="0.25">
      <c r="A135" s="20">
        <v>3129</v>
      </c>
      <c r="B135" s="20" t="s">
        <v>17</v>
      </c>
      <c r="C135" s="20" t="s">
        <v>37</v>
      </c>
      <c r="D135" s="20" t="s">
        <v>14</v>
      </c>
      <c r="E135" s="20" t="s">
        <v>15</v>
      </c>
      <c r="F135" s="20" t="s">
        <v>15</v>
      </c>
      <c r="G135" s="20">
        <v>60</v>
      </c>
      <c r="H135" s="20">
        <v>6.4000000000000001E-2</v>
      </c>
    </row>
    <row r="136" spans="1:8" ht="15.75" x14ac:dyDescent="0.25">
      <c r="A136" s="20">
        <v>3129</v>
      </c>
      <c r="B136" s="20" t="s">
        <v>17</v>
      </c>
      <c r="C136" s="20" t="s">
        <v>37</v>
      </c>
      <c r="D136" s="20" t="s">
        <v>14</v>
      </c>
      <c r="E136" s="20" t="s">
        <v>15</v>
      </c>
      <c r="F136" s="20" t="s">
        <v>15</v>
      </c>
      <c r="G136" s="20">
        <v>88</v>
      </c>
      <c r="H136" s="20">
        <v>5.8000000000000003E-2</v>
      </c>
    </row>
    <row r="137" spans="1:8" ht="15.75" x14ac:dyDescent="0.25">
      <c r="A137" s="20">
        <v>3130</v>
      </c>
      <c r="B137" s="20" t="s">
        <v>13</v>
      </c>
      <c r="C137" s="20" t="s">
        <v>37</v>
      </c>
      <c r="D137" s="20" t="s">
        <v>14</v>
      </c>
      <c r="E137" s="20" t="s">
        <v>15</v>
      </c>
      <c r="F137" s="20" t="s">
        <v>15</v>
      </c>
      <c r="G137" s="20">
        <v>0</v>
      </c>
      <c r="H137" s="20">
        <v>1.2E-2</v>
      </c>
    </row>
    <row r="138" spans="1:8" ht="15.75" x14ac:dyDescent="0.25">
      <c r="A138" s="20">
        <v>3130</v>
      </c>
      <c r="B138" s="20" t="s">
        <v>13</v>
      </c>
      <c r="C138" s="20" t="s">
        <v>37</v>
      </c>
      <c r="D138" s="20" t="s">
        <v>14</v>
      </c>
      <c r="E138" s="20" t="s">
        <v>15</v>
      </c>
      <c r="F138" s="20" t="s">
        <v>15</v>
      </c>
      <c r="G138" s="20">
        <v>14</v>
      </c>
      <c r="H138" s="20">
        <v>3.5000000000000003E-2</v>
      </c>
    </row>
    <row r="139" spans="1:8" ht="15.75" x14ac:dyDescent="0.25">
      <c r="A139" s="20">
        <v>3130</v>
      </c>
      <c r="B139" s="20" t="s">
        <v>13</v>
      </c>
      <c r="C139" s="20" t="s">
        <v>37</v>
      </c>
      <c r="D139" s="20" t="s">
        <v>14</v>
      </c>
      <c r="E139" s="20" t="s">
        <v>15</v>
      </c>
      <c r="F139" s="20" t="s">
        <v>15</v>
      </c>
      <c r="G139" s="20">
        <v>60</v>
      </c>
      <c r="H139" s="20">
        <v>6.2E-2</v>
      </c>
    </row>
    <row r="140" spans="1:8" ht="15.75" x14ac:dyDescent="0.25">
      <c r="A140" s="20">
        <v>3131</v>
      </c>
      <c r="B140" s="20" t="s">
        <v>13</v>
      </c>
      <c r="C140" s="20" t="s">
        <v>37</v>
      </c>
      <c r="D140" s="20" t="s">
        <v>14</v>
      </c>
      <c r="E140" s="20" t="s">
        <v>15</v>
      </c>
      <c r="F140" s="20" t="s">
        <v>15</v>
      </c>
      <c r="G140" s="20">
        <v>0</v>
      </c>
      <c r="H140" s="20">
        <v>1.2E-2</v>
      </c>
    </row>
    <row r="141" spans="1:8" ht="15.75" x14ac:dyDescent="0.25">
      <c r="A141" s="20">
        <v>3131</v>
      </c>
      <c r="B141" s="20" t="s">
        <v>13</v>
      </c>
      <c r="C141" s="20" t="s">
        <v>37</v>
      </c>
      <c r="D141" s="20" t="s">
        <v>14</v>
      </c>
      <c r="E141" s="20" t="s">
        <v>15</v>
      </c>
      <c r="F141" s="20" t="s">
        <v>15</v>
      </c>
      <c r="G141" s="20">
        <v>14</v>
      </c>
      <c r="H141" s="20">
        <v>3.9E-2</v>
      </c>
    </row>
    <row r="142" spans="1:8" ht="15.75" x14ac:dyDescent="0.25">
      <c r="A142" s="20">
        <v>3131</v>
      </c>
      <c r="B142" s="20" t="s">
        <v>13</v>
      </c>
      <c r="C142" s="20" t="s">
        <v>37</v>
      </c>
      <c r="D142" s="20" t="s">
        <v>14</v>
      </c>
      <c r="E142" s="20" t="s">
        <v>15</v>
      </c>
      <c r="F142" s="20" t="s">
        <v>15</v>
      </c>
      <c r="G142" s="20">
        <v>60</v>
      </c>
      <c r="H142" s="20">
        <v>5.5E-2</v>
      </c>
    </row>
    <row r="143" spans="1:8" ht="15.75" x14ac:dyDescent="0.25">
      <c r="A143" s="20">
        <v>3132</v>
      </c>
      <c r="B143" s="20" t="s">
        <v>26</v>
      </c>
      <c r="C143" s="20" t="s">
        <v>37</v>
      </c>
      <c r="D143" s="20" t="s">
        <v>27</v>
      </c>
      <c r="E143" s="20" t="s">
        <v>15</v>
      </c>
      <c r="F143" s="20" t="s">
        <v>24</v>
      </c>
      <c r="G143" s="20">
        <v>0</v>
      </c>
      <c r="H143" s="20">
        <v>1.2999999999999999E-2</v>
      </c>
    </row>
    <row r="144" spans="1:8" ht="15.75" x14ac:dyDescent="0.25">
      <c r="A144" s="20">
        <v>3132</v>
      </c>
      <c r="B144" s="20" t="s">
        <v>26</v>
      </c>
      <c r="C144" s="20" t="s">
        <v>37</v>
      </c>
      <c r="D144" s="20" t="s">
        <v>27</v>
      </c>
      <c r="E144" s="20" t="s">
        <v>15</v>
      </c>
      <c r="F144" s="20" t="s">
        <v>24</v>
      </c>
      <c r="G144" s="20">
        <v>14</v>
      </c>
      <c r="H144" s="20">
        <v>1.2E-2</v>
      </c>
    </row>
    <row r="145" spans="1:8" ht="15.75" x14ac:dyDescent="0.25">
      <c r="A145" s="20">
        <v>3132</v>
      </c>
      <c r="B145" s="20" t="s">
        <v>26</v>
      </c>
      <c r="C145" s="20" t="s">
        <v>37</v>
      </c>
      <c r="D145" s="20" t="s">
        <v>27</v>
      </c>
      <c r="E145" s="20" t="s">
        <v>15</v>
      </c>
      <c r="F145" s="20" t="s">
        <v>24</v>
      </c>
      <c r="G145" s="20">
        <v>60</v>
      </c>
      <c r="H145" s="20">
        <v>4.2999999999999997E-2</v>
      </c>
    </row>
    <row r="146" spans="1:8" ht="15.75" x14ac:dyDescent="0.25">
      <c r="A146" s="20">
        <v>3132</v>
      </c>
      <c r="B146" s="20" t="s">
        <v>26</v>
      </c>
      <c r="C146" s="20" t="s">
        <v>37</v>
      </c>
      <c r="D146" s="20" t="s">
        <v>27</v>
      </c>
      <c r="E146" s="20" t="s">
        <v>15</v>
      </c>
      <c r="F146" s="20" t="s">
        <v>24</v>
      </c>
      <c r="G146" s="20">
        <v>88</v>
      </c>
      <c r="H146" s="20">
        <v>5.7000000000000002E-2</v>
      </c>
    </row>
    <row r="147" spans="1:8" ht="15.75" x14ac:dyDescent="0.25">
      <c r="A147" s="20">
        <v>3137</v>
      </c>
      <c r="B147" s="20" t="s">
        <v>46</v>
      </c>
      <c r="C147" s="20" t="s">
        <v>37</v>
      </c>
      <c r="D147" s="20" t="s">
        <v>23</v>
      </c>
      <c r="E147" s="20" t="s">
        <v>21</v>
      </c>
      <c r="F147" s="20" t="s">
        <v>24</v>
      </c>
      <c r="G147" s="20">
        <v>0</v>
      </c>
      <c r="H147" s="20">
        <v>8.9999999999999993E-3</v>
      </c>
    </row>
    <row r="148" spans="1:8" ht="15.75" x14ac:dyDescent="0.25">
      <c r="A148" s="20">
        <v>3137</v>
      </c>
      <c r="B148" s="20" t="s">
        <v>46</v>
      </c>
      <c r="C148" s="20" t="s">
        <v>37</v>
      </c>
      <c r="D148" s="20" t="s">
        <v>23</v>
      </c>
      <c r="E148" s="20" t="s">
        <v>21</v>
      </c>
      <c r="F148" s="20" t="s">
        <v>24</v>
      </c>
      <c r="G148" s="20">
        <v>14</v>
      </c>
      <c r="H148" s="20">
        <v>2.1000000000000001E-2</v>
      </c>
    </row>
    <row r="149" spans="1:8" ht="15.75" x14ac:dyDescent="0.25">
      <c r="A149" s="20">
        <v>3137</v>
      </c>
      <c r="B149" s="20" t="s">
        <v>46</v>
      </c>
      <c r="C149" s="20" t="s">
        <v>37</v>
      </c>
      <c r="D149" s="20" t="s">
        <v>23</v>
      </c>
      <c r="E149" s="20" t="s">
        <v>21</v>
      </c>
      <c r="F149" s="20" t="s">
        <v>24</v>
      </c>
      <c r="G149" s="20">
        <v>60</v>
      </c>
      <c r="H149" s="20">
        <v>5.3999999999999999E-2</v>
      </c>
    </row>
    <row r="150" spans="1:8" ht="15.75" x14ac:dyDescent="0.25">
      <c r="A150" s="20">
        <v>3137</v>
      </c>
      <c r="B150" s="20" t="s">
        <v>46</v>
      </c>
      <c r="C150" s="20" t="s">
        <v>37</v>
      </c>
      <c r="D150" s="20" t="s">
        <v>23</v>
      </c>
      <c r="E150" s="20" t="s">
        <v>21</v>
      </c>
      <c r="F150" s="20" t="s">
        <v>24</v>
      </c>
      <c r="G150" s="20">
        <v>88</v>
      </c>
      <c r="H150" s="20">
        <v>4.5999999999999999E-2</v>
      </c>
    </row>
    <row r="151" spans="1:8" ht="15.75" x14ac:dyDescent="0.25">
      <c r="A151" s="20">
        <v>3143</v>
      </c>
      <c r="B151" s="20" t="s">
        <v>30</v>
      </c>
      <c r="C151" s="20" t="s">
        <v>37</v>
      </c>
      <c r="D151" s="20" t="s">
        <v>20</v>
      </c>
      <c r="E151" s="20" t="s">
        <v>21</v>
      </c>
      <c r="F151" s="20" t="s">
        <v>15</v>
      </c>
      <c r="G151" s="20">
        <v>0</v>
      </c>
      <c r="H151" s="20">
        <v>1.2999999999999999E-2</v>
      </c>
    </row>
    <row r="152" spans="1:8" ht="15.75" x14ac:dyDescent="0.25">
      <c r="A152" s="20">
        <v>3143</v>
      </c>
      <c r="B152" s="20" t="s">
        <v>30</v>
      </c>
      <c r="C152" s="20" t="s">
        <v>37</v>
      </c>
      <c r="D152" s="20" t="s">
        <v>20</v>
      </c>
      <c r="E152" s="20" t="s">
        <v>21</v>
      </c>
      <c r="F152" s="20" t="s">
        <v>15</v>
      </c>
      <c r="G152" s="20">
        <v>14</v>
      </c>
      <c r="H152" s="20">
        <v>2.1000000000000001E-2</v>
      </c>
    </row>
    <row r="153" spans="1:8" ht="15.75" x14ac:dyDescent="0.25">
      <c r="A153" s="20">
        <v>3143</v>
      </c>
      <c r="B153" s="20" t="s">
        <v>30</v>
      </c>
      <c r="C153" s="20" t="s">
        <v>37</v>
      </c>
      <c r="D153" s="20" t="s">
        <v>20</v>
      </c>
      <c r="E153" s="20" t="s">
        <v>21</v>
      </c>
      <c r="F153" s="20" t="s">
        <v>15</v>
      </c>
      <c r="G153" s="20">
        <v>60</v>
      </c>
      <c r="H153" s="20">
        <v>4.5999999999999999E-2</v>
      </c>
    </row>
    <row r="154" spans="1:8" ht="15.75" x14ac:dyDescent="0.25">
      <c r="A154" s="20">
        <v>3143</v>
      </c>
      <c r="B154" s="20" t="s">
        <v>30</v>
      </c>
      <c r="C154" s="20" t="s">
        <v>37</v>
      </c>
      <c r="D154" s="20" t="s">
        <v>20</v>
      </c>
      <c r="E154" s="20" t="s">
        <v>21</v>
      </c>
      <c r="F154" s="20" t="s">
        <v>15</v>
      </c>
      <c r="G154" s="20">
        <v>88</v>
      </c>
      <c r="H154" s="20">
        <v>4.8000000000000001E-2</v>
      </c>
    </row>
    <row r="155" spans="1:8" ht="15.75" x14ac:dyDescent="0.25">
      <c r="A155" s="20">
        <v>3144</v>
      </c>
      <c r="B155" s="20" t="s">
        <v>46</v>
      </c>
      <c r="C155" s="20" t="s">
        <v>37</v>
      </c>
      <c r="D155" s="20" t="s">
        <v>23</v>
      </c>
      <c r="E155" s="20" t="s">
        <v>21</v>
      </c>
      <c r="F155" s="20" t="s">
        <v>24</v>
      </c>
      <c r="G155" s="20">
        <v>0</v>
      </c>
      <c r="H155" s="20">
        <v>2.5999999999999999E-2</v>
      </c>
    </row>
    <row r="156" spans="1:8" ht="15.75" x14ac:dyDescent="0.25">
      <c r="A156" s="20">
        <v>3144</v>
      </c>
      <c r="B156" s="20" t="s">
        <v>46</v>
      </c>
      <c r="C156" s="20" t="s">
        <v>37</v>
      </c>
      <c r="D156" s="20" t="s">
        <v>23</v>
      </c>
      <c r="E156" s="20" t="s">
        <v>21</v>
      </c>
      <c r="F156" s="20" t="s">
        <v>24</v>
      </c>
      <c r="G156" s="20">
        <v>14</v>
      </c>
      <c r="H156" s="20">
        <v>2.5999999999999999E-2</v>
      </c>
    </row>
    <row r="157" spans="1:8" ht="15.75" x14ac:dyDescent="0.25">
      <c r="A157" s="20">
        <v>3144</v>
      </c>
      <c r="B157" s="20" t="s">
        <v>46</v>
      </c>
      <c r="C157" s="20" t="s">
        <v>37</v>
      </c>
      <c r="D157" s="20" t="s">
        <v>23</v>
      </c>
      <c r="E157" s="20" t="s">
        <v>21</v>
      </c>
      <c r="F157" s="20" t="s">
        <v>24</v>
      </c>
      <c r="G157" s="20">
        <v>60</v>
      </c>
      <c r="H157" s="20">
        <v>6.6000000000000003E-2</v>
      </c>
    </row>
    <row r="158" spans="1:8" ht="15.75" x14ac:dyDescent="0.25">
      <c r="A158" s="20">
        <v>3144</v>
      </c>
      <c r="B158" s="20" t="s">
        <v>46</v>
      </c>
      <c r="C158" s="20" t="s">
        <v>37</v>
      </c>
      <c r="D158" s="20" t="s">
        <v>23</v>
      </c>
      <c r="E158" s="20" t="s">
        <v>21</v>
      </c>
      <c r="F158" s="20" t="s">
        <v>24</v>
      </c>
      <c r="G158" s="20">
        <v>88</v>
      </c>
      <c r="H158" s="20">
        <v>4.3999999999999997E-2</v>
      </c>
    </row>
    <row r="159" spans="1:8" ht="15.75" x14ac:dyDescent="0.25">
      <c r="A159" s="20">
        <v>3150</v>
      </c>
      <c r="B159" s="20" t="s">
        <v>51</v>
      </c>
      <c r="C159" s="20" t="s">
        <v>37</v>
      </c>
      <c r="D159" s="20" t="s">
        <v>20</v>
      </c>
      <c r="E159" s="20" t="s">
        <v>21</v>
      </c>
      <c r="F159" s="20" t="s">
        <v>15</v>
      </c>
      <c r="G159" s="20">
        <v>0</v>
      </c>
      <c r="H159" s="20">
        <v>4.2999999999999997E-2</v>
      </c>
    </row>
    <row r="160" spans="1:8" ht="15.75" x14ac:dyDescent="0.25">
      <c r="A160" s="20">
        <v>3150</v>
      </c>
      <c r="B160" s="20" t="s">
        <v>51</v>
      </c>
      <c r="C160" s="20" t="s">
        <v>37</v>
      </c>
      <c r="D160" s="20" t="s">
        <v>20</v>
      </c>
      <c r="E160" s="20" t="s">
        <v>21</v>
      </c>
      <c r="F160" s="20" t="s">
        <v>15</v>
      </c>
      <c r="G160" s="20">
        <v>14</v>
      </c>
      <c r="H160" s="20">
        <v>5.2999999999999999E-2</v>
      </c>
    </row>
    <row r="161" spans="1:8" ht="15.75" x14ac:dyDescent="0.25">
      <c r="A161" s="20">
        <v>3150</v>
      </c>
      <c r="B161" s="20" t="s">
        <v>51</v>
      </c>
      <c r="C161" s="20" t="s">
        <v>37</v>
      </c>
      <c r="D161" s="20" t="s">
        <v>20</v>
      </c>
      <c r="E161" s="20" t="s">
        <v>21</v>
      </c>
      <c r="F161" s="20" t="s">
        <v>15</v>
      </c>
      <c r="G161" s="20">
        <v>60</v>
      </c>
      <c r="H161" s="20">
        <v>6.4000000000000001E-2</v>
      </c>
    </row>
    <row r="162" spans="1:8" ht="15.75" x14ac:dyDescent="0.25">
      <c r="A162" s="20">
        <v>3150</v>
      </c>
      <c r="B162" s="20" t="s">
        <v>51</v>
      </c>
      <c r="C162" s="20" t="s">
        <v>37</v>
      </c>
      <c r="D162" s="20" t="s">
        <v>20</v>
      </c>
      <c r="E162" s="20" t="s">
        <v>21</v>
      </c>
      <c r="F162" s="20" t="s">
        <v>15</v>
      </c>
      <c r="G162" s="20">
        <v>88</v>
      </c>
      <c r="H162" s="20">
        <v>5.6000000000000001E-2</v>
      </c>
    </row>
    <row r="163" spans="1:8" ht="15.75" x14ac:dyDescent="0.25">
      <c r="A163" s="20">
        <v>3158</v>
      </c>
      <c r="B163" s="20" t="s">
        <v>51</v>
      </c>
      <c r="C163" s="20" t="s">
        <v>37</v>
      </c>
      <c r="D163" s="20" t="s">
        <v>20</v>
      </c>
      <c r="E163" s="20" t="s">
        <v>21</v>
      </c>
      <c r="F163" s="20" t="s">
        <v>15</v>
      </c>
      <c r="G163" s="20">
        <v>0</v>
      </c>
      <c r="H163" s="20">
        <v>1.4E-2</v>
      </c>
    </row>
    <row r="164" spans="1:8" ht="15.75" x14ac:dyDescent="0.25">
      <c r="A164" s="20">
        <v>3158</v>
      </c>
      <c r="B164" s="20" t="s">
        <v>51</v>
      </c>
      <c r="C164" s="20" t="s">
        <v>37</v>
      </c>
      <c r="D164" s="20" t="s">
        <v>20</v>
      </c>
      <c r="E164" s="20" t="s">
        <v>21</v>
      </c>
      <c r="F164" s="20" t="s">
        <v>15</v>
      </c>
      <c r="G164" s="20">
        <v>14</v>
      </c>
      <c r="H164" s="20">
        <v>1.9E-2</v>
      </c>
    </row>
    <row r="165" spans="1:8" ht="15.75" x14ac:dyDescent="0.25">
      <c r="A165" s="20">
        <v>3158</v>
      </c>
      <c r="B165" s="20" t="s">
        <v>51</v>
      </c>
      <c r="C165" s="20" t="s">
        <v>37</v>
      </c>
      <c r="D165" s="20" t="s">
        <v>20</v>
      </c>
      <c r="E165" s="20" t="s">
        <v>21</v>
      </c>
      <c r="F165" s="20" t="s">
        <v>15</v>
      </c>
      <c r="G165" s="20">
        <v>60</v>
      </c>
      <c r="H165" s="20">
        <v>5.6000000000000001E-2</v>
      </c>
    </row>
    <row r="166" spans="1:8" ht="15.75" x14ac:dyDescent="0.25">
      <c r="A166" s="20">
        <v>3158</v>
      </c>
      <c r="B166" s="20" t="s">
        <v>51</v>
      </c>
      <c r="C166" s="20" t="s">
        <v>37</v>
      </c>
      <c r="D166" s="20" t="s">
        <v>20</v>
      </c>
      <c r="E166" s="20" t="s">
        <v>21</v>
      </c>
      <c r="F166" s="20" t="s">
        <v>15</v>
      </c>
      <c r="G166" s="20">
        <v>88</v>
      </c>
      <c r="H166" s="20">
        <v>3.3000000000000002E-2</v>
      </c>
    </row>
    <row r="167" spans="1:8" ht="15.75" x14ac:dyDescent="0.25">
      <c r="A167" s="20">
        <v>3165</v>
      </c>
      <c r="B167" s="20" t="s">
        <v>34</v>
      </c>
      <c r="C167" s="20" t="s">
        <v>37</v>
      </c>
      <c r="D167" s="20" t="s">
        <v>14</v>
      </c>
      <c r="E167" s="20" t="s">
        <v>15</v>
      </c>
      <c r="F167" s="20" t="s">
        <v>15</v>
      </c>
      <c r="G167" s="20">
        <v>0</v>
      </c>
      <c r="H167" s="20">
        <v>3.1E-2</v>
      </c>
    </row>
    <row r="168" spans="1:8" ht="15.75" x14ac:dyDescent="0.25">
      <c r="A168" s="20">
        <v>3165</v>
      </c>
      <c r="B168" s="20" t="s">
        <v>34</v>
      </c>
      <c r="C168" s="20" t="s">
        <v>37</v>
      </c>
      <c r="D168" s="20" t="s">
        <v>14</v>
      </c>
      <c r="E168" s="20" t="s">
        <v>15</v>
      </c>
      <c r="F168" s="20" t="s">
        <v>15</v>
      </c>
      <c r="G168" s="20">
        <v>14</v>
      </c>
      <c r="H168" s="20">
        <v>4.2999999999999997E-2</v>
      </c>
    </row>
    <row r="169" spans="1:8" ht="15.75" x14ac:dyDescent="0.25">
      <c r="A169" s="20">
        <v>3165</v>
      </c>
      <c r="B169" s="20" t="s">
        <v>34</v>
      </c>
      <c r="C169" s="20" t="s">
        <v>37</v>
      </c>
      <c r="D169" s="20" t="s">
        <v>14</v>
      </c>
      <c r="E169" s="20" t="s">
        <v>15</v>
      </c>
      <c r="F169" s="20" t="s">
        <v>15</v>
      </c>
      <c r="G169" s="20">
        <v>60</v>
      </c>
      <c r="H169" s="20">
        <v>5.3999999999999999E-2</v>
      </c>
    </row>
    <row r="170" spans="1:8" ht="15.75" x14ac:dyDescent="0.25">
      <c r="A170" s="20">
        <v>3165</v>
      </c>
      <c r="B170" s="20" t="s">
        <v>34</v>
      </c>
      <c r="C170" s="20" t="s">
        <v>37</v>
      </c>
      <c r="D170" s="20" t="s">
        <v>14</v>
      </c>
      <c r="E170" s="20" t="s">
        <v>15</v>
      </c>
      <c r="F170" s="20" t="s">
        <v>15</v>
      </c>
      <c r="G170" s="20">
        <v>88</v>
      </c>
      <c r="H170" s="20">
        <v>4.8000000000000001E-2</v>
      </c>
    </row>
    <row r="171" spans="1:8" ht="15.75" x14ac:dyDescent="0.25">
      <c r="A171" s="20">
        <v>3169</v>
      </c>
      <c r="B171" s="20" t="s">
        <v>34</v>
      </c>
      <c r="C171" s="20" t="s">
        <v>37</v>
      </c>
      <c r="D171" s="20" t="s">
        <v>14</v>
      </c>
      <c r="E171" s="20" t="s">
        <v>15</v>
      </c>
      <c r="F171" s="20" t="s">
        <v>15</v>
      </c>
      <c r="G171" s="20">
        <v>0</v>
      </c>
      <c r="H171" s="20">
        <v>1.4E-2</v>
      </c>
    </row>
    <row r="172" spans="1:8" ht="15.75" x14ac:dyDescent="0.25">
      <c r="A172" s="20">
        <v>3169</v>
      </c>
      <c r="B172" s="20" t="s">
        <v>34</v>
      </c>
      <c r="C172" s="20" t="s">
        <v>37</v>
      </c>
      <c r="D172" s="20" t="s">
        <v>14</v>
      </c>
      <c r="E172" s="20" t="s">
        <v>15</v>
      </c>
      <c r="F172" s="20" t="s">
        <v>15</v>
      </c>
      <c r="G172" s="20">
        <v>14</v>
      </c>
      <c r="H172" s="20">
        <v>2.9000000000000001E-2</v>
      </c>
    </row>
    <row r="173" spans="1:8" ht="15.75" x14ac:dyDescent="0.25">
      <c r="A173" s="20">
        <v>3169</v>
      </c>
      <c r="B173" s="20" t="s">
        <v>34</v>
      </c>
      <c r="C173" s="20" t="s">
        <v>37</v>
      </c>
      <c r="D173" s="20" t="s">
        <v>14</v>
      </c>
      <c r="E173" s="20" t="s">
        <v>15</v>
      </c>
      <c r="F173" s="20" t="s">
        <v>15</v>
      </c>
      <c r="G173" s="20">
        <v>60</v>
      </c>
      <c r="H173" s="20">
        <v>4.5999999999999999E-2</v>
      </c>
    </row>
    <row r="174" spans="1:8" ht="15.75" x14ac:dyDescent="0.25">
      <c r="A174" s="20">
        <v>3169</v>
      </c>
      <c r="B174" s="20" t="s">
        <v>34</v>
      </c>
      <c r="C174" s="20" t="s">
        <v>37</v>
      </c>
      <c r="D174" s="20" t="s">
        <v>14</v>
      </c>
      <c r="E174" s="20" t="s">
        <v>15</v>
      </c>
      <c r="F174" s="20" t="s">
        <v>15</v>
      </c>
      <c r="G174" s="20">
        <v>88</v>
      </c>
      <c r="H174" s="20">
        <v>4.9000000000000002E-2</v>
      </c>
    </row>
    <row r="175" spans="1:8" ht="15.75" x14ac:dyDescent="0.25">
      <c r="A175" s="20">
        <v>3171</v>
      </c>
      <c r="B175" s="20" t="s">
        <v>34</v>
      </c>
      <c r="C175" s="20" t="s">
        <v>37</v>
      </c>
      <c r="D175" s="20" t="s">
        <v>14</v>
      </c>
      <c r="E175" s="20" t="s">
        <v>15</v>
      </c>
      <c r="F175" s="20" t="s">
        <v>15</v>
      </c>
      <c r="G175" s="20">
        <v>0</v>
      </c>
      <c r="H175" s="20">
        <v>1.2999999999999999E-2</v>
      </c>
    </row>
    <row r="176" spans="1:8" ht="15.75" x14ac:dyDescent="0.25">
      <c r="A176" s="20">
        <v>3171</v>
      </c>
      <c r="B176" s="20" t="s">
        <v>34</v>
      </c>
      <c r="C176" s="20" t="s">
        <v>37</v>
      </c>
      <c r="D176" s="20" t="s">
        <v>14</v>
      </c>
      <c r="E176" s="20" t="s">
        <v>15</v>
      </c>
      <c r="F176" s="20" t="s">
        <v>15</v>
      </c>
      <c r="G176" s="20">
        <v>14</v>
      </c>
      <c r="H176" s="20">
        <v>1.9E-2</v>
      </c>
    </row>
    <row r="177" spans="1:8" ht="15.75" x14ac:dyDescent="0.25">
      <c r="A177" s="20">
        <v>3171</v>
      </c>
      <c r="B177" s="20" t="s">
        <v>34</v>
      </c>
      <c r="C177" s="20" t="s">
        <v>37</v>
      </c>
      <c r="D177" s="20" t="s">
        <v>14</v>
      </c>
      <c r="E177" s="20" t="s">
        <v>15</v>
      </c>
      <c r="F177" s="20" t="s">
        <v>15</v>
      </c>
      <c r="G177" s="20">
        <v>60</v>
      </c>
      <c r="H177" s="20">
        <v>2.7E-2</v>
      </c>
    </row>
    <row r="178" spans="1:8" ht="15.75" x14ac:dyDescent="0.25">
      <c r="A178" s="20">
        <v>3171</v>
      </c>
      <c r="B178" s="20" t="s">
        <v>34</v>
      </c>
      <c r="C178" s="20" t="s">
        <v>37</v>
      </c>
      <c r="D178" s="20" t="s">
        <v>14</v>
      </c>
      <c r="E178" s="20" t="s">
        <v>15</v>
      </c>
      <c r="F178" s="20" t="s">
        <v>15</v>
      </c>
      <c r="G178" s="20">
        <v>88</v>
      </c>
      <c r="H178" s="20">
        <v>1.6E-2</v>
      </c>
    </row>
    <row r="179" spans="1:8" ht="15.75" x14ac:dyDescent="0.25">
      <c r="A179" s="20">
        <v>3172</v>
      </c>
      <c r="B179" s="20" t="s">
        <v>34</v>
      </c>
      <c r="C179" s="20" t="s">
        <v>37</v>
      </c>
      <c r="D179" s="20" t="s">
        <v>14</v>
      </c>
      <c r="E179" s="20" t="s">
        <v>15</v>
      </c>
      <c r="F179" s="20" t="s">
        <v>15</v>
      </c>
      <c r="G179" s="20">
        <v>0</v>
      </c>
      <c r="H179" s="20">
        <v>3.7999999999999999E-2</v>
      </c>
    </row>
    <row r="180" spans="1:8" ht="15.75" x14ac:dyDescent="0.25">
      <c r="A180" s="20">
        <v>3172</v>
      </c>
      <c r="B180" s="20" t="s">
        <v>34</v>
      </c>
      <c r="C180" s="20" t="s">
        <v>37</v>
      </c>
      <c r="D180" s="20" t="s">
        <v>14</v>
      </c>
      <c r="E180" s="20" t="s">
        <v>15</v>
      </c>
      <c r="F180" s="20" t="s">
        <v>15</v>
      </c>
      <c r="G180" s="20">
        <v>14</v>
      </c>
      <c r="H180" s="20">
        <v>3.7999999999999999E-2</v>
      </c>
    </row>
    <row r="181" spans="1:8" ht="15.75" x14ac:dyDescent="0.25">
      <c r="A181" s="20">
        <v>3172</v>
      </c>
      <c r="B181" s="20" t="s">
        <v>34</v>
      </c>
      <c r="C181" s="20" t="s">
        <v>37</v>
      </c>
      <c r="D181" s="20" t="s">
        <v>14</v>
      </c>
      <c r="E181" s="20" t="s">
        <v>15</v>
      </c>
      <c r="F181" s="20" t="s">
        <v>15</v>
      </c>
      <c r="G181" s="20">
        <v>60</v>
      </c>
      <c r="H181" s="20">
        <v>0.06</v>
      </c>
    </row>
    <row r="182" spans="1:8" ht="15.75" x14ac:dyDescent="0.25">
      <c r="A182" s="20">
        <v>3172</v>
      </c>
      <c r="B182" s="20" t="s">
        <v>34</v>
      </c>
      <c r="C182" s="20" t="s">
        <v>37</v>
      </c>
      <c r="D182" s="20" t="s">
        <v>14</v>
      </c>
      <c r="E182" s="20" t="s">
        <v>15</v>
      </c>
      <c r="F182" s="20" t="s">
        <v>15</v>
      </c>
      <c r="G182" s="20">
        <v>88</v>
      </c>
      <c r="H182" s="20">
        <v>5.7000000000000002E-2</v>
      </c>
    </row>
    <row r="183" spans="1:8" ht="15.75" x14ac:dyDescent="0.25">
      <c r="A183" s="20">
        <v>3174</v>
      </c>
      <c r="B183" s="20" t="s">
        <v>34</v>
      </c>
      <c r="C183" s="20" t="s">
        <v>37</v>
      </c>
      <c r="D183" s="20" t="s">
        <v>14</v>
      </c>
      <c r="E183" s="20" t="s">
        <v>15</v>
      </c>
      <c r="F183" s="20" t="s">
        <v>15</v>
      </c>
      <c r="G183" s="20">
        <v>0</v>
      </c>
      <c r="H183" s="20">
        <v>4.5999999999999999E-2</v>
      </c>
    </row>
    <row r="184" spans="1:8" ht="15.75" x14ac:dyDescent="0.25">
      <c r="A184" s="20">
        <v>3174</v>
      </c>
      <c r="B184" s="20" t="s">
        <v>34</v>
      </c>
      <c r="C184" s="20" t="s">
        <v>37</v>
      </c>
      <c r="D184" s="20" t="s">
        <v>14</v>
      </c>
      <c r="E184" s="20" t="s">
        <v>15</v>
      </c>
      <c r="F184" s="20" t="s">
        <v>15</v>
      </c>
      <c r="G184" s="20">
        <v>14</v>
      </c>
      <c r="H184" s="20">
        <v>6.4000000000000001E-2</v>
      </c>
    </row>
    <row r="185" spans="1:8" ht="15.75" x14ac:dyDescent="0.25">
      <c r="A185" s="20">
        <v>3174</v>
      </c>
      <c r="B185" s="20" t="s">
        <v>34</v>
      </c>
      <c r="C185" s="20" t="s">
        <v>37</v>
      </c>
      <c r="D185" s="20" t="s">
        <v>14</v>
      </c>
      <c r="E185" s="20" t="s">
        <v>15</v>
      </c>
      <c r="F185" s="20" t="s">
        <v>15</v>
      </c>
      <c r="G185" s="20">
        <v>60</v>
      </c>
      <c r="H185" s="20">
        <v>5.3999999999999999E-2</v>
      </c>
    </row>
    <row r="186" spans="1:8" ht="15.75" x14ac:dyDescent="0.25">
      <c r="A186" s="20">
        <v>3174</v>
      </c>
      <c r="B186" s="20" t="s">
        <v>34</v>
      </c>
      <c r="C186" s="20" t="s">
        <v>37</v>
      </c>
      <c r="D186" s="20" t="s">
        <v>14</v>
      </c>
      <c r="E186" s="20" t="s">
        <v>15</v>
      </c>
      <c r="F186" s="20" t="s">
        <v>15</v>
      </c>
      <c r="G186" s="20">
        <v>88</v>
      </c>
      <c r="H186" s="20">
        <v>0.05</v>
      </c>
    </row>
    <row r="187" spans="1:8" ht="15.75" x14ac:dyDescent="0.25">
      <c r="A187" s="20">
        <v>3175</v>
      </c>
      <c r="B187" s="20" t="s">
        <v>34</v>
      </c>
      <c r="C187" s="20" t="s">
        <v>37</v>
      </c>
      <c r="D187" s="20" t="s">
        <v>14</v>
      </c>
      <c r="E187" s="20" t="s">
        <v>15</v>
      </c>
      <c r="F187" s="20" t="s">
        <v>15</v>
      </c>
      <c r="G187" s="20">
        <v>0</v>
      </c>
      <c r="H187" s="20">
        <v>1.6E-2</v>
      </c>
    </row>
    <row r="188" spans="1:8" ht="15.75" x14ac:dyDescent="0.25">
      <c r="A188" s="20">
        <v>3175</v>
      </c>
      <c r="B188" s="20" t="s">
        <v>34</v>
      </c>
      <c r="C188" s="20" t="s">
        <v>37</v>
      </c>
      <c r="D188" s="20" t="s">
        <v>14</v>
      </c>
      <c r="E188" s="20" t="s">
        <v>15</v>
      </c>
      <c r="F188" s="20" t="s">
        <v>15</v>
      </c>
      <c r="G188" s="20">
        <v>14</v>
      </c>
      <c r="H188" s="20">
        <v>1.2E-2</v>
      </c>
    </row>
    <row r="189" spans="1:8" ht="15.75" x14ac:dyDescent="0.25">
      <c r="A189" s="20">
        <v>3175</v>
      </c>
      <c r="B189" s="20" t="s">
        <v>34</v>
      </c>
      <c r="C189" s="20" t="s">
        <v>37</v>
      </c>
      <c r="D189" s="20" t="s">
        <v>14</v>
      </c>
      <c r="E189" s="20" t="s">
        <v>15</v>
      </c>
      <c r="F189" s="20" t="s">
        <v>15</v>
      </c>
      <c r="G189" s="20">
        <v>60</v>
      </c>
      <c r="H189" s="20">
        <v>6.4000000000000001E-2</v>
      </c>
    </row>
    <row r="190" spans="1:8" ht="15.75" x14ac:dyDescent="0.25">
      <c r="A190" s="20">
        <v>3175</v>
      </c>
      <c r="B190" s="20" t="s">
        <v>34</v>
      </c>
      <c r="C190" s="20" t="s">
        <v>37</v>
      </c>
      <c r="D190" s="20" t="s">
        <v>14</v>
      </c>
      <c r="E190" s="20" t="s">
        <v>15</v>
      </c>
      <c r="F190" s="20" t="s">
        <v>15</v>
      </c>
      <c r="G190" s="20">
        <v>88</v>
      </c>
      <c r="H190" s="20">
        <v>4.3999999999999997E-2</v>
      </c>
    </row>
    <row r="191" spans="1:8" ht="15.75" x14ac:dyDescent="0.25">
      <c r="A191" s="20">
        <v>3201</v>
      </c>
      <c r="B191" s="20" t="s">
        <v>17</v>
      </c>
      <c r="C191" s="20" t="s">
        <v>37</v>
      </c>
      <c r="D191" s="20" t="s">
        <v>14</v>
      </c>
      <c r="E191" s="20" t="s">
        <v>15</v>
      </c>
      <c r="F191" s="20" t="s">
        <v>15</v>
      </c>
      <c r="G191" s="20">
        <v>0</v>
      </c>
      <c r="H191" s="20">
        <v>4.8000000000000001E-2</v>
      </c>
    </row>
    <row r="192" spans="1:8" ht="15.75" x14ac:dyDescent="0.25">
      <c r="A192" s="20">
        <v>3201</v>
      </c>
      <c r="B192" s="20" t="s">
        <v>17</v>
      </c>
      <c r="C192" s="20" t="s">
        <v>37</v>
      </c>
      <c r="D192" s="20" t="s">
        <v>14</v>
      </c>
      <c r="E192" s="20" t="s">
        <v>15</v>
      </c>
      <c r="F192" s="20" t="s">
        <v>15</v>
      </c>
      <c r="G192" s="20">
        <v>14</v>
      </c>
      <c r="H192" s="20">
        <v>6.9000000000000006E-2</v>
      </c>
    </row>
    <row r="193" spans="1:8" ht="15.75" x14ac:dyDescent="0.25">
      <c r="A193" s="20">
        <v>3201</v>
      </c>
      <c r="B193" s="20" t="s">
        <v>17</v>
      </c>
      <c r="C193" s="20" t="s">
        <v>37</v>
      </c>
      <c r="D193" s="20" t="s">
        <v>14</v>
      </c>
      <c r="E193" s="20" t="s">
        <v>15</v>
      </c>
      <c r="F193" s="20" t="s">
        <v>15</v>
      </c>
      <c r="G193" s="20">
        <v>60</v>
      </c>
      <c r="H193" s="20">
        <v>0.05</v>
      </c>
    </row>
    <row r="194" spans="1:8" ht="15.75" x14ac:dyDescent="0.25">
      <c r="A194" s="20">
        <v>3201</v>
      </c>
      <c r="B194" s="20" t="s">
        <v>17</v>
      </c>
      <c r="C194" s="20" t="s">
        <v>37</v>
      </c>
      <c r="D194" s="20" t="s">
        <v>14</v>
      </c>
      <c r="E194" s="20" t="s">
        <v>15</v>
      </c>
      <c r="F194" s="20" t="s">
        <v>15</v>
      </c>
      <c r="G194" s="20">
        <v>88</v>
      </c>
      <c r="H194" s="20">
        <v>4.8000000000000001E-2</v>
      </c>
    </row>
    <row r="195" spans="1:8" ht="15.75" x14ac:dyDescent="0.25">
      <c r="A195" s="20">
        <v>3205</v>
      </c>
      <c r="B195" s="20" t="s">
        <v>17</v>
      </c>
      <c r="C195" s="20" t="s">
        <v>37</v>
      </c>
      <c r="D195" s="20" t="s">
        <v>14</v>
      </c>
      <c r="E195" s="20" t="s">
        <v>15</v>
      </c>
      <c r="F195" s="20" t="s">
        <v>15</v>
      </c>
      <c r="G195" s="20">
        <v>0</v>
      </c>
      <c r="H195" s="20">
        <v>2.1999999999999999E-2</v>
      </c>
    </row>
    <row r="196" spans="1:8" ht="15.75" x14ac:dyDescent="0.25">
      <c r="A196" s="20">
        <v>3205</v>
      </c>
      <c r="B196" s="20" t="s">
        <v>17</v>
      </c>
      <c r="C196" s="20" t="s">
        <v>37</v>
      </c>
      <c r="D196" s="20" t="s">
        <v>14</v>
      </c>
      <c r="E196" s="20" t="s">
        <v>15</v>
      </c>
      <c r="F196" s="20" t="s">
        <v>15</v>
      </c>
      <c r="G196" s="20">
        <v>14</v>
      </c>
      <c r="H196" s="20">
        <v>3.3000000000000002E-2</v>
      </c>
    </row>
    <row r="197" spans="1:8" ht="15.75" x14ac:dyDescent="0.25">
      <c r="A197" s="20">
        <v>3205</v>
      </c>
      <c r="B197" s="20" t="s">
        <v>17</v>
      </c>
      <c r="C197" s="20" t="s">
        <v>37</v>
      </c>
      <c r="D197" s="20" t="s">
        <v>14</v>
      </c>
      <c r="E197" s="20" t="s">
        <v>15</v>
      </c>
      <c r="F197" s="20" t="s">
        <v>15</v>
      </c>
      <c r="G197" s="20">
        <v>60</v>
      </c>
      <c r="H197" s="20">
        <v>0.08</v>
      </c>
    </row>
    <row r="198" spans="1:8" ht="15.75" x14ac:dyDescent="0.25">
      <c r="A198" s="20">
        <v>3205</v>
      </c>
      <c r="B198" s="20" t="s">
        <v>17</v>
      </c>
      <c r="C198" s="20" t="s">
        <v>37</v>
      </c>
      <c r="D198" s="20" t="s">
        <v>14</v>
      </c>
      <c r="E198" s="20" t="s">
        <v>15</v>
      </c>
      <c r="F198" s="20" t="s">
        <v>15</v>
      </c>
      <c r="G198" s="20">
        <v>88</v>
      </c>
      <c r="H198" s="20">
        <v>4.9000000000000002E-2</v>
      </c>
    </row>
    <row r="199" spans="1:8" ht="15.75" x14ac:dyDescent="0.25">
      <c r="A199" s="20">
        <v>3210</v>
      </c>
      <c r="B199" s="20" t="s">
        <v>30</v>
      </c>
      <c r="C199" s="20" t="s">
        <v>37</v>
      </c>
      <c r="D199" s="20" t="s">
        <v>20</v>
      </c>
      <c r="E199" s="20" t="s">
        <v>21</v>
      </c>
      <c r="F199" s="20" t="s">
        <v>15</v>
      </c>
      <c r="G199" s="20">
        <v>0</v>
      </c>
      <c r="H199" s="20">
        <v>3.7999999999999999E-2</v>
      </c>
    </row>
    <row r="200" spans="1:8" ht="15.75" x14ac:dyDescent="0.25">
      <c r="A200" s="20">
        <v>3210</v>
      </c>
      <c r="B200" s="20" t="s">
        <v>30</v>
      </c>
      <c r="C200" s="20" t="s">
        <v>37</v>
      </c>
      <c r="D200" s="20" t="s">
        <v>20</v>
      </c>
      <c r="E200" s="20" t="s">
        <v>21</v>
      </c>
      <c r="F200" s="20" t="s">
        <v>15</v>
      </c>
      <c r="G200" s="20">
        <v>14</v>
      </c>
      <c r="H200" s="20">
        <v>0.05</v>
      </c>
    </row>
    <row r="201" spans="1:8" ht="15.75" x14ac:dyDescent="0.25">
      <c r="A201" s="20">
        <v>3210</v>
      </c>
      <c r="B201" s="20" t="s">
        <v>30</v>
      </c>
      <c r="C201" s="20" t="s">
        <v>37</v>
      </c>
      <c r="D201" s="20" t="s">
        <v>20</v>
      </c>
      <c r="E201" s="20" t="s">
        <v>21</v>
      </c>
      <c r="F201" s="20" t="s">
        <v>15</v>
      </c>
      <c r="G201" s="20">
        <v>88</v>
      </c>
      <c r="H201" s="20">
        <v>4.4999999999999998E-2</v>
      </c>
    </row>
    <row r="202" spans="1:8" ht="15.75" x14ac:dyDescent="0.25">
      <c r="A202" s="20">
        <v>3211</v>
      </c>
      <c r="B202" s="20" t="s">
        <v>26</v>
      </c>
      <c r="C202" s="20" t="s">
        <v>37</v>
      </c>
      <c r="D202" s="20" t="s">
        <v>27</v>
      </c>
      <c r="E202" s="20" t="s">
        <v>15</v>
      </c>
      <c r="F202" s="20" t="s">
        <v>24</v>
      </c>
      <c r="G202" s="20">
        <v>0</v>
      </c>
      <c r="H202" s="20">
        <v>2.8000000000000001E-2</v>
      </c>
    </row>
    <row r="203" spans="1:8" ht="15.75" x14ac:dyDescent="0.25">
      <c r="A203" s="20">
        <v>3211</v>
      </c>
      <c r="B203" s="20" t="s">
        <v>26</v>
      </c>
      <c r="C203" s="20" t="s">
        <v>37</v>
      </c>
      <c r="D203" s="20" t="s">
        <v>27</v>
      </c>
      <c r="E203" s="20" t="s">
        <v>15</v>
      </c>
      <c r="F203" s="20" t="s">
        <v>24</v>
      </c>
      <c r="G203" s="20">
        <v>14</v>
      </c>
      <c r="H203" s="20">
        <v>1.7000000000000001E-2</v>
      </c>
    </row>
    <row r="204" spans="1:8" ht="15.75" x14ac:dyDescent="0.25">
      <c r="A204" s="20">
        <v>3211</v>
      </c>
      <c r="B204" s="20" t="s">
        <v>26</v>
      </c>
      <c r="C204" s="20" t="s">
        <v>37</v>
      </c>
      <c r="D204" s="20" t="s">
        <v>27</v>
      </c>
      <c r="E204" s="20" t="s">
        <v>15</v>
      </c>
      <c r="F204" s="20" t="s">
        <v>24</v>
      </c>
      <c r="G204" s="20">
        <v>60</v>
      </c>
      <c r="H204" s="20">
        <v>5.8000000000000003E-2</v>
      </c>
    </row>
    <row r="205" spans="1:8" ht="15.75" x14ac:dyDescent="0.25">
      <c r="A205" s="20">
        <v>3211</v>
      </c>
      <c r="B205" s="20" t="s">
        <v>26</v>
      </c>
      <c r="C205" s="20" t="s">
        <v>37</v>
      </c>
      <c r="D205" s="20" t="s">
        <v>27</v>
      </c>
      <c r="E205" s="20" t="s">
        <v>15</v>
      </c>
      <c r="F205" s="20" t="s">
        <v>24</v>
      </c>
      <c r="G205" s="20">
        <v>88</v>
      </c>
      <c r="H205" s="20">
        <v>4.2999999999999997E-2</v>
      </c>
    </row>
    <row r="206" spans="1:8" ht="15.75" x14ac:dyDescent="0.25">
      <c r="A206" s="20">
        <v>3214</v>
      </c>
      <c r="B206" s="20" t="s">
        <v>44</v>
      </c>
      <c r="C206" s="20" t="s">
        <v>37</v>
      </c>
      <c r="D206" s="20" t="s">
        <v>20</v>
      </c>
      <c r="E206" s="20" t="s">
        <v>21</v>
      </c>
      <c r="F206" s="20" t="s">
        <v>15</v>
      </c>
      <c r="G206" s="20">
        <v>14</v>
      </c>
      <c r="H206" s="20">
        <v>1.7999999999999999E-2</v>
      </c>
    </row>
    <row r="207" spans="1:8" ht="15.75" x14ac:dyDescent="0.25">
      <c r="A207" s="20">
        <v>3214</v>
      </c>
      <c r="B207" s="20" t="s">
        <v>44</v>
      </c>
      <c r="C207" s="20" t="s">
        <v>37</v>
      </c>
      <c r="D207" s="20" t="s">
        <v>20</v>
      </c>
      <c r="E207" s="20" t="s">
        <v>21</v>
      </c>
      <c r="F207" s="20" t="s">
        <v>15</v>
      </c>
      <c r="G207" s="20">
        <v>60</v>
      </c>
      <c r="H207" s="20">
        <v>7.6999999999999999E-2</v>
      </c>
    </row>
    <row r="208" spans="1:8" ht="15.75" x14ac:dyDescent="0.25">
      <c r="A208" s="20">
        <v>3214</v>
      </c>
      <c r="B208" s="20" t="s">
        <v>44</v>
      </c>
      <c r="C208" s="20" t="s">
        <v>37</v>
      </c>
      <c r="D208" s="20" t="s">
        <v>20</v>
      </c>
      <c r="E208" s="20" t="s">
        <v>21</v>
      </c>
      <c r="F208" s="20" t="s">
        <v>15</v>
      </c>
      <c r="G208" s="20">
        <v>88</v>
      </c>
      <c r="H208" s="20">
        <v>4.3999999999999997E-2</v>
      </c>
    </row>
    <row r="209" spans="1:8" ht="15.75" x14ac:dyDescent="0.25">
      <c r="A209" s="20">
        <v>3215</v>
      </c>
      <c r="B209" s="20" t="s">
        <v>45</v>
      </c>
      <c r="C209" s="20" t="s">
        <v>37</v>
      </c>
      <c r="D209" s="20" t="s">
        <v>14</v>
      </c>
      <c r="E209" s="20" t="s">
        <v>15</v>
      </c>
      <c r="F209" s="20" t="s">
        <v>15</v>
      </c>
      <c r="G209" s="20">
        <v>0</v>
      </c>
      <c r="H209" s="20">
        <v>2.5999999999999999E-2</v>
      </c>
    </row>
    <row r="210" spans="1:8" ht="15.75" x14ac:dyDescent="0.25">
      <c r="A210" s="20">
        <v>3215</v>
      </c>
      <c r="B210" s="20" t="s">
        <v>45</v>
      </c>
      <c r="C210" s="20" t="s">
        <v>37</v>
      </c>
      <c r="D210" s="20" t="s">
        <v>14</v>
      </c>
      <c r="E210" s="20" t="s">
        <v>15</v>
      </c>
      <c r="F210" s="20" t="s">
        <v>15</v>
      </c>
      <c r="G210" s="20">
        <v>14</v>
      </c>
      <c r="H210" s="20">
        <v>0.03</v>
      </c>
    </row>
    <row r="211" spans="1:8" ht="15.75" x14ac:dyDescent="0.25">
      <c r="A211" s="20">
        <v>3215</v>
      </c>
      <c r="B211" s="20" t="s">
        <v>45</v>
      </c>
      <c r="C211" s="20" t="s">
        <v>37</v>
      </c>
      <c r="D211" s="20" t="s">
        <v>14</v>
      </c>
      <c r="E211" s="20" t="s">
        <v>15</v>
      </c>
      <c r="F211" s="20" t="s">
        <v>15</v>
      </c>
      <c r="G211" s="20">
        <v>60</v>
      </c>
      <c r="H211" s="20">
        <v>5.8000000000000003E-2</v>
      </c>
    </row>
    <row r="212" spans="1:8" ht="15.75" x14ac:dyDescent="0.25">
      <c r="A212" s="20">
        <v>3215</v>
      </c>
      <c r="B212" s="20" t="s">
        <v>45</v>
      </c>
      <c r="C212" s="20" t="s">
        <v>37</v>
      </c>
      <c r="D212" s="20" t="s">
        <v>14</v>
      </c>
      <c r="E212" s="20" t="s">
        <v>15</v>
      </c>
      <c r="F212" s="20" t="s">
        <v>15</v>
      </c>
      <c r="G212" s="20">
        <v>88</v>
      </c>
      <c r="H212" s="20">
        <v>3.4000000000000002E-2</v>
      </c>
    </row>
    <row r="213" spans="1:8" ht="15.75" x14ac:dyDescent="0.25">
      <c r="A213" s="20">
        <v>3216</v>
      </c>
      <c r="B213" s="20" t="s">
        <v>25</v>
      </c>
      <c r="C213" s="20" t="s">
        <v>37</v>
      </c>
      <c r="D213" s="20" t="s">
        <v>23</v>
      </c>
      <c r="E213" s="20" t="s">
        <v>21</v>
      </c>
      <c r="F213" s="20" t="s">
        <v>24</v>
      </c>
      <c r="G213" s="20">
        <v>0</v>
      </c>
      <c r="H213" s="20">
        <v>0.02</v>
      </c>
    </row>
    <row r="214" spans="1:8" ht="15.75" x14ac:dyDescent="0.25">
      <c r="A214" s="20">
        <v>3216</v>
      </c>
      <c r="B214" s="20" t="s">
        <v>25</v>
      </c>
      <c r="C214" s="20" t="s">
        <v>37</v>
      </c>
      <c r="D214" s="20" t="s">
        <v>23</v>
      </c>
      <c r="E214" s="20" t="s">
        <v>21</v>
      </c>
      <c r="F214" s="20" t="s">
        <v>24</v>
      </c>
      <c r="G214" s="20">
        <v>14</v>
      </c>
      <c r="H214" s="20">
        <v>2.8000000000000001E-2</v>
      </c>
    </row>
    <row r="215" spans="1:8" ht="15.75" x14ac:dyDescent="0.25">
      <c r="A215" s="20">
        <v>3216</v>
      </c>
      <c r="B215" s="20" t="s">
        <v>25</v>
      </c>
      <c r="C215" s="20" t="s">
        <v>37</v>
      </c>
      <c r="D215" s="20" t="s">
        <v>23</v>
      </c>
      <c r="E215" s="20" t="s">
        <v>21</v>
      </c>
      <c r="F215" s="20" t="s">
        <v>24</v>
      </c>
      <c r="G215" s="20">
        <v>60</v>
      </c>
      <c r="H215" s="20">
        <v>7.4999999999999997E-2</v>
      </c>
    </row>
    <row r="216" spans="1:8" ht="15.75" x14ac:dyDescent="0.25">
      <c r="A216" s="20">
        <v>3216</v>
      </c>
      <c r="B216" s="20" t="s">
        <v>25</v>
      </c>
      <c r="C216" s="20" t="s">
        <v>37</v>
      </c>
      <c r="D216" s="20" t="s">
        <v>23</v>
      </c>
      <c r="E216" s="20" t="s">
        <v>21</v>
      </c>
      <c r="F216" s="20" t="s">
        <v>24</v>
      </c>
      <c r="G216" s="20">
        <v>88</v>
      </c>
      <c r="H216" s="20">
        <v>2.4E-2</v>
      </c>
    </row>
    <row r="217" spans="1:8" ht="15.75" x14ac:dyDescent="0.25">
      <c r="A217" s="20">
        <v>3217</v>
      </c>
      <c r="B217" s="20" t="s">
        <v>13</v>
      </c>
      <c r="C217" s="20" t="s">
        <v>37</v>
      </c>
      <c r="D217" s="20" t="s">
        <v>14</v>
      </c>
      <c r="E217" s="20" t="s">
        <v>15</v>
      </c>
      <c r="F217" s="20" t="s">
        <v>15</v>
      </c>
      <c r="G217" s="20">
        <v>0</v>
      </c>
      <c r="H217" s="20">
        <v>4.1000000000000002E-2</v>
      </c>
    </row>
    <row r="218" spans="1:8" ht="15.75" x14ac:dyDescent="0.25">
      <c r="A218" s="20">
        <v>3217</v>
      </c>
      <c r="B218" s="20" t="s">
        <v>13</v>
      </c>
      <c r="C218" s="20" t="s">
        <v>37</v>
      </c>
      <c r="D218" s="20" t="s">
        <v>14</v>
      </c>
      <c r="E218" s="20" t="s">
        <v>15</v>
      </c>
      <c r="F218" s="20" t="s">
        <v>15</v>
      </c>
      <c r="G218" s="20">
        <v>14</v>
      </c>
      <c r="H218" s="20">
        <v>0.05</v>
      </c>
    </row>
    <row r="219" spans="1:8" ht="15.75" x14ac:dyDescent="0.25">
      <c r="A219" s="20">
        <v>3217</v>
      </c>
      <c r="B219" s="20" t="s">
        <v>13</v>
      </c>
      <c r="C219" s="20" t="s">
        <v>37</v>
      </c>
      <c r="D219" s="20" t="s">
        <v>14</v>
      </c>
      <c r="E219" s="20" t="s">
        <v>15</v>
      </c>
      <c r="F219" s="20" t="s">
        <v>15</v>
      </c>
      <c r="G219" s="20">
        <v>88</v>
      </c>
      <c r="H219" s="20">
        <v>2.5000000000000001E-2</v>
      </c>
    </row>
    <row r="220" spans="1:8" ht="15.75" x14ac:dyDescent="0.25">
      <c r="A220" s="20">
        <v>3219</v>
      </c>
      <c r="B220" s="20" t="s">
        <v>13</v>
      </c>
      <c r="C220" s="20" t="s">
        <v>37</v>
      </c>
      <c r="D220" s="20" t="s">
        <v>14</v>
      </c>
      <c r="E220" s="20" t="s">
        <v>15</v>
      </c>
      <c r="F220" s="20" t="s">
        <v>15</v>
      </c>
      <c r="G220" s="20">
        <v>0</v>
      </c>
      <c r="H220" s="20">
        <v>2.1000000000000001E-2</v>
      </c>
    </row>
    <row r="221" spans="1:8" ht="15.75" x14ac:dyDescent="0.25">
      <c r="A221" s="20">
        <v>3219</v>
      </c>
      <c r="B221" s="20" t="s">
        <v>13</v>
      </c>
      <c r="C221" s="20" t="s">
        <v>37</v>
      </c>
      <c r="D221" s="20" t="s">
        <v>14</v>
      </c>
      <c r="E221" s="20" t="s">
        <v>15</v>
      </c>
      <c r="F221" s="20" t="s">
        <v>15</v>
      </c>
      <c r="G221" s="20">
        <v>0</v>
      </c>
      <c r="H221" s="20">
        <v>4.8000000000000001E-2</v>
      </c>
    </row>
    <row r="222" spans="1:8" ht="15.75" x14ac:dyDescent="0.25">
      <c r="A222" s="20">
        <v>3219</v>
      </c>
      <c r="B222" s="20" t="s">
        <v>13</v>
      </c>
      <c r="C222" s="20" t="s">
        <v>37</v>
      </c>
      <c r="D222" s="20" t="s">
        <v>14</v>
      </c>
      <c r="E222" s="20" t="s">
        <v>15</v>
      </c>
      <c r="F222" s="20" t="s">
        <v>15</v>
      </c>
      <c r="G222" s="20">
        <v>14</v>
      </c>
      <c r="H222" s="20">
        <v>5.2999999999999999E-2</v>
      </c>
    </row>
    <row r="223" spans="1:8" ht="15.75" x14ac:dyDescent="0.25">
      <c r="A223" s="20">
        <v>3219</v>
      </c>
      <c r="B223" s="20" t="s">
        <v>13</v>
      </c>
      <c r="C223" s="20" t="s">
        <v>37</v>
      </c>
      <c r="D223" s="20" t="s">
        <v>14</v>
      </c>
      <c r="E223" s="20" t="s">
        <v>15</v>
      </c>
      <c r="F223" s="20" t="s">
        <v>15</v>
      </c>
      <c r="G223" s="20">
        <v>60</v>
      </c>
      <c r="H223" s="20">
        <v>6.6000000000000003E-2</v>
      </c>
    </row>
    <row r="224" spans="1:8" ht="15.75" x14ac:dyDescent="0.25">
      <c r="A224" s="20">
        <v>3219</v>
      </c>
      <c r="B224" s="20" t="s">
        <v>13</v>
      </c>
      <c r="C224" s="20" t="s">
        <v>37</v>
      </c>
      <c r="D224" s="20" t="s">
        <v>14</v>
      </c>
      <c r="E224" s="20" t="s">
        <v>15</v>
      </c>
      <c r="F224" s="20" t="s">
        <v>15</v>
      </c>
      <c r="G224" s="20">
        <v>88</v>
      </c>
      <c r="H224" s="20">
        <v>5.1999999999999998E-2</v>
      </c>
    </row>
    <row r="225" spans="1:8" ht="15.75" x14ac:dyDescent="0.25">
      <c r="A225" s="20">
        <v>3220</v>
      </c>
      <c r="B225" s="20" t="s">
        <v>13</v>
      </c>
      <c r="C225" s="20" t="s">
        <v>37</v>
      </c>
      <c r="D225" s="20" t="s">
        <v>14</v>
      </c>
      <c r="E225" s="20" t="s">
        <v>15</v>
      </c>
      <c r="F225" s="20" t="s">
        <v>15</v>
      </c>
      <c r="G225" s="20">
        <v>0</v>
      </c>
      <c r="H225" s="20">
        <v>3.1E-2</v>
      </c>
    </row>
    <row r="226" spans="1:8" ht="15.75" x14ac:dyDescent="0.25">
      <c r="A226" s="20">
        <v>3220</v>
      </c>
      <c r="B226" s="20" t="s">
        <v>13</v>
      </c>
      <c r="C226" s="20" t="s">
        <v>37</v>
      </c>
      <c r="D226" s="20" t="s">
        <v>14</v>
      </c>
      <c r="E226" s="20" t="s">
        <v>15</v>
      </c>
      <c r="F226" s="20" t="s">
        <v>15</v>
      </c>
      <c r="G226" s="20">
        <v>14</v>
      </c>
      <c r="H226" s="20">
        <v>2.3E-2</v>
      </c>
    </row>
    <row r="227" spans="1:8" ht="15.75" x14ac:dyDescent="0.25">
      <c r="A227" s="20">
        <v>3220</v>
      </c>
      <c r="B227" s="20" t="s">
        <v>13</v>
      </c>
      <c r="C227" s="20" t="s">
        <v>37</v>
      </c>
      <c r="D227" s="20" t="s">
        <v>14</v>
      </c>
      <c r="E227" s="20" t="s">
        <v>15</v>
      </c>
      <c r="F227" s="20" t="s">
        <v>15</v>
      </c>
      <c r="G227" s="20">
        <v>60</v>
      </c>
      <c r="H227" s="20">
        <v>7.4999999999999997E-2</v>
      </c>
    </row>
    <row r="228" spans="1:8" ht="15.75" x14ac:dyDescent="0.25">
      <c r="A228" s="20">
        <v>3220</v>
      </c>
      <c r="B228" s="20" t="s">
        <v>13</v>
      </c>
      <c r="C228" s="20" t="s">
        <v>37</v>
      </c>
      <c r="D228" s="20" t="s">
        <v>14</v>
      </c>
      <c r="E228" s="20" t="s">
        <v>15</v>
      </c>
      <c r="F228" s="20" t="s">
        <v>15</v>
      </c>
      <c r="G228" s="20">
        <v>88</v>
      </c>
      <c r="H228" s="20">
        <v>5.5E-2</v>
      </c>
    </row>
    <row r="229" spans="1:8" ht="15.75" x14ac:dyDescent="0.25">
      <c r="A229" s="20">
        <v>3221</v>
      </c>
      <c r="B229" s="20" t="s">
        <v>44</v>
      </c>
      <c r="C229" s="20" t="s">
        <v>37</v>
      </c>
      <c r="D229" s="20" t="s">
        <v>20</v>
      </c>
      <c r="E229" s="20" t="s">
        <v>21</v>
      </c>
      <c r="F229" s="20" t="s">
        <v>15</v>
      </c>
      <c r="G229" s="20">
        <v>0</v>
      </c>
      <c r="H229" s="20">
        <v>4.4999999999999998E-2</v>
      </c>
    </row>
    <row r="230" spans="1:8" ht="15.75" x14ac:dyDescent="0.25">
      <c r="A230" s="20">
        <v>3221</v>
      </c>
      <c r="B230" s="20" t="s">
        <v>44</v>
      </c>
      <c r="C230" s="20" t="s">
        <v>37</v>
      </c>
      <c r="D230" s="20" t="s">
        <v>20</v>
      </c>
      <c r="E230" s="20" t="s">
        <v>21</v>
      </c>
      <c r="F230" s="20" t="s">
        <v>15</v>
      </c>
      <c r="G230" s="20">
        <v>14</v>
      </c>
      <c r="H230" s="20">
        <v>4.7E-2</v>
      </c>
    </row>
    <row r="231" spans="1:8" ht="15.75" x14ac:dyDescent="0.25">
      <c r="A231" s="20">
        <v>3221</v>
      </c>
      <c r="B231" s="20" t="s">
        <v>44</v>
      </c>
      <c r="C231" s="20" t="s">
        <v>37</v>
      </c>
      <c r="D231" s="20" t="s">
        <v>20</v>
      </c>
      <c r="E231" s="20" t="s">
        <v>21</v>
      </c>
      <c r="F231" s="20" t="s">
        <v>15</v>
      </c>
      <c r="G231" s="20">
        <v>60</v>
      </c>
      <c r="H231" s="20">
        <v>0.08</v>
      </c>
    </row>
    <row r="232" spans="1:8" ht="15.75" x14ac:dyDescent="0.25">
      <c r="A232" s="20">
        <v>3221</v>
      </c>
      <c r="B232" s="20" t="s">
        <v>44</v>
      </c>
      <c r="C232" s="20" t="s">
        <v>37</v>
      </c>
      <c r="D232" s="20" t="s">
        <v>20</v>
      </c>
      <c r="E232" s="20" t="s">
        <v>21</v>
      </c>
      <c r="F232" s="20" t="s">
        <v>15</v>
      </c>
      <c r="G232" s="20">
        <v>88</v>
      </c>
      <c r="H232" s="20">
        <v>0.06</v>
      </c>
    </row>
    <row r="233" spans="1:8" ht="15.75" x14ac:dyDescent="0.25">
      <c r="A233" s="20">
        <v>3225</v>
      </c>
      <c r="B233" s="20" t="s">
        <v>32</v>
      </c>
      <c r="C233" s="20" t="s">
        <v>37</v>
      </c>
      <c r="D233" s="20" t="s">
        <v>23</v>
      </c>
      <c r="E233" s="20" t="s">
        <v>21</v>
      </c>
      <c r="F233" s="20" t="s">
        <v>24</v>
      </c>
      <c r="G233" s="20">
        <v>0</v>
      </c>
      <c r="H233" s="20">
        <v>3.7999999999999999E-2</v>
      </c>
    </row>
    <row r="234" spans="1:8" ht="15.75" x14ac:dyDescent="0.25">
      <c r="A234" s="20">
        <v>3225</v>
      </c>
      <c r="B234" s="20" t="s">
        <v>32</v>
      </c>
      <c r="C234" s="20" t="s">
        <v>37</v>
      </c>
      <c r="D234" s="20" t="s">
        <v>23</v>
      </c>
      <c r="E234" s="20" t="s">
        <v>21</v>
      </c>
      <c r="F234" s="20" t="s">
        <v>24</v>
      </c>
      <c r="G234" s="20">
        <v>14</v>
      </c>
      <c r="H234" s="20">
        <v>0.05</v>
      </c>
    </row>
    <row r="235" spans="1:8" ht="15.75" x14ac:dyDescent="0.25">
      <c r="A235" s="20">
        <v>3225</v>
      </c>
      <c r="B235" s="20" t="s">
        <v>32</v>
      </c>
      <c r="C235" s="20" t="s">
        <v>37</v>
      </c>
      <c r="D235" s="20" t="s">
        <v>23</v>
      </c>
      <c r="E235" s="20" t="s">
        <v>21</v>
      </c>
      <c r="F235" s="20" t="s">
        <v>24</v>
      </c>
      <c r="G235" s="20">
        <v>60</v>
      </c>
      <c r="H235" s="20">
        <v>5.6000000000000001E-2</v>
      </c>
    </row>
    <row r="236" spans="1:8" ht="15.75" x14ac:dyDescent="0.25">
      <c r="A236" s="20">
        <v>3225</v>
      </c>
      <c r="B236" s="20" t="s">
        <v>32</v>
      </c>
      <c r="C236" s="20" t="s">
        <v>37</v>
      </c>
      <c r="D236" s="20" t="s">
        <v>23</v>
      </c>
      <c r="E236" s="20" t="s">
        <v>21</v>
      </c>
      <c r="F236" s="20" t="s">
        <v>24</v>
      </c>
      <c r="G236" s="20">
        <v>88</v>
      </c>
      <c r="H236" s="20">
        <v>6.3E-2</v>
      </c>
    </row>
    <row r="237" spans="1:8" ht="15.75" x14ac:dyDescent="0.25">
      <c r="A237" s="20">
        <v>3227</v>
      </c>
      <c r="B237" s="20" t="s">
        <v>67</v>
      </c>
      <c r="C237" s="20" t="s">
        <v>37</v>
      </c>
      <c r="D237" s="20" t="s">
        <v>27</v>
      </c>
      <c r="E237" s="20" t="s">
        <v>15</v>
      </c>
      <c r="F237" s="20" t="s">
        <v>24</v>
      </c>
      <c r="G237" s="20">
        <v>0</v>
      </c>
      <c r="H237" s="20">
        <v>6.9000000000000006E-2</v>
      </c>
    </row>
    <row r="238" spans="1:8" ht="15.75" x14ac:dyDescent="0.25">
      <c r="A238" s="20">
        <v>3227</v>
      </c>
      <c r="B238" s="20" t="s">
        <v>67</v>
      </c>
      <c r="C238" s="20" t="s">
        <v>37</v>
      </c>
      <c r="D238" s="20" t="s">
        <v>27</v>
      </c>
      <c r="E238" s="20" t="s">
        <v>15</v>
      </c>
      <c r="F238" s="20" t="s">
        <v>24</v>
      </c>
      <c r="G238" s="20">
        <v>14</v>
      </c>
      <c r="H238" s="20">
        <v>2.7E-2</v>
      </c>
    </row>
    <row r="239" spans="1:8" ht="15.75" x14ac:dyDescent="0.25">
      <c r="A239" s="20">
        <v>3227</v>
      </c>
      <c r="B239" s="20" t="s">
        <v>67</v>
      </c>
      <c r="C239" s="20" t="s">
        <v>37</v>
      </c>
      <c r="D239" s="20" t="s">
        <v>27</v>
      </c>
      <c r="E239" s="20" t="s">
        <v>15</v>
      </c>
      <c r="F239" s="20" t="s">
        <v>24</v>
      </c>
      <c r="G239" s="20">
        <v>88</v>
      </c>
      <c r="H239" s="20">
        <v>4.7E-2</v>
      </c>
    </row>
    <row r="240" spans="1:8" ht="15.75" x14ac:dyDescent="0.25">
      <c r="A240" s="20">
        <v>3231</v>
      </c>
      <c r="B240" s="20" t="s">
        <v>67</v>
      </c>
      <c r="C240" s="20" t="s">
        <v>37</v>
      </c>
      <c r="D240" s="20" t="s">
        <v>27</v>
      </c>
      <c r="E240" s="20" t="s">
        <v>15</v>
      </c>
      <c r="F240" s="20" t="s">
        <v>24</v>
      </c>
      <c r="G240" s="20">
        <v>0</v>
      </c>
      <c r="H240" s="20">
        <v>3.4000000000000002E-2</v>
      </c>
    </row>
    <row r="241" spans="1:8" ht="15.75" x14ac:dyDescent="0.25">
      <c r="A241" s="20">
        <v>3231</v>
      </c>
      <c r="B241" s="20" t="s">
        <v>67</v>
      </c>
      <c r="C241" s="20" t="s">
        <v>37</v>
      </c>
      <c r="D241" s="20" t="s">
        <v>27</v>
      </c>
      <c r="E241" s="20" t="s">
        <v>15</v>
      </c>
      <c r="F241" s="20" t="s">
        <v>24</v>
      </c>
      <c r="G241" s="20">
        <v>14</v>
      </c>
      <c r="H241" s="20">
        <v>7.9000000000000001E-2</v>
      </c>
    </row>
    <row r="242" spans="1:8" ht="15.75" x14ac:dyDescent="0.25">
      <c r="A242" s="20">
        <v>3231</v>
      </c>
      <c r="B242" s="20" t="s">
        <v>67</v>
      </c>
      <c r="C242" s="20" t="s">
        <v>37</v>
      </c>
      <c r="D242" s="20" t="s">
        <v>27</v>
      </c>
      <c r="E242" s="20" t="s">
        <v>15</v>
      </c>
      <c r="F242" s="20" t="s">
        <v>24</v>
      </c>
      <c r="G242" s="20">
        <v>60</v>
      </c>
      <c r="H242" s="20">
        <v>4.5999999999999999E-2</v>
      </c>
    </row>
    <row r="243" spans="1:8" ht="15.75" x14ac:dyDescent="0.25">
      <c r="A243" s="20">
        <v>3231</v>
      </c>
      <c r="B243" s="20" t="s">
        <v>67</v>
      </c>
      <c r="C243" s="20" t="s">
        <v>37</v>
      </c>
      <c r="D243" s="20" t="s">
        <v>27</v>
      </c>
      <c r="E243" s="20" t="s">
        <v>15</v>
      </c>
      <c r="F243" s="20" t="s">
        <v>24</v>
      </c>
      <c r="G243" s="20">
        <v>88</v>
      </c>
      <c r="H243" s="20">
        <v>6.6000000000000003E-2</v>
      </c>
    </row>
    <row r="244" spans="1:8" ht="15.75" x14ac:dyDescent="0.25">
      <c r="A244" s="20">
        <v>3233</v>
      </c>
      <c r="B244" s="20" t="s">
        <v>67</v>
      </c>
      <c r="C244" s="20" t="s">
        <v>37</v>
      </c>
      <c r="D244" s="20" t="s">
        <v>27</v>
      </c>
      <c r="E244" s="20" t="s">
        <v>15</v>
      </c>
      <c r="F244" s="20" t="s">
        <v>24</v>
      </c>
      <c r="G244" s="20">
        <v>0</v>
      </c>
      <c r="H244" s="20">
        <v>1.4E-2</v>
      </c>
    </row>
    <row r="245" spans="1:8" ht="15.75" x14ac:dyDescent="0.25">
      <c r="A245" s="20">
        <v>3233</v>
      </c>
      <c r="B245" s="20" t="s">
        <v>67</v>
      </c>
      <c r="C245" s="20" t="s">
        <v>37</v>
      </c>
      <c r="D245" s="20" t="s">
        <v>27</v>
      </c>
      <c r="E245" s="20" t="s">
        <v>15</v>
      </c>
      <c r="F245" s="20" t="s">
        <v>24</v>
      </c>
      <c r="G245" s="20">
        <v>14</v>
      </c>
      <c r="H245" s="20">
        <v>6.3E-2</v>
      </c>
    </row>
    <row r="246" spans="1:8" ht="15.75" x14ac:dyDescent="0.25">
      <c r="A246" s="20">
        <v>3233</v>
      </c>
      <c r="B246" s="20" t="s">
        <v>67</v>
      </c>
      <c r="C246" s="20" t="s">
        <v>37</v>
      </c>
      <c r="D246" s="20" t="s">
        <v>27</v>
      </c>
      <c r="E246" s="20" t="s">
        <v>15</v>
      </c>
      <c r="F246" s="20" t="s">
        <v>24</v>
      </c>
      <c r="G246" s="20">
        <v>60</v>
      </c>
      <c r="H246" s="20">
        <v>5.7000000000000002E-2</v>
      </c>
    </row>
    <row r="247" spans="1:8" ht="15.75" x14ac:dyDescent="0.25">
      <c r="A247" s="20">
        <v>3233</v>
      </c>
      <c r="B247" s="20" t="s">
        <v>67</v>
      </c>
      <c r="C247" s="20" t="s">
        <v>37</v>
      </c>
      <c r="D247" s="20" t="s">
        <v>27</v>
      </c>
      <c r="E247" s="20" t="s">
        <v>15</v>
      </c>
      <c r="F247" s="20" t="s">
        <v>24</v>
      </c>
      <c r="G247" s="20">
        <v>88</v>
      </c>
      <c r="H247" s="20">
        <v>4.3999999999999997E-2</v>
      </c>
    </row>
    <row r="248" spans="1:8" ht="15.75" x14ac:dyDescent="0.25">
      <c r="A248" s="20">
        <v>3239</v>
      </c>
      <c r="B248" s="20" t="s">
        <v>67</v>
      </c>
      <c r="C248" s="20" t="s">
        <v>37</v>
      </c>
      <c r="D248" s="20" t="s">
        <v>27</v>
      </c>
      <c r="E248" s="20" t="s">
        <v>15</v>
      </c>
      <c r="F248" s="20" t="s">
        <v>24</v>
      </c>
      <c r="G248" s="20">
        <v>0</v>
      </c>
      <c r="H248" s="20">
        <v>3.4000000000000002E-2</v>
      </c>
    </row>
    <row r="249" spans="1:8" ht="15.75" x14ac:dyDescent="0.25">
      <c r="A249" s="20">
        <v>3239</v>
      </c>
      <c r="B249" s="20" t="s">
        <v>67</v>
      </c>
      <c r="C249" s="20" t="s">
        <v>37</v>
      </c>
      <c r="D249" s="20" t="s">
        <v>27</v>
      </c>
      <c r="E249" s="20" t="s">
        <v>15</v>
      </c>
      <c r="F249" s="20" t="s">
        <v>24</v>
      </c>
      <c r="G249" s="20">
        <v>60</v>
      </c>
      <c r="H249" s="20">
        <v>0.05</v>
      </c>
    </row>
    <row r="250" spans="1:8" ht="15.75" x14ac:dyDescent="0.25">
      <c r="A250" s="20">
        <v>3239</v>
      </c>
      <c r="B250" s="20" t="s">
        <v>67</v>
      </c>
      <c r="C250" s="20" t="s">
        <v>37</v>
      </c>
      <c r="D250" s="20" t="s">
        <v>27</v>
      </c>
      <c r="E250" s="20" t="s">
        <v>15</v>
      </c>
      <c r="F250" s="20" t="s">
        <v>24</v>
      </c>
      <c r="G250" s="20">
        <v>88</v>
      </c>
      <c r="H250" s="20">
        <v>0.05</v>
      </c>
    </row>
    <row r="251" spans="1:8" ht="15.75" x14ac:dyDescent="0.25">
      <c r="A251" s="20">
        <v>3240</v>
      </c>
      <c r="B251" s="20" t="s">
        <v>67</v>
      </c>
      <c r="C251" s="20" t="s">
        <v>37</v>
      </c>
      <c r="D251" s="20" t="s">
        <v>27</v>
      </c>
      <c r="E251" s="20" t="s">
        <v>15</v>
      </c>
      <c r="F251" s="20" t="s">
        <v>24</v>
      </c>
      <c r="G251" s="20">
        <v>0</v>
      </c>
      <c r="H251" s="20">
        <v>3.2000000000000001E-2</v>
      </c>
    </row>
    <row r="252" spans="1:8" ht="15.75" x14ac:dyDescent="0.25">
      <c r="A252" s="20">
        <v>3240</v>
      </c>
      <c r="B252" s="20" t="s">
        <v>67</v>
      </c>
      <c r="C252" s="20" t="s">
        <v>37</v>
      </c>
      <c r="D252" s="20" t="s">
        <v>27</v>
      </c>
      <c r="E252" s="20" t="s">
        <v>15</v>
      </c>
      <c r="F252" s="20" t="s">
        <v>24</v>
      </c>
      <c r="G252" s="20">
        <v>14</v>
      </c>
      <c r="H252" s="20">
        <v>2.4E-2</v>
      </c>
    </row>
    <row r="253" spans="1:8" ht="15.75" x14ac:dyDescent="0.25">
      <c r="A253" s="20">
        <v>3240</v>
      </c>
      <c r="B253" s="20" t="s">
        <v>67</v>
      </c>
      <c r="C253" s="20" t="s">
        <v>37</v>
      </c>
      <c r="D253" s="20" t="s">
        <v>27</v>
      </c>
      <c r="E253" s="20" t="s">
        <v>15</v>
      </c>
      <c r="F253" s="20" t="s">
        <v>24</v>
      </c>
      <c r="G253" s="20">
        <v>60</v>
      </c>
      <c r="H253" s="20">
        <v>4.1000000000000002E-2</v>
      </c>
    </row>
    <row r="254" spans="1:8" ht="15.75" x14ac:dyDescent="0.25">
      <c r="A254" s="20">
        <v>3240</v>
      </c>
      <c r="B254" s="20" t="s">
        <v>67</v>
      </c>
      <c r="C254" s="20" t="s">
        <v>37</v>
      </c>
      <c r="D254" s="20" t="s">
        <v>27</v>
      </c>
      <c r="E254" s="20" t="s">
        <v>15</v>
      </c>
      <c r="F254" s="20" t="s">
        <v>24</v>
      </c>
      <c r="G254" s="20">
        <v>88</v>
      </c>
      <c r="H254" s="20">
        <v>6.5000000000000002E-2</v>
      </c>
    </row>
    <row r="255" spans="1:8" ht="15.75" x14ac:dyDescent="0.25">
      <c r="A255" s="20">
        <v>3241</v>
      </c>
      <c r="B255" s="20" t="s">
        <v>67</v>
      </c>
      <c r="C255" s="20" t="s">
        <v>37</v>
      </c>
      <c r="D255" s="20" t="s">
        <v>27</v>
      </c>
      <c r="E255" s="20" t="s">
        <v>15</v>
      </c>
      <c r="F255" s="20" t="s">
        <v>24</v>
      </c>
      <c r="G255" s="20">
        <v>0</v>
      </c>
      <c r="H255" s="20">
        <v>6.7000000000000004E-2</v>
      </c>
    </row>
    <row r="256" spans="1:8" ht="15.75" x14ac:dyDescent="0.25">
      <c r="A256" s="20">
        <v>3241</v>
      </c>
      <c r="B256" s="20" t="s">
        <v>67</v>
      </c>
      <c r="C256" s="20" t="s">
        <v>37</v>
      </c>
      <c r="D256" s="20" t="s">
        <v>27</v>
      </c>
      <c r="E256" s="20" t="s">
        <v>15</v>
      </c>
      <c r="F256" s="20" t="s">
        <v>24</v>
      </c>
      <c r="G256" s="20">
        <v>14</v>
      </c>
      <c r="H256" s="20">
        <v>6.4000000000000001E-2</v>
      </c>
    </row>
    <row r="257" spans="1:8" ht="15.75" x14ac:dyDescent="0.25">
      <c r="A257" s="20">
        <v>3241</v>
      </c>
      <c r="B257" s="20" t="s">
        <v>67</v>
      </c>
      <c r="C257" s="20" t="s">
        <v>37</v>
      </c>
      <c r="D257" s="20" t="s">
        <v>27</v>
      </c>
      <c r="E257" s="20" t="s">
        <v>15</v>
      </c>
      <c r="F257" s="20" t="s">
        <v>24</v>
      </c>
      <c r="G257" s="20">
        <v>60</v>
      </c>
      <c r="H257" s="20">
        <v>8.4000000000000005E-2</v>
      </c>
    </row>
    <row r="258" spans="1:8" ht="15.75" x14ac:dyDescent="0.25">
      <c r="A258" s="20">
        <v>3241</v>
      </c>
      <c r="B258" s="20" t="s">
        <v>67</v>
      </c>
      <c r="C258" s="20" t="s">
        <v>37</v>
      </c>
      <c r="D258" s="20" t="s">
        <v>27</v>
      </c>
      <c r="E258" s="20" t="s">
        <v>15</v>
      </c>
      <c r="F258" s="20" t="s">
        <v>24</v>
      </c>
      <c r="G258" s="20">
        <v>88</v>
      </c>
      <c r="H258" s="20">
        <v>6.0999999999999999E-2</v>
      </c>
    </row>
    <row r="259" spans="1:8" ht="15.75" x14ac:dyDescent="0.25">
      <c r="A259" s="20">
        <v>3241</v>
      </c>
      <c r="B259" s="20" t="s">
        <v>67</v>
      </c>
      <c r="C259" s="20" t="s">
        <v>37</v>
      </c>
      <c r="D259" s="20" t="s">
        <v>27</v>
      </c>
      <c r="E259" s="20" t="s">
        <v>15</v>
      </c>
      <c r="F259" s="20" t="s">
        <v>24</v>
      </c>
      <c r="G259" s="20">
        <v>88</v>
      </c>
      <c r="H259" s="20">
        <v>7.1999999999999995E-2</v>
      </c>
    </row>
    <row r="260" spans="1:8" ht="15.75" x14ac:dyDescent="0.25">
      <c r="A260" s="20">
        <v>3501</v>
      </c>
      <c r="B260" s="20" t="s">
        <v>13</v>
      </c>
      <c r="C260" s="20" t="s">
        <v>16</v>
      </c>
      <c r="D260" s="20" t="s">
        <v>14</v>
      </c>
      <c r="E260" s="20" t="s">
        <v>15</v>
      </c>
      <c r="F260" s="20" t="s">
        <v>15</v>
      </c>
      <c r="G260" s="20">
        <v>0</v>
      </c>
      <c r="H260" s="20">
        <v>4.4999999999999998E-2</v>
      </c>
    </row>
    <row r="261" spans="1:8" ht="15.75" x14ac:dyDescent="0.25">
      <c r="A261" s="20">
        <v>3501</v>
      </c>
      <c r="B261" s="20" t="s">
        <v>13</v>
      </c>
      <c r="C261" s="20" t="s">
        <v>16</v>
      </c>
      <c r="D261" s="20" t="s">
        <v>14</v>
      </c>
      <c r="E261" s="20" t="s">
        <v>15</v>
      </c>
      <c r="F261" s="20" t="s">
        <v>15</v>
      </c>
      <c r="G261" s="20">
        <v>14</v>
      </c>
      <c r="H261" s="20">
        <v>4.1000000000000002E-2</v>
      </c>
    </row>
    <row r="262" spans="1:8" ht="15.75" x14ac:dyDescent="0.25">
      <c r="A262" s="20">
        <v>3503</v>
      </c>
      <c r="B262" s="20" t="s">
        <v>18</v>
      </c>
      <c r="C262" s="20" t="s">
        <v>16</v>
      </c>
      <c r="D262" s="20" t="s">
        <v>14</v>
      </c>
      <c r="E262" s="20" t="s">
        <v>15</v>
      </c>
      <c r="F262" s="20" t="s">
        <v>15</v>
      </c>
      <c r="G262" s="20">
        <v>0</v>
      </c>
      <c r="H262" s="20">
        <v>6.7000000000000004E-2</v>
      </c>
    </row>
    <row r="263" spans="1:8" ht="15.75" x14ac:dyDescent="0.25">
      <c r="A263" s="20">
        <v>3503</v>
      </c>
      <c r="B263" s="20" t="s">
        <v>18</v>
      </c>
      <c r="C263" s="20" t="s">
        <v>16</v>
      </c>
      <c r="D263" s="20" t="s">
        <v>14</v>
      </c>
      <c r="E263" s="20" t="s">
        <v>15</v>
      </c>
      <c r="F263" s="20" t="s">
        <v>15</v>
      </c>
      <c r="G263" s="20">
        <v>14</v>
      </c>
      <c r="H263" s="20">
        <v>3.5000000000000003E-2</v>
      </c>
    </row>
    <row r="264" spans="1:8" ht="15.75" x14ac:dyDescent="0.25">
      <c r="A264" s="20">
        <v>3503</v>
      </c>
      <c r="B264" s="20" t="s">
        <v>18</v>
      </c>
      <c r="C264" s="20" t="s">
        <v>16</v>
      </c>
      <c r="D264" s="20" t="s">
        <v>14</v>
      </c>
      <c r="E264" s="20" t="s">
        <v>15</v>
      </c>
      <c r="F264" s="20" t="s">
        <v>15</v>
      </c>
      <c r="G264" s="20">
        <v>14</v>
      </c>
      <c r="H264" s="20">
        <v>0.04</v>
      </c>
    </row>
    <row r="265" spans="1:8" ht="15.75" x14ac:dyDescent="0.25">
      <c r="A265" s="20">
        <v>3504</v>
      </c>
      <c r="B265" s="20" t="s">
        <v>31</v>
      </c>
      <c r="C265" s="20" t="s">
        <v>16</v>
      </c>
      <c r="D265" s="20" t="s">
        <v>20</v>
      </c>
      <c r="E265" s="20" t="s">
        <v>21</v>
      </c>
      <c r="F265" s="20" t="s">
        <v>15</v>
      </c>
      <c r="G265" s="20">
        <v>0</v>
      </c>
      <c r="H265" s="20">
        <v>5.3999999999999999E-2</v>
      </c>
    </row>
    <row r="266" spans="1:8" ht="15.75" x14ac:dyDescent="0.25">
      <c r="A266" s="20">
        <v>3504</v>
      </c>
      <c r="B266" s="20" t="s">
        <v>31</v>
      </c>
      <c r="C266" s="20" t="s">
        <v>16</v>
      </c>
      <c r="D266" s="20" t="s">
        <v>20</v>
      </c>
      <c r="E266" s="20" t="s">
        <v>21</v>
      </c>
      <c r="F266" s="20" t="s">
        <v>15</v>
      </c>
      <c r="G266" s="20">
        <v>14</v>
      </c>
      <c r="H266" s="20">
        <v>4.3999999999999997E-2</v>
      </c>
    </row>
    <row r="267" spans="1:8" ht="15.75" x14ac:dyDescent="0.25">
      <c r="A267" s="20">
        <v>3505</v>
      </c>
      <c r="B267" s="20" t="s">
        <v>30</v>
      </c>
      <c r="C267" s="20" t="s">
        <v>16</v>
      </c>
      <c r="D267" s="20" t="s">
        <v>20</v>
      </c>
      <c r="E267" s="20" t="s">
        <v>21</v>
      </c>
      <c r="F267" s="20" t="s">
        <v>15</v>
      </c>
      <c r="G267" s="20">
        <v>0</v>
      </c>
      <c r="H267" s="20">
        <v>3.3000000000000002E-2</v>
      </c>
    </row>
    <row r="268" spans="1:8" ht="15.75" x14ac:dyDescent="0.25">
      <c r="A268" s="20">
        <v>3505</v>
      </c>
      <c r="B268" s="20" t="s">
        <v>30</v>
      </c>
      <c r="C268" s="20" t="s">
        <v>16</v>
      </c>
      <c r="D268" s="20" t="s">
        <v>20</v>
      </c>
      <c r="E268" s="20" t="s">
        <v>21</v>
      </c>
      <c r="F268" s="20" t="s">
        <v>15</v>
      </c>
      <c r="G268" s="20">
        <v>14</v>
      </c>
      <c r="H268" s="20">
        <v>5.0999999999999997E-2</v>
      </c>
    </row>
    <row r="269" spans="1:8" ht="15.75" x14ac:dyDescent="0.25">
      <c r="A269" s="20">
        <v>3507</v>
      </c>
      <c r="B269" s="20" t="s">
        <v>13</v>
      </c>
      <c r="C269" s="20" t="s">
        <v>16</v>
      </c>
      <c r="D269" s="20" t="s">
        <v>14</v>
      </c>
      <c r="E269" s="20" t="s">
        <v>15</v>
      </c>
      <c r="F269" s="20" t="s">
        <v>15</v>
      </c>
      <c r="G269" s="20">
        <v>0</v>
      </c>
      <c r="H269" s="20">
        <v>2.8000000000000001E-2</v>
      </c>
    </row>
    <row r="270" spans="1:8" ht="15.75" x14ac:dyDescent="0.25">
      <c r="A270" s="20">
        <v>3507</v>
      </c>
      <c r="B270" s="20" t="s">
        <v>13</v>
      </c>
      <c r="C270" s="20" t="s">
        <v>16</v>
      </c>
      <c r="D270" s="20" t="s">
        <v>14</v>
      </c>
      <c r="E270" s="20" t="s">
        <v>15</v>
      </c>
      <c r="F270" s="20" t="s">
        <v>15</v>
      </c>
      <c r="G270" s="20">
        <v>14</v>
      </c>
      <c r="H270" s="20">
        <v>0.04</v>
      </c>
    </row>
    <row r="271" spans="1:8" ht="15.75" x14ac:dyDescent="0.25">
      <c r="A271" s="20">
        <v>3508</v>
      </c>
      <c r="B271" s="20" t="s">
        <v>13</v>
      </c>
      <c r="C271" s="20" t="s">
        <v>16</v>
      </c>
      <c r="D271" s="20" t="s">
        <v>14</v>
      </c>
      <c r="E271" s="20" t="s">
        <v>15</v>
      </c>
      <c r="F271" s="20" t="s">
        <v>15</v>
      </c>
      <c r="G271" s="20">
        <v>0</v>
      </c>
      <c r="H271" s="20">
        <v>3.3000000000000002E-2</v>
      </c>
    </row>
    <row r="272" spans="1:8" ht="15.75" x14ac:dyDescent="0.25">
      <c r="A272" s="20">
        <v>3508</v>
      </c>
      <c r="B272" s="20" t="s">
        <v>13</v>
      </c>
      <c r="C272" s="20" t="s">
        <v>16</v>
      </c>
      <c r="D272" s="20" t="s">
        <v>14</v>
      </c>
      <c r="E272" s="20" t="s">
        <v>15</v>
      </c>
      <c r="F272" s="20" t="s">
        <v>15</v>
      </c>
      <c r="G272" s="20">
        <v>14</v>
      </c>
      <c r="H272" s="20">
        <v>3.2000000000000001E-2</v>
      </c>
    </row>
    <row r="273" spans="1:8" ht="15.75" x14ac:dyDescent="0.25">
      <c r="A273" s="20">
        <v>3509</v>
      </c>
      <c r="B273" s="20" t="s">
        <v>31</v>
      </c>
      <c r="C273" s="20" t="s">
        <v>16</v>
      </c>
      <c r="D273" s="20" t="s">
        <v>20</v>
      </c>
      <c r="E273" s="20" t="s">
        <v>21</v>
      </c>
      <c r="F273" s="20" t="s">
        <v>15</v>
      </c>
      <c r="G273" s="20">
        <v>14</v>
      </c>
      <c r="H273" s="20">
        <v>3.5000000000000003E-2</v>
      </c>
    </row>
    <row r="274" spans="1:8" ht="15.75" x14ac:dyDescent="0.25">
      <c r="A274" s="20">
        <v>3511</v>
      </c>
      <c r="B274" s="20" t="s">
        <v>17</v>
      </c>
      <c r="C274" s="20" t="s">
        <v>16</v>
      </c>
      <c r="D274" s="20" t="s">
        <v>14</v>
      </c>
      <c r="E274" s="20" t="s">
        <v>15</v>
      </c>
      <c r="F274" s="20" t="s">
        <v>15</v>
      </c>
      <c r="G274" s="20">
        <v>0</v>
      </c>
      <c r="H274" s="20">
        <v>4.9000000000000002E-2</v>
      </c>
    </row>
    <row r="275" spans="1:8" ht="15.75" x14ac:dyDescent="0.25">
      <c r="A275" s="20">
        <v>3511</v>
      </c>
      <c r="B275" s="20" t="s">
        <v>17</v>
      </c>
      <c r="C275" s="20" t="s">
        <v>16</v>
      </c>
      <c r="D275" s="20" t="s">
        <v>14</v>
      </c>
      <c r="E275" s="20" t="s">
        <v>15</v>
      </c>
      <c r="F275" s="20" t="s">
        <v>15</v>
      </c>
      <c r="G275" s="20">
        <v>14</v>
      </c>
      <c r="H275" s="20">
        <v>4.5999999999999999E-2</v>
      </c>
    </row>
    <row r="276" spans="1:8" ht="15.75" x14ac:dyDescent="0.25">
      <c r="A276" s="20">
        <v>3512</v>
      </c>
      <c r="B276" s="20" t="s">
        <v>31</v>
      </c>
      <c r="C276" s="20" t="s">
        <v>16</v>
      </c>
      <c r="D276" s="20" t="s">
        <v>20</v>
      </c>
      <c r="E276" s="20" t="s">
        <v>21</v>
      </c>
      <c r="F276" s="20" t="s">
        <v>15</v>
      </c>
      <c r="G276" s="20">
        <v>0</v>
      </c>
      <c r="H276" s="20">
        <v>5.0999999999999997E-2</v>
      </c>
    </row>
    <row r="277" spans="1:8" ht="15.75" x14ac:dyDescent="0.25">
      <c r="A277" s="20">
        <v>3514</v>
      </c>
      <c r="B277" s="20" t="s">
        <v>13</v>
      </c>
      <c r="C277" s="20" t="s">
        <v>16</v>
      </c>
      <c r="D277" s="20" t="s">
        <v>14</v>
      </c>
      <c r="E277" s="20" t="s">
        <v>15</v>
      </c>
      <c r="F277" s="20" t="s">
        <v>15</v>
      </c>
      <c r="G277" s="20">
        <v>0</v>
      </c>
      <c r="H277" s="20">
        <v>5.8999999999999997E-2</v>
      </c>
    </row>
    <row r="278" spans="1:8" ht="15.75" x14ac:dyDescent="0.25">
      <c r="A278" s="20">
        <v>3514</v>
      </c>
      <c r="B278" s="20" t="s">
        <v>13</v>
      </c>
      <c r="C278" s="20" t="s">
        <v>16</v>
      </c>
      <c r="D278" s="20" t="s">
        <v>14</v>
      </c>
      <c r="E278" s="20" t="s">
        <v>15</v>
      </c>
      <c r="F278" s="20" t="s">
        <v>15</v>
      </c>
      <c r="G278" s="20">
        <v>14</v>
      </c>
      <c r="H278" s="20">
        <v>4.4999999999999998E-2</v>
      </c>
    </row>
    <row r="279" spans="1:8" ht="15.75" x14ac:dyDescent="0.25">
      <c r="A279" s="20">
        <v>3517</v>
      </c>
      <c r="B279" s="20" t="s">
        <v>30</v>
      </c>
      <c r="C279" s="20" t="s">
        <v>16</v>
      </c>
      <c r="D279" s="20" t="s">
        <v>20</v>
      </c>
      <c r="E279" s="20" t="s">
        <v>21</v>
      </c>
      <c r="F279" s="20" t="s">
        <v>15</v>
      </c>
      <c r="G279" s="20">
        <v>14</v>
      </c>
      <c r="H279" s="20">
        <v>3.3000000000000002E-2</v>
      </c>
    </row>
    <row r="280" spans="1:8" ht="15.75" x14ac:dyDescent="0.25">
      <c r="A280" s="20">
        <v>3521</v>
      </c>
      <c r="B280" s="20" t="s">
        <v>17</v>
      </c>
      <c r="C280" s="20" t="s">
        <v>16</v>
      </c>
      <c r="D280" s="20" t="s">
        <v>14</v>
      </c>
      <c r="E280" s="20" t="s">
        <v>15</v>
      </c>
      <c r="F280" s="20" t="s">
        <v>15</v>
      </c>
      <c r="G280" s="20">
        <v>0</v>
      </c>
      <c r="H280" s="20">
        <v>5.8000000000000003E-2</v>
      </c>
    </row>
    <row r="281" spans="1:8" ht="15.75" x14ac:dyDescent="0.25">
      <c r="A281" s="20">
        <v>3521</v>
      </c>
      <c r="B281" s="20" t="s">
        <v>17</v>
      </c>
      <c r="C281" s="20" t="s">
        <v>16</v>
      </c>
      <c r="D281" s="20" t="s">
        <v>14</v>
      </c>
      <c r="E281" s="20" t="s">
        <v>15</v>
      </c>
      <c r="F281" s="20" t="s">
        <v>15</v>
      </c>
      <c r="G281" s="20">
        <v>14</v>
      </c>
      <c r="H281" s="20">
        <v>4.2000000000000003E-2</v>
      </c>
    </row>
    <row r="282" spans="1:8" ht="15.75" x14ac:dyDescent="0.25">
      <c r="A282" s="20">
        <v>3522</v>
      </c>
      <c r="B282" s="20" t="s">
        <v>17</v>
      </c>
      <c r="C282" s="20" t="s">
        <v>16</v>
      </c>
      <c r="D282" s="20" t="s">
        <v>14</v>
      </c>
      <c r="E282" s="20" t="s">
        <v>15</v>
      </c>
      <c r="F282" s="20" t="s">
        <v>15</v>
      </c>
      <c r="G282" s="20">
        <v>0</v>
      </c>
      <c r="H282" s="20">
        <v>5.7000000000000002E-2</v>
      </c>
    </row>
    <row r="283" spans="1:8" ht="15.75" x14ac:dyDescent="0.25">
      <c r="A283" s="20">
        <v>3522</v>
      </c>
      <c r="B283" s="20" t="s">
        <v>17</v>
      </c>
      <c r="C283" s="20" t="s">
        <v>16</v>
      </c>
      <c r="D283" s="20" t="s">
        <v>14</v>
      </c>
      <c r="E283" s="20" t="s">
        <v>15</v>
      </c>
      <c r="F283" s="20" t="s">
        <v>15</v>
      </c>
      <c r="G283" s="20">
        <v>14</v>
      </c>
      <c r="H283" s="20">
        <v>4.2000000000000003E-2</v>
      </c>
    </row>
    <row r="284" spans="1:8" ht="15.75" x14ac:dyDescent="0.25">
      <c r="A284" s="20">
        <v>3523</v>
      </c>
      <c r="B284" s="20" t="s">
        <v>42</v>
      </c>
      <c r="C284" s="20" t="s">
        <v>16</v>
      </c>
      <c r="D284" s="20" t="s">
        <v>20</v>
      </c>
      <c r="E284" s="20" t="s">
        <v>21</v>
      </c>
      <c r="F284" s="20" t="s">
        <v>15</v>
      </c>
      <c r="G284" s="20">
        <v>0</v>
      </c>
      <c r="H284" s="20">
        <v>4.5999999999999999E-2</v>
      </c>
    </row>
    <row r="285" spans="1:8" ht="15.75" x14ac:dyDescent="0.25">
      <c r="A285" s="20">
        <v>3534</v>
      </c>
      <c r="B285" s="20" t="s">
        <v>42</v>
      </c>
      <c r="C285" s="20" t="s">
        <v>16</v>
      </c>
      <c r="D285" s="20" t="s">
        <v>20</v>
      </c>
      <c r="E285" s="20" t="s">
        <v>21</v>
      </c>
      <c r="F285" s="20" t="s">
        <v>15</v>
      </c>
      <c r="G285" s="20">
        <v>0</v>
      </c>
      <c r="H285" s="20">
        <v>4.9000000000000002E-2</v>
      </c>
    </row>
    <row r="286" spans="1:8" ht="15.75" x14ac:dyDescent="0.25">
      <c r="A286" s="20">
        <v>3534</v>
      </c>
      <c r="B286" s="20" t="s">
        <v>42</v>
      </c>
      <c r="C286" s="20" t="s">
        <v>16</v>
      </c>
      <c r="D286" s="20" t="s">
        <v>20</v>
      </c>
      <c r="E286" s="20" t="s">
        <v>21</v>
      </c>
      <c r="F286" s="20" t="s">
        <v>15</v>
      </c>
      <c r="G286" s="20">
        <v>14</v>
      </c>
      <c r="H286" s="20">
        <v>4.2999999999999997E-2</v>
      </c>
    </row>
    <row r="287" spans="1:8" ht="15.75" x14ac:dyDescent="0.25">
      <c r="A287" s="20">
        <v>3538</v>
      </c>
      <c r="B287" s="20" t="s">
        <v>13</v>
      </c>
      <c r="C287" s="20" t="s">
        <v>16</v>
      </c>
      <c r="D287" s="20" t="s">
        <v>14</v>
      </c>
      <c r="E287" s="20" t="s">
        <v>15</v>
      </c>
      <c r="F287" s="20" t="s">
        <v>15</v>
      </c>
      <c r="G287" s="20">
        <v>0</v>
      </c>
      <c r="H287" s="20">
        <v>6.4000000000000001E-2</v>
      </c>
    </row>
    <row r="288" spans="1:8" ht="15.75" x14ac:dyDescent="0.25">
      <c r="A288" s="20">
        <v>3538</v>
      </c>
      <c r="B288" s="20" t="s">
        <v>13</v>
      </c>
      <c r="C288" s="20" t="s">
        <v>16</v>
      </c>
      <c r="D288" s="20" t="s">
        <v>14</v>
      </c>
      <c r="E288" s="20" t="s">
        <v>15</v>
      </c>
      <c r="F288" s="20" t="s">
        <v>15</v>
      </c>
      <c r="G288" s="20">
        <v>14</v>
      </c>
      <c r="H288" s="20">
        <v>4.9000000000000002E-2</v>
      </c>
    </row>
    <row r="289" spans="1:8" ht="15.75" x14ac:dyDescent="0.25">
      <c r="A289" s="20">
        <v>3542</v>
      </c>
      <c r="B289" s="20" t="s">
        <v>17</v>
      </c>
      <c r="C289" s="20" t="s">
        <v>16</v>
      </c>
      <c r="D289" s="20" t="s">
        <v>14</v>
      </c>
      <c r="E289" s="20" t="s">
        <v>15</v>
      </c>
      <c r="F289" s="20" t="s">
        <v>15</v>
      </c>
      <c r="G289" s="20">
        <v>0</v>
      </c>
      <c r="H289" s="20">
        <v>4.9000000000000002E-2</v>
      </c>
    </row>
    <row r="290" spans="1:8" ht="15.75" x14ac:dyDescent="0.25">
      <c r="A290" s="20">
        <v>3545</v>
      </c>
      <c r="B290" s="20" t="s">
        <v>29</v>
      </c>
      <c r="C290" s="20" t="s">
        <v>16</v>
      </c>
      <c r="D290" s="20" t="s">
        <v>27</v>
      </c>
      <c r="E290" s="20" t="s">
        <v>15</v>
      </c>
      <c r="F290" s="20" t="s">
        <v>24</v>
      </c>
      <c r="G290" s="20">
        <v>0</v>
      </c>
      <c r="H290" s="20">
        <v>3.6999999999999998E-2</v>
      </c>
    </row>
    <row r="291" spans="1:8" ht="15.75" x14ac:dyDescent="0.25">
      <c r="A291" s="20">
        <v>3545</v>
      </c>
      <c r="B291" s="20" t="s">
        <v>29</v>
      </c>
      <c r="C291" s="20" t="s">
        <v>16</v>
      </c>
      <c r="D291" s="20" t="s">
        <v>27</v>
      </c>
      <c r="E291" s="20" t="s">
        <v>15</v>
      </c>
      <c r="F291" s="20" t="s">
        <v>24</v>
      </c>
      <c r="G291" s="20">
        <v>14</v>
      </c>
      <c r="H291" s="20">
        <v>3.4000000000000002E-2</v>
      </c>
    </row>
    <row r="292" spans="1:8" ht="15.75" x14ac:dyDescent="0.25">
      <c r="A292" s="20">
        <v>3546</v>
      </c>
      <c r="B292" s="20" t="s">
        <v>25</v>
      </c>
      <c r="C292" s="20" t="s">
        <v>16</v>
      </c>
      <c r="D292" s="20" t="s">
        <v>23</v>
      </c>
      <c r="E292" s="20" t="s">
        <v>21</v>
      </c>
      <c r="F292" s="20" t="s">
        <v>24</v>
      </c>
      <c r="G292" s="20">
        <v>0</v>
      </c>
      <c r="H292" s="20">
        <v>0.04</v>
      </c>
    </row>
    <row r="293" spans="1:8" ht="15.75" x14ac:dyDescent="0.25">
      <c r="A293" s="20">
        <v>3546</v>
      </c>
      <c r="B293" s="20" t="s">
        <v>25</v>
      </c>
      <c r="C293" s="20" t="s">
        <v>16</v>
      </c>
      <c r="D293" s="20" t="s">
        <v>23</v>
      </c>
      <c r="E293" s="20" t="s">
        <v>21</v>
      </c>
      <c r="F293" s="20" t="s">
        <v>24</v>
      </c>
      <c r="G293" s="20">
        <v>14</v>
      </c>
      <c r="H293" s="20">
        <v>5.6000000000000001E-2</v>
      </c>
    </row>
    <row r="294" spans="1:8" ht="15.75" x14ac:dyDescent="0.25">
      <c r="A294" s="20">
        <v>3553</v>
      </c>
      <c r="B294" s="20" t="s">
        <v>25</v>
      </c>
      <c r="C294" s="20" t="s">
        <v>16</v>
      </c>
      <c r="D294" s="20" t="s">
        <v>23</v>
      </c>
      <c r="E294" s="20" t="s">
        <v>21</v>
      </c>
      <c r="F294" s="20" t="s">
        <v>24</v>
      </c>
      <c r="G294" s="20">
        <v>0</v>
      </c>
      <c r="H294" s="20">
        <v>4.2999999999999997E-2</v>
      </c>
    </row>
    <row r="295" spans="1:8" ht="15.75" x14ac:dyDescent="0.25">
      <c r="A295" s="20">
        <v>3554</v>
      </c>
      <c r="B295" s="20" t="s">
        <v>30</v>
      </c>
      <c r="C295" s="20" t="s">
        <v>16</v>
      </c>
      <c r="D295" s="20" t="s">
        <v>20</v>
      </c>
      <c r="E295" s="20" t="s">
        <v>21</v>
      </c>
      <c r="F295" s="20" t="s">
        <v>15</v>
      </c>
      <c r="G295" s="20">
        <v>0</v>
      </c>
      <c r="H295" s="20">
        <v>3.4000000000000002E-2</v>
      </c>
    </row>
    <row r="296" spans="1:8" ht="15.75" x14ac:dyDescent="0.25">
      <c r="A296" s="20">
        <v>3554</v>
      </c>
      <c r="B296" s="20" t="s">
        <v>30</v>
      </c>
      <c r="C296" s="20" t="s">
        <v>16</v>
      </c>
      <c r="D296" s="20" t="s">
        <v>20</v>
      </c>
      <c r="E296" s="20" t="s">
        <v>21</v>
      </c>
      <c r="F296" s="20" t="s">
        <v>15</v>
      </c>
      <c r="G296" s="20">
        <v>14</v>
      </c>
      <c r="H296" s="20">
        <v>3.9E-2</v>
      </c>
    </row>
    <row r="297" spans="1:8" ht="15.75" x14ac:dyDescent="0.25">
      <c r="A297" s="20">
        <v>3557</v>
      </c>
      <c r="B297" s="20" t="s">
        <v>32</v>
      </c>
      <c r="C297" s="20" t="s">
        <v>16</v>
      </c>
      <c r="D297" s="20" t="s">
        <v>23</v>
      </c>
      <c r="E297" s="20" t="s">
        <v>21</v>
      </c>
      <c r="F297" s="20" t="s">
        <v>24</v>
      </c>
      <c r="G297" s="20">
        <v>0</v>
      </c>
      <c r="H297" s="20">
        <v>4.9000000000000002E-2</v>
      </c>
    </row>
    <row r="298" spans="1:8" ht="15.75" x14ac:dyDescent="0.25">
      <c r="A298" s="20">
        <v>3557</v>
      </c>
      <c r="B298" s="20" t="s">
        <v>32</v>
      </c>
      <c r="C298" s="20" t="s">
        <v>16</v>
      </c>
      <c r="D298" s="20" t="s">
        <v>23</v>
      </c>
      <c r="E298" s="20" t="s">
        <v>21</v>
      </c>
      <c r="F298" s="20" t="s">
        <v>24</v>
      </c>
      <c r="G298" s="20">
        <v>14</v>
      </c>
      <c r="H298" s="20">
        <v>4.2999999999999997E-2</v>
      </c>
    </row>
    <row r="299" spans="1:8" ht="15.75" x14ac:dyDescent="0.25">
      <c r="A299" s="20">
        <v>3558</v>
      </c>
      <c r="B299" s="20" t="s">
        <v>17</v>
      </c>
      <c r="C299" s="20" t="s">
        <v>16</v>
      </c>
      <c r="D299" s="20" t="s">
        <v>14</v>
      </c>
      <c r="E299" s="20" t="s">
        <v>15</v>
      </c>
      <c r="F299" s="20" t="s">
        <v>15</v>
      </c>
      <c r="G299" s="20">
        <v>0</v>
      </c>
      <c r="H299" s="20">
        <v>3.7999999999999999E-2</v>
      </c>
    </row>
    <row r="300" spans="1:8" ht="15.75" x14ac:dyDescent="0.25">
      <c r="A300" s="20">
        <v>3558</v>
      </c>
      <c r="B300" s="20" t="s">
        <v>17</v>
      </c>
      <c r="C300" s="20" t="s">
        <v>16</v>
      </c>
      <c r="D300" s="20" t="s">
        <v>14</v>
      </c>
      <c r="E300" s="20" t="s">
        <v>15</v>
      </c>
      <c r="F300" s="20" t="s">
        <v>15</v>
      </c>
      <c r="G300" s="20">
        <v>14</v>
      </c>
      <c r="H300" s="20">
        <v>3.9E-2</v>
      </c>
    </row>
    <row r="301" spans="1:8" ht="15.75" x14ac:dyDescent="0.25">
      <c r="A301" s="20">
        <v>3559</v>
      </c>
      <c r="B301" s="20" t="s">
        <v>31</v>
      </c>
      <c r="C301" s="20" t="s">
        <v>16</v>
      </c>
      <c r="D301" s="20" t="s">
        <v>20</v>
      </c>
      <c r="E301" s="20" t="s">
        <v>21</v>
      </c>
      <c r="F301" s="20" t="s">
        <v>15</v>
      </c>
      <c r="G301" s="20">
        <v>0</v>
      </c>
      <c r="H301" s="20">
        <v>5.7000000000000002E-2</v>
      </c>
    </row>
    <row r="302" spans="1:8" ht="15.75" x14ac:dyDescent="0.25">
      <c r="A302" s="20">
        <v>3568</v>
      </c>
      <c r="B302" s="20" t="s">
        <v>29</v>
      </c>
      <c r="C302" s="20" t="s">
        <v>16</v>
      </c>
      <c r="D302" s="20" t="s">
        <v>27</v>
      </c>
      <c r="E302" s="20" t="s">
        <v>15</v>
      </c>
      <c r="F302" s="20" t="s">
        <v>24</v>
      </c>
      <c r="G302" s="20">
        <v>0</v>
      </c>
      <c r="H302" s="20">
        <v>2.1999999999999999E-2</v>
      </c>
    </row>
    <row r="303" spans="1:8" ht="15.75" x14ac:dyDescent="0.25">
      <c r="A303" s="20">
        <v>3568</v>
      </c>
      <c r="B303" s="20" t="s">
        <v>29</v>
      </c>
      <c r="C303" s="20" t="s">
        <v>16</v>
      </c>
      <c r="D303" s="20" t="s">
        <v>27</v>
      </c>
      <c r="E303" s="20" t="s">
        <v>15</v>
      </c>
      <c r="F303" s="20" t="s">
        <v>24</v>
      </c>
      <c r="G303" s="20">
        <v>14</v>
      </c>
      <c r="H303" s="20">
        <v>3.5000000000000003E-2</v>
      </c>
    </row>
    <row r="304" spans="1:8" ht="15.75" x14ac:dyDescent="0.25">
      <c r="A304" s="20">
        <v>3570</v>
      </c>
      <c r="B304" s="20" t="s">
        <v>32</v>
      </c>
      <c r="C304" s="20" t="s">
        <v>16</v>
      </c>
      <c r="D304" s="20" t="s">
        <v>23</v>
      </c>
      <c r="E304" s="20" t="s">
        <v>21</v>
      </c>
      <c r="F304" s="20" t="s">
        <v>24</v>
      </c>
      <c r="G304" s="20">
        <v>0</v>
      </c>
      <c r="H304" s="20">
        <v>0.03</v>
      </c>
    </row>
    <row r="305" spans="1:8" ht="15.75" x14ac:dyDescent="0.25">
      <c r="A305" s="20">
        <v>3571</v>
      </c>
      <c r="B305" s="20" t="s">
        <v>31</v>
      </c>
      <c r="C305" s="20" t="s">
        <v>16</v>
      </c>
      <c r="D305" s="20" t="s">
        <v>20</v>
      </c>
      <c r="E305" s="20" t="s">
        <v>21</v>
      </c>
      <c r="F305" s="20" t="s">
        <v>15</v>
      </c>
      <c r="G305" s="20">
        <v>0</v>
      </c>
      <c r="H305" s="20">
        <v>5.0999999999999997E-2</v>
      </c>
    </row>
    <row r="306" spans="1:8" ht="15.75" x14ac:dyDescent="0.25">
      <c r="A306" s="20">
        <v>3571</v>
      </c>
      <c r="B306" s="20" t="s">
        <v>31</v>
      </c>
      <c r="C306" s="20" t="s">
        <v>16</v>
      </c>
      <c r="D306" s="20" t="s">
        <v>20</v>
      </c>
      <c r="E306" s="20" t="s">
        <v>21</v>
      </c>
      <c r="F306" s="20" t="s">
        <v>15</v>
      </c>
      <c r="G306" s="20">
        <v>14</v>
      </c>
      <c r="H306" s="20">
        <v>5.1999999999999998E-2</v>
      </c>
    </row>
    <row r="307" spans="1:8" ht="15.75" x14ac:dyDescent="0.25">
      <c r="A307" s="20">
        <v>3575</v>
      </c>
      <c r="B307" s="20" t="s">
        <v>29</v>
      </c>
      <c r="C307" s="20" t="s">
        <v>16</v>
      </c>
      <c r="D307" s="20" t="s">
        <v>27</v>
      </c>
      <c r="E307" s="20" t="s">
        <v>15</v>
      </c>
      <c r="F307" s="20" t="s">
        <v>24</v>
      </c>
      <c r="G307" s="20">
        <v>0</v>
      </c>
      <c r="H307" s="20">
        <v>3.4000000000000002E-2</v>
      </c>
    </row>
    <row r="308" spans="1:8" ht="15.75" x14ac:dyDescent="0.25">
      <c r="A308" s="20">
        <v>3575</v>
      </c>
      <c r="B308" s="20" t="s">
        <v>29</v>
      </c>
      <c r="C308" s="20" t="s">
        <v>16</v>
      </c>
      <c r="D308" s="20" t="s">
        <v>27</v>
      </c>
      <c r="E308" s="20" t="s">
        <v>15</v>
      </c>
      <c r="F308" s="20" t="s">
        <v>24</v>
      </c>
      <c r="G308" s="20">
        <v>14</v>
      </c>
      <c r="H308" s="20">
        <v>3.3000000000000002E-2</v>
      </c>
    </row>
    <row r="309" spans="1:8" ht="15.75" x14ac:dyDescent="0.25">
      <c r="A309" s="20">
        <v>3579</v>
      </c>
      <c r="B309" s="20" t="s">
        <v>35</v>
      </c>
      <c r="C309" s="20" t="s">
        <v>16</v>
      </c>
      <c r="D309" s="20" t="s">
        <v>20</v>
      </c>
      <c r="E309" s="20" t="s">
        <v>21</v>
      </c>
      <c r="F309" s="20" t="s">
        <v>15</v>
      </c>
      <c r="G309" s="20">
        <v>0</v>
      </c>
      <c r="H309" s="20">
        <v>2.5999999999999999E-2</v>
      </c>
    </row>
    <row r="310" spans="1:8" ht="15.75" x14ac:dyDescent="0.25">
      <c r="A310" s="20">
        <v>3579</v>
      </c>
      <c r="B310" s="20" t="s">
        <v>35</v>
      </c>
      <c r="C310" s="20" t="s">
        <v>16</v>
      </c>
      <c r="D310" s="20" t="s">
        <v>20</v>
      </c>
      <c r="E310" s="20" t="s">
        <v>21</v>
      </c>
      <c r="F310" s="20" t="s">
        <v>15</v>
      </c>
      <c r="G310" s="20">
        <v>14</v>
      </c>
      <c r="H310" s="20">
        <v>4.1000000000000002E-2</v>
      </c>
    </row>
    <row r="311" spans="1:8" ht="15.75" x14ac:dyDescent="0.25">
      <c r="A311" s="20">
        <v>3580</v>
      </c>
      <c r="B311" s="20" t="s">
        <v>35</v>
      </c>
      <c r="C311" s="20" t="s">
        <v>16</v>
      </c>
      <c r="D311" s="20" t="s">
        <v>20</v>
      </c>
      <c r="E311" s="20" t="s">
        <v>21</v>
      </c>
      <c r="F311" s="20" t="s">
        <v>15</v>
      </c>
      <c r="G311" s="20">
        <v>0</v>
      </c>
      <c r="H311" s="20">
        <v>3.1E-2</v>
      </c>
    </row>
    <row r="312" spans="1:8" ht="15.75" x14ac:dyDescent="0.25">
      <c r="A312" s="20">
        <v>3580</v>
      </c>
      <c r="B312" s="20" t="s">
        <v>35</v>
      </c>
      <c r="C312" s="20" t="s">
        <v>16</v>
      </c>
      <c r="D312" s="20" t="s">
        <v>20</v>
      </c>
      <c r="E312" s="20" t="s">
        <v>21</v>
      </c>
      <c r="F312" s="20" t="s">
        <v>15</v>
      </c>
      <c r="G312" s="20">
        <v>14</v>
      </c>
      <c r="H312" s="20">
        <v>4.4999999999999998E-2</v>
      </c>
    </row>
    <row r="313" spans="1:8" ht="15.75" x14ac:dyDescent="0.25">
      <c r="A313" s="20">
        <v>3581</v>
      </c>
      <c r="B313" s="20" t="s">
        <v>31</v>
      </c>
      <c r="C313" s="20" t="s">
        <v>16</v>
      </c>
      <c r="D313" s="20" t="s">
        <v>20</v>
      </c>
      <c r="E313" s="20" t="s">
        <v>21</v>
      </c>
      <c r="F313" s="20" t="s">
        <v>15</v>
      </c>
      <c r="G313" s="20">
        <v>0</v>
      </c>
      <c r="H313" s="20">
        <v>4.4999999999999998E-2</v>
      </c>
    </row>
    <row r="314" spans="1:8" ht="15.75" x14ac:dyDescent="0.25">
      <c r="A314" s="20">
        <v>3581</v>
      </c>
      <c r="B314" s="20" t="s">
        <v>31</v>
      </c>
      <c r="C314" s="20" t="s">
        <v>16</v>
      </c>
      <c r="D314" s="20" t="s">
        <v>20</v>
      </c>
      <c r="E314" s="20" t="s">
        <v>21</v>
      </c>
      <c r="F314" s="20" t="s">
        <v>15</v>
      </c>
      <c r="G314" s="20">
        <v>0</v>
      </c>
      <c r="H314" s="20">
        <v>5.2999999999999999E-2</v>
      </c>
    </row>
    <row r="315" spans="1:8" ht="15.75" x14ac:dyDescent="0.25">
      <c r="A315" s="20">
        <v>3581</v>
      </c>
      <c r="B315" s="20" t="s">
        <v>31</v>
      </c>
      <c r="C315" s="20" t="s">
        <v>16</v>
      </c>
      <c r="D315" s="20" t="s">
        <v>20</v>
      </c>
      <c r="E315" s="20" t="s">
        <v>21</v>
      </c>
      <c r="F315" s="20" t="s">
        <v>15</v>
      </c>
      <c r="G315" s="20">
        <v>14</v>
      </c>
      <c r="H315" s="20">
        <v>4.1000000000000002E-2</v>
      </c>
    </row>
    <row r="316" spans="1:8" ht="15.75" x14ac:dyDescent="0.25">
      <c r="A316" s="20">
        <v>3584</v>
      </c>
      <c r="B316" s="20" t="s">
        <v>31</v>
      </c>
      <c r="C316" s="20" t="s">
        <v>16</v>
      </c>
      <c r="D316" s="20" t="s">
        <v>20</v>
      </c>
      <c r="E316" s="20" t="s">
        <v>21</v>
      </c>
      <c r="F316" s="20" t="s">
        <v>15</v>
      </c>
      <c r="G316" s="20">
        <v>14</v>
      </c>
      <c r="H316" s="20">
        <v>5.1999999999999998E-2</v>
      </c>
    </row>
    <row r="317" spans="1:8" ht="15.75" x14ac:dyDescent="0.25">
      <c r="A317" s="20">
        <v>3586</v>
      </c>
      <c r="B317" s="20" t="s">
        <v>29</v>
      </c>
      <c r="C317" s="20" t="s">
        <v>16</v>
      </c>
      <c r="D317" s="20" t="s">
        <v>27</v>
      </c>
      <c r="E317" s="20" t="s">
        <v>15</v>
      </c>
      <c r="F317" s="20" t="s">
        <v>24</v>
      </c>
      <c r="G317" s="20">
        <v>0</v>
      </c>
      <c r="H317" s="20">
        <v>3.9E-2</v>
      </c>
    </row>
    <row r="318" spans="1:8" ht="15.75" x14ac:dyDescent="0.25">
      <c r="A318" s="20">
        <v>3586</v>
      </c>
      <c r="B318" s="20" t="s">
        <v>29</v>
      </c>
      <c r="C318" s="20" t="s">
        <v>16</v>
      </c>
      <c r="D318" s="20" t="s">
        <v>27</v>
      </c>
      <c r="E318" s="20" t="s">
        <v>15</v>
      </c>
      <c r="F318" s="20" t="s">
        <v>24</v>
      </c>
      <c r="G318" s="20">
        <v>14</v>
      </c>
      <c r="H318" s="20">
        <v>4.5999999999999999E-2</v>
      </c>
    </row>
    <row r="319" spans="1:8" ht="15.75" x14ac:dyDescent="0.25">
      <c r="A319" s="20">
        <v>3587</v>
      </c>
      <c r="B319" s="20" t="s">
        <v>26</v>
      </c>
      <c r="C319" s="20" t="s">
        <v>16</v>
      </c>
      <c r="D319" s="20" t="s">
        <v>27</v>
      </c>
      <c r="E319" s="20" t="s">
        <v>15</v>
      </c>
      <c r="F319" s="20" t="s">
        <v>24</v>
      </c>
      <c r="G319" s="20">
        <v>0</v>
      </c>
      <c r="H319" s="20">
        <v>2.5999999999999999E-2</v>
      </c>
    </row>
    <row r="320" spans="1:8" ht="15.75" x14ac:dyDescent="0.25">
      <c r="A320" s="20">
        <v>3587</v>
      </c>
      <c r="B320" s="20" t="s">
        <v>26</v>
      </c>
      <c r="C320" s="20" t="s">
        <v>16</v>
      </c>
      <c r="D320" s="20" t="s">
        <v>27</v>
      </c>
      <c r="E320" s="20" t="s">
        <v>15</v>
      </c>
      <c r="F320" s="20" t="s">
        <v>24</v>
      </c>
      <c r="G320" s="20">
        <v>14</v>
      </c>
      <c r="H320" s="20">
        <v>3.1E-2</v>
      </c>
    </row>
    <row r="321" spans="1:8" ht="15.75" x14ac:dyDescent="0.25">
      <c r="A321" s="20">
        <v>3588</v>
      </c>
      <c r="B321" s="20" t="s">
        <v>29</v>
      </c>
      <c r="C321" s="20" t="s">
        <v>16</v>
      </c>
      <c r="D321" s="20" t="s">
        <v>27</v>
      </c>
      <c r="E321" s="20" t="s">
        <v>15</v>
      </c>
      <c r="F321" s="20" t="s">
        <v>24</v>
      </c>
      <c r="G321" s="20">
        <v>0</v>
      </c>
      <c r="H321" s="20">
        <v>0.03</v>
      </c>
    </row>
    <row r="322" spans="1:8" ht="15.75" x14ac:dyDescent="0.25">
      <c r="A322" s="20">
        <v>3588</v>
      </c>
      <c r="B322" s="20" t="s">
        <v>29</v>
      </c>
      <c r="C322" s="20" t="s">
        <v>16</v>
      </c>
      <c r="D322" s="20" t="s">
        <v>27</v>
      </c>
      <c r="E322" s="20" t="s">
        <v>15</v>
      </c>
      <c r="F322" s="20" t="s">
        <v>24</v>
      </c>
      <c r="G322" s="20">
        <v>14</v>
      </c>
      <c r="H322" s="20">
        <v>3.9E-2</v>
      </c>
    </row>
    <row r="323" spans="1:8" ht="15.75" x14ac:dyDescent="0.25">
      <c r="A323" s="20">
        <v>3591</v>
      </c>
      <c r="B323" s="20" t="s">
        <v>13</v>
      </c>
      <c r="C323" s="20" t="s">
        <v>16</v>
      </c>
      <c r="D323" s="20" t="s">
        <v>14</v>
      </c>
      <c r="E323" s="20" t="s">
        <v>15</v>
      </c>
      <c r="F323" s="20" t="s">
        <v>15</v>
      </c>
      <c r="G323" s="20">
        <v>0</v>
      </c>
      <c r="H323" s="20">
        <v>4.2999999999999997E-2</v>
      </c>
    </row>
    <row r="324" spans="1:8" ht="15.75" x14ac:dyDescent="0.25">
      <c r="A324" s="20">
        <v>3593</v>
      </c>
      <c r="B324" s="20" t="s">
        <v>65</v>
      </c>
      <c r="C324" s="20" t="s">
        <v>16</v>
      </c>
      <c r="D324" s="20" t="s">
        <v>23</v>
      </c>
      <c r="E324" s="20" t="s">
        <v>21</v>
      </c>
      <c r="F324" s="20" t="s">
        <v>24</v>
      </c>
      <c r="G324" s="20">
        <v>0</v>
      </c>
      <c r="H324" s="20">
        <v>3.9E-2</v>
      </c>
    </row>
    <row r="325" spans="1:8" ht="15.75" x14ac:dyDescent="0.25">
      <c r="A325" s="20">
        <v>3593</v>
      </c>
      <c r="B325" s="20" t="s">
        <v>65</v>
      </c>
      <c r="C325" s="20" t="s">
        <v>16</v>
      </c>
      <c r="D325" s="20" t="s">
        <v>23</v>
      </c>
      <c r="E325" s="20" t="s">
        <v>21</v>
      </c>
      <c r="F325" s="20" t="s">
        <v>24</v>
      </c>
      <c r="G325" s="20">
        <v>14</v>
      </c>
      <c r="H325" s="20">
        <v>3.7999999999999999E-2</v>
      </c>
    </row>
    <row r="326" spans="1:8" ht="15.75" x14ac:dyDescent="0.25">
      <c r="A326" s="20">
        <v>3598</v>
      </c>
      <c r="B326" s="20" t="s">
        <v>26</v>
      </c>
      <c r="C326" s="20" t="s">
        <v>16</v>
      </c>
      <c r="D326" s="20" t="s">
        <v>27</v>
      </c>
      <c r="E326" s="20" t="s">
        <v>15</v>
      </c>
      <c r="F326" s="20" t="s">
        <v>24</v>
      </c>
      <c r="G326" s="20">
        <v>0</v>
      </c>
      <c r="H326" s="20">
        <v>5.8000000000000003E-2</v>
      </c>
    </row>
    <row r="327" spans="1:8" ht="15.75" x14ac:dyDescent="0.25">
      <c r="A327" s="20">
        <v>3598</v>
      </c>
      <c r="B327" s="20" t="s">
        <v>26</v>
      </c>
      <c r="C327" s="20" t="s">
        <v>16</v>
      </c>
      <c r="D327" s="20" t="s">
        <v>27</v>
      </c>
      <c r="E327" s="20" t="s">
        <v>15</v>
      </c>
      <c r="F327" s="20" t="s">
        <v>24</v>
      </c>
      <c r="G327" s="20">
        <v>14</v>
      </c>
      <c r="H327" s="20">
        <v>6.2E-2</v>
      </c>
    </row>
    <row r="328" spans="1:8" ht="15.75" x14ac:dyDescent="0.25">
      <c r="A328" s="20">
        <v>3599</v>
      </c>
      <c r="B328" s="20" t="s">
        <v>31</v>
      </c>
      <c r="C328" s="20" t="s">
        <v>16</v>
      </c>
      <c r="D328" s="20" t="s">
        <v>20</v>
      </c>
      <c r="E328" s="20" t="s">
        <v>21</v>
      </c>
      <c r="F328" s="20" t="s">
        <v>15</v>
      </c>
      <c r="G328" s="20">
        <v>0</v>
      </c>
      <c r="H328" s="20">
        <v>4.9000000000000002E-2</v>
      </c>
    </row>
    <row r="329" spans="1:8" ht="15.75" x14ac:dyDescent="0.25">
      <c r="A329" s="20">
        <v>3599</v>
      </c>
      <c r="B329" s="20" t="s">
        <v>31</v>
      </c>
      <c r="C329" s="20" t="s">
        <v>16</v>
      </c>
      <c r="D329" s="20" t="s">
        <v>20</v>
      </c>
      <c r="E329" s="20" t="s">
        <v>21</v>
      </c>
      <c r="F329" s="20" t="s">
        <v>15</v>
      </c>
      <c r="G329" s="20">
        <v>14</v>
      </c>
      <c r="H329" s="20">
        <v>2.7E-2</v>
      </c>
    </row>
    <row r="330" spans="1:8" ht="15.75" x14ac:dyDescent="0.25">
      <c r="A330" s="20">
        <v>3602</v>
      </c>
      <c r="B330" s="20" t="s">
        <v>26</v>
      </c>
      <c r="C330" s="20" t="s">
        <v>16</v>
      </c>
      <c r="D330" s="20" t="s">
        <v>27</v>
      </c>
      <c r="E330" s="20" t="s">
        <v>15</v>
      </c>
      <c r="F330" s="20" t="s">
        <v>24</v>
      </c>
      <c r="G330" s="20">
        <v>0</v>
      </c>
      <c r="H330" s="20">
        <v>3.9E-2</v>
      </c>
    </row>
    <row r="331" spans="1:8" ht="15.75" x14ac:dyDescent="0.25">
      <c r="A331" s="20">
        <v>3603</v>
      </c>
      <c r="B331" s="20" t="s">
        <v>30</v>
      </c>
      <c r="C331" s="20" t="s">
        <v>16</v>
      </c>
      <c r="D331" s="20" t="s">
        <v>20</v>
      </c>
      <c r="E331" s="20" t="s">
        <v>21</v>
      </c>
      <c r="F331" s="20" t="s">
        <v>15</v>
      </c>
      <c r="G331" s="20">
        <v>0</v>
      </c>
      <c r="H331" s="20">
        <v>3.6999999999999998E-2</v>
      </c>
    </row>
    <row r="332" spans="1:8" ht="15.75" x14ac:dyDescent="0.25">
      <c r="A332" s="20">
        <v>3603</v>
      </c>
      <c r="B332" s="20" t="s">
        <v>30</v>
      </c>
      <c r="C332" s="20" t="s">
        <v>16</v>
      </c>
      <c r="D332" s="20" t="s">
        <v>20</v>
      </c>
      <c r="E332" s="20" t="s">
        <v>21</v>
      </c>
      <c r="F332" s="20" t="s">
        <v>15</v>
      </c>
      <c r="G332" s="20">
        <v>14</v>
      </c>
      <c r="H332" s="20">
        <v>3.5000000000000003E-2</v>
      </c>
    </row>
    <row r="333" spans="1:8" ht="15.75" x14ac:dyDescent="0.25">
      <c r="A333" s="20">
        <v>3607</v>
      </c>
      <c r="B333" s="20" t="s">
        <v>30</v>
      </c>
      <c r="C333" s="20" t="s">
        <v>16</v>
      </c>
      <c r="D333" s="20" t="s">
        <v>20</v>
      </c>
      <c r="E333" s="20" t="s">
        <v>21</v>
      </c>
      <c r="F333" s="20" t="s">
        <v>15</v>
      </c>
      <c r="G333" s="20">
        <v>0</v>
      </c>
      <c r="H333" s="20">
        <v>0.05</v>
      </c>
    </row>
    <row r="334" spans="1:8" ht="15.75" x14ac:dyDescent="0.25">
      <c r="A334" s="20">
        <v>3607</v>
      </c>
      <c r="B334" s="20" t="s">
        <v>30</v>
      </c>
      <c r="C334" s="20" t="s">
        <v>16</v>
      </c>
      <c r="D334" s="20" t="s">
        <v>20</v>
      </c>
      <c r="E334" s="20" t="s">
        <v>21</v>
      </c>
      <c r="F334" s="20" t="s">
        <v>15</v>
      </c>
      <c r="G334" s="20">
        <v>14</v>
      </c>
      <c r="H334" s="20">
        <v>6.0999999999999999E-2</v>
      </c>
    </row>
    <row r="335" spans="1:8" ht="15.75" x14ac:dyDescent="0.25">
      <c r="A335" s="20">
        <v>3608</v>
      </c>
      <c r="B335" s="20" t="s">
        <v>31</v>
      </c>
      <c r="C335" s="20" t="s">
        <v>16</v>
      </c>
      <c r="D335" s="20" t="s">
        <v>20</v>
      </c>
      <c r="E335" s="20" t="s">
        <v>21</v>
      </c>
      <c r="F335" s="20" t="s">
        <v>15</v>
      </c>
      <c r="G335" s="20">
        <v>0</v>
      </c>
      <c r="H335" s="20">
        <v>0.05</v>
      </c>
    </row>
    <row r="336" spans="1:8" ht="15.75" x14ac:dyDescent="0.25">
      <c r="A336" s="20">
        <v>3609</v>
      </c>
      <c r="B336" s="20" t="s">
        <v>42</v>
      </c>
      <c r="C336" s="20" t="s">
        <v>16</v>
      </c>
      <c r="D336" s="20" t="s">
        <v>20</v>
      </c>
      <c r="E336" s="20" t="s">
        <v>21</v>
      </c>
      <c r="F336" s="20" t="s">
        <v>15</v>
      </c>
      <c r="G336" s="20">
        <v>0</v>
      </c>
      <c r="H336" s="20">
        <v>0.05</v>
      </c>
    </row>
    <row r="337" spans="1:8" ht="15.75" x14ac:dyDescent="0.25">
      <c r="A337" s="20">
        <v>3610</v>
      </c>
      <c r="B337" s="20" t="s">
        <v>22</v>
      </c>
      <c r="C337" s="20" t="s">
        <v>16</v>
      </c>
      <c r="D337" s="20" t="s">
        <v>23</v>
      </c>
      <c r="E337" s="20" t="s">
        <v>21</v>
      </c>
      <c r="F337" s="20" t="s">
        <v>24</v>
      </c>
      <c r="G337" s="20">
        <v>0</v>
      </c>
      <c r="H337" s="20">
        <v>3.5999999999999997E-2</v>
      </c>
    </row>
    <row r="338" spans="1:8" ht="15.75" x14ac:dyDescent="0.25">
      <c r="A338" s="20">
        <v>3613</v>
      </c>
      <c r="B338" s="20" t="s">
        <v>32</v>
      </c>
      <c r="C338" s="20" t="s">
        <v>16</v>
      </c>
      <c r="D338" s="20" t="s">
        <v>23</v>
      </c>
      <c r="E338" s="20" t="s">
        <v>21</v>
      </c>
      <c r="F338" s="20" t="s">
        <v>24</v>
      </c>
      <c r="G338" s="20">
        <v>0</v>
      </c>
      <c r="H338" s="20">
        <v>0.03</v>
      </c>
    </row>
    <row r="339" spans="1:8" ht="15.75" x14ac:dyDescent="0.25">
      <c r="A339" s="20">
        <v>3617</v>
      </c>
      <c r="B339" s="20" t="s">
        <v>35</v>
      </c>
      <c r="C339" s="20" t="s">
        <v>16</v>
      </c>
      <c r="D339" s="20" t="s">
        <v>20</v>
      </c>
      <c r="E339" s="20" t="s">
        <v>21</v>
      </c>
      <c r="F339" s="20" t="s">
        <v>15</v>
      </c>
      <c r="G339" s="20">
        <v>0</v>
      </c>
      <c r="H339" s="20">
        <v>3.5000000000000003E-2</v>
      </c>
    </row>
    <row r="340" spans="1:8" ht="15.75" x14ac:dyDescent="0.25">
      <c r="A340" s="20">
        <v>3617</v>
      </c>
      <c r="B340" s="20" t="s">
        <v>35</v>
      </c>
      <c r="C340" s="20" t="s">
        <v>16</v>
      </c>
      <c r="D340" s="20" t="s">
        <v>20</v>
      </c>
      <c r="E340" s="20" t="s">
        <v>21</v>
      </c>
      <c r="F340" s="20" t="s">
        <v>15</v>
      </c>
      <c r="G340" s="20">
        <v>14</v>
      </c>
      <c r="H340" s="20">
        <v>0.02</v>
      </c>
    </row>
    <row r="341" spans="1:8" ht="15.75" x14ac:dyDescent="0.25">
      <c r="A341" s="20">
        <v>3623</v>
      </c>
      <c r="B341" s="20" t="s">
        <v>30</v>
      </c>
      <c r="C341" s="20" t="s">
        <v>16</v>
      </c>
      <c r="D341" s="20" t="s">
        <v>20</v>
      </c>
      <c r="E341" s="20" t="s">
        <v>21</v>
      </c>
      <c r="F341" s="20" t="s">
        <v>15</v>
      </c>
      <c r="G341" s="20">
        <v>0</v>
      </c>
      <c r="H341" s="20">
        <v>4.2000000000000003E-2</v>
      </c>
    </row>
    <row r="342" spans="1:8" ht="15.75" x14ac:dyDescent="0.25">
      <c r="A342" s="20">
        <v>3623</v>
      </c>
      <c r="B342" s="20" t="s">
        <v>30</v>
      </c>
      <c r="C342" s="20" t="s">
        <v>16</v>
      </c>
      <c r="D342" s="20" t="s">
        <v>20</v>
      </c>
      <c r="E342" s="20" t="s">
        <v>21</v>
      </c>
      <c r="F342" s="20" t="s">
        <v>15</v>
      </c>
      <c r="G342" s="20">
        <v>14</v>
      </c>
      <c r="H342" s="20">
        <v>6.4000000000000001E-2</v>
      </c>
    </row>
    <row r="343" spans="1:8" ht="15.75" x14ac:dyDescent="0.25">
      <c r="A343" s="20">
        <v>3636</v>
      </c>
      <c r="B343" s="20" t="s">
        <v>26</v>
      </c>
      <c r="C343" s="20" t="s">
        <v>16</v>
      </c>
      <c r="D343" s="20" t="s">
        <v>27</v>
      </c>
      <c r="E343" s="20" t="s">
        <v>15</v>
      </c>
      <c r="F343" s="20" t="s">
        <v>24</v>
      </c>
      <c r="G343" s="20">
        <v>14</v>
      </c>
      <c r="H343" s="20">
        <v>3.5000000000000003E-2</v>
      </c>
    </row>
    <row r="344" spans="1:8" ht="15.75" x14ac:dyDescent="0.25">
      <c r="A344" s="20">
        <v>3639</v>
      </c>
      <c r="B344" s="20" t="s">
        <v>34</v>
      </c>
      <c r="C344" s="20" t="s">
        <v>16</v>
      </c>
      <c r="D344" s="20" t="s">
        <v>14</v>
      </c>
      <c r="E344" s="20" t="s">
        <v>15</v>
      </c>
      <c r="F344" s="20" t="s">
        <v>15</v>
      </c>
      <c r="G344" s="20">
        <v>14</v>
      </c>
      <c r="H344" s="20">
        <v>3.6999999999999998E-2</v>
      </c>
    </row>
    <row r="345" spans="1:8" ht="15.75" x14ac:dyDescent="0.25">
      <c r="A345" s="20">
        <v>3642</v>
      </c>
      <c r="B345" s="20" t="s">
        <v>29</v>
      </c>
      <c r="C345" s="20" t="s">
        <v>16</v>
      </c>
      <c r="D345" s="20" t="s">
        <v>27</v>
      </c>
      <c r="E345" s="20" t="s">
        <v>15</v>
      </c>
      <c r="F345" s="20" t="s">
        <v>24</v>
      </c>
      <c r="G345" s="20">
        <v>14</v>
      </c>
      <c r="H345" s="20">
        <v>4.3999999999999997E-2</v>
      </c>
    </row>
    <row r="346" spans="1:8" ht="15.75" x14ac:dyDescent="0.25">
      <c r="A346" s="20">
        <v>3649</v>
      </c>
      <c r="B346" s="20" t="s">
        <v>35</v>
      </c>
      <c r="C346" s="20" t="s">
        <v>16</v>
      </c>
      <c r="D346" s="20" t="s">
        <v>14</v>
      </c>
      <c r="E346" s="20" t="s">
        <v>15</v>
      </c>
      <c r="F346" s="20" t="s">
        <v>15</v>
      </c>
      <c r="G346" s="20">
        <v>14</v>
      </c>
      <c r="H346" s="20">
        <v>3.2000000000000001E-2</v>
      </c>
    </row>
    <row r="347" spans="1:8" ht="15.75" x14ac:dyDescent="0.25">
      <c r="A347" s="20">
        <v>3662</v>
      </c>
      <c r="B347" s="20" t="s">
        <v>22</v>
      </c>
      <c r="C347" s="20" t="s">
        <v>16</v>
      </c>
      <c r="D347" s="20" t="s">
        <v>23</v>
      </c>
      <c r="E347" s="20" t="s">
        <v>21</v>
      </c>
      <c r="F347" s="20" t="s">
        <v>24</v>
      </c>
      <c r="G347" s="20">
        <v>14</v>
      </c>
      <c r="H347" s="20">
        <v>0.04</v>
      </c>
    </row>
    <row r="348" spans="1:8" ht="15.75" x14ac:dyDescent="0.25">
      <c r="A348" s="20">
        <v>3677</v>
      </c>
      <c r="B348" s="20" t="s">
        <v>33</v>
      </c>
      <c r="C348" s="20" t="s">
        <v>16</v>
      </c>
      <c r="D348" s="20" t="s">
        <v>23</v>
      </c>
      <c r="E348" s="20" t="s">
        <v>21</v>
      </c>
      <c r="F348" s="20" t="s">
        <v>24</v>
      </c>
      <c r="G348" s="20">
        <v>14</v>
      </c>
      <c r="H348" s="20">
        <v>3.3000000000000002E-2</v>
      </c>
    </row>
    <row r="349" spans="1:8" ht="15.75" x14ac:dyDescent="0.25">
      <c r="A349" s="20">
        <v>3683</v>
      </c>
      <c r="B349" s="20" t="s">
        <v>33</v>
      </c>
      <c r="C349" s="20" t="s">
        <v>16</v>
      </c>
      <c r="D349" s="20" t="s">
        <v>27</v>
      </c>
      <c r="E349" s="20" t="s">
        <v>15</v>
      </c>
      <c r="F349" s="20" t="s">
        <v>24</v>
      </c>
      <c r="G349" s="20">
        <v>14</v>
      </c>
      <c r="H349" s="20">
        <v>5.5E-2</v>
      </c>
    </row>
    <row r="350" spans="1:8" ht="15.75" x14ac:dyDescent="0.25">
      <c r="A350" s="20"/>
      <c r="B350" s="20"/>
      <c r="C350" s="20"/>
      <c r="D350" s="20"/>
      <c r="E350" s="20"/>
      <c r="F350" s="20"/>
      <c r="G350" s="20"/>
      <c r="H350" s="20"/>
    </row>
    <row r="351" spans="1:8" ht="15.75" x14ac:dyDescent="0.25">
      <c r="A351" s="20"/>
      <c r="B351" s="20"/>
      <c r="C351" s="20"/>
      <c r="D351" s="20"/>
      <c r="E351" s="20"/>
      <c r="F351" s="20"/>
      <c r="G351" s="20"/>
      <c r="H351" s="20"/>
    </row>
    <row r="352" spans="1:8" ht="15.75" x14ac:dyDescent="0.25">
      <c r="A352" s="20"/>
      <c r="B352" s="20"/>
      <c r="C352" s="20"/>
      <c r="D352" s="20"/>
      <c r="E352" s="20"/>
      <c r="F352" s="20"/>
      <c r="G352" s="20"/>
      <c r="H352" s="20"/>
    </row>
    <row r="353" spans="1:8" ht="15.75" x14ac:dyDescent="0.25">
      <c r="A353" s="20"/>
      <c r="B353" s="20"/>
      <c r="C353" s="20"/>
      <c r="D353" s="20"/>
      <c r="E353" s="20"/>
      <c r="F353" s="20"/>
      <c r="G353" s="20"/>
      <c r="H353" s="20"/>
    </row>
    <row r="354" spans="1:8" ht="15.75" x14ac:dyDescent="0.25">
      <c r="A354" s="20"/>
      <c r="B354" s="20"/>
      <c r="C354" s="20"/>
      <c r="D354" s="20"/>
      <c r="E354" s="20"/>
      <c r="F354" s="20"/>
      <c r="G354" s="20"/>
      <c r="H354" s="20"/>
    </row>
  </sheetData>
  <sortState xmlns:xlrd2="http://schemas.microsoft.com/office/spreadsheetml/2017/richdata2" ref="A2:H354">
    <sortCondition ref="A2:A354"/>
    <sortCondition ref="C2:C35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9C12-6E06-4284-BC57-C969A4538AE8}">
  <dimension ref="A1:W240"/>
  <sheetViews>
    <sheetView workbookViewId="0">
      <selection sqref="A1:W240"/>
    </sheetView>
  </sheetViews>
  <sheetFormatPr defaultRowHeight="15" x14ac:dyDescent="0.25"/>
  <sheetData>
    <row r="1" spans="1:23" ht="15.75" x14ac:dyDescent="0.25">
      <c r="A1" s="2" t="s">
        <v>0</v>
      </c>
      <c r="B1" s="2" t="s">
        <v>2</v>
      </c>
      <c r="C1" s="2" t="s">
        <v>48</v>
      </c>
      <c r="D1" s="2" t="s">
        <v>49</v>
      </c>
      <c r="E1" s="2" t="s">
        <v>50</v>
      </c>
      <c r="F1" s="2" t="s">
        <v>7</v>
      </c>
      <c r="G1" s="6" t="s">
        <v>47</v>
      </c>
      <c r="H1" s="21" t="s">
        <v>77</v>
      </c>
      <c r="I1" s="21" t="s">
        <v>78</v>
      </c>
      <c r="J1" s="21" t="s">
        <v>79</v>
      </c>
      <c r="K1" s="6" t="s">
        <v>80</v>
      </c>
      <c r="L1" s="6" t="s">
        <v>81</v>
      </c>
      <c r="M1" s="6" t="s">
        <v>82</v>
      </c>
      <c r="N1" s="6" t="s">
        <v>83</v>
      </c>
      <c r="O1" s="6" t="s">
        <v>84</v>
      </c>
      <c r="P1" s="6" t="s">
        <v>85</v>
      </c>
      <c r="Q1" s="6" t="s">
        <v>86</v>
      </c>
      <c r="R1" s="6" t="s">
        <v>87</v>
      </c>
      <c r="S1" s="6" t="s">
        <v>88</v>
      </c>
      <c r="T1" s="6" t="s">
        <v>89</v>
      </c>
      <c r="U1" s="6" t="s">
        <v>90</v>
      </c>
      <c r="V1" s="6" t="s">
        <v>91</v>
      </c>
      <c r="W1" s="6" t="s">
        <v>92</v>
      </c>
    </row>
    <row r="2" spans="1:23" ht="15.75" x14ac:dyDescent="0.25">
      <c r="A2" s="22">
        <v>2613</v>
      </c>
      <c r="B2" s="2" t="s">
        <v>22</v>
      </c>
      <c r="C2" s="6" t="s">
        <v>23</v>
      </c>
      <c r="D2" s="6" t="s">
        <v>21</v>
      </c>
      <c r="E2" s="6" t="s">
        <v>24</v>
      </c>
      <c r="F2" s="6" t="s">
        <v>16</v>
      </c>
      <c r="G2" s="6">
        <v>2304</v>
      </c>
      <c r="H2" s="21">
        <v>122</v>
      </c>
      <c r="I2" s="21">
        <v>128</v>
      </c>
      <c r="J2" s="21">
        <v>220</v>
      </c>
      <c r="K2" s="6">
        <v>224</v>
      </c>
      <c r="L2" s="6">
        <v>242</v>
      </c>
      <c r="M2" s="21"/>
      <c r="N2" s="6">
        <v>1</v>
      </c>
      <c r="O2" s="6">
        <v>20.8</v>
      </c>
      <c r="P2" s="6">
        <v>1</v>
      </c>
      <c r="Q2" s="6">
        <v>20.8</v>
      </c>
      <c r="R2" s="6">
        <v>1</v>
      </c>
      <c r="S2" s="6">
        <v>38.159999999999997</v>
      </c>
      <c r="T2" s="6">
        <v>1</v>
      </c>
      <c r="U2" s="6">
        <v>1</v>
      </c>
      <c r="V2" s="6">
        <v>0</v>
      </c>
      <c r="W2" s="6">
        <v>109.25</v>
      </c>
    </row>
    <row r="3" spans="1:23" ht="15.75" x14ac:dyDescent="0.25">
      <c r="A3" s="2">
        <v>2231</v>
      </c>
      <c r="B3" s="2" t="s">
        <v>36</v>
      </c>
      <c r="C3" s="6" t="s">
        <v>23</v>
      </c>
      <c r="D3" s="6" t="s">
        <v>21</v>
      </c>
      <c r="E3" s="6" t="s">
        <v>24</v>
      </c>
      <c r="F3" s="6" t="s">
        <v>37</v>
      </c>
      <c r="G3" s="6">
        <v>2214</v>
      </c>
      <c r="H3" s="6">
        <v>144</v>
      </c>
      <c r="I3" s="6">
        <v>157</v>
      </c>
      <c r="J3" s="6"/>
      <c r="K3" s="6">
        <v>152</v>
      </c>
      <c r="L3" s="6"/>
      <c r="M3" s="6">
        <v>164</v>
      </c>
      <c r="N3" s="6">
        <v>1</v>
      </c>
      <c r="O3" s="6">
        <v>19.62</v>
      </c>
      <c r="P3" s="6">
        <v>1</v>
      </c>
      <c r="Q3" s="6">
        <v>20.13</v>
      </c>
      <c r="R3" s="6">
        <v>0</v>
      </c>
      <c r="S3" s="6">
        <v>0</v>
      </c>
      <c r="T3" s="6">
        <v>1</v>
      </c>
      <c r="U3" s="6">
        <v>1</v>
      </c>
      <c r="V3" s="6">
        <v>0</v>
      </c>
      <c r="W3" s="6">
        <v>39.74</v>
      </c>
    </row>
    <row r="4" spans="1:23" ht="18.75" x14ac:dyDescent="0.25">
      <c r="A4" s="23">
        <v>3214</v>
      </c>
      <c r="B4" s="2" t="s">
        <v>44</v>
      </c>
      <c r="C4" s="6" t="s">
        <v>20</v>
      </c>
      <c r="D4" s="6" t="s">
        <v>21</v>
      </c>
      <c r="E4" s="6" t="s">
        <v>15</v>
      </c>
      <c r="F4" s="6" t="s">
        <v>37</v>
      </c>
      <c r="G4" s="6">
        <v>2311</v>
      </c>
      <c r="H4" s="6">
        <v>173</v>
      </c>
      <c r="I4" s="6">
        <v>177</v>
      </c>
      <c r="J4" s="6">
        <v>189</v>
      </c>
      <c r="K4" s="6"/>
      <c r="L4" s="6">
        <v>193</v>
      </c>
      <c r="M4" s="21"/>
      <c r="N4" s="6">
        <v>1</v>
      </c>
      <c r="O4" s="6">
        <v>12.2</v>
      </c>
      <c r="P4" s="6">
        <v>1</v>
      </c>
      <c r="Q4" s="6">
        <v>41.16</v>
      </c>
      <c r="R4" s="6">
        <v>1</v>
      </c>
      <c r="S4" s="6">
        <v>29.16</v>
      </c>
      <c r="T4" s="6">
        <v>0</v>
      </c>
      <c r="U4" s="6">
        <v>1</v>
      </c>
      <c r="V4" s="6">
        <v>0</v>
      </c>
      <c r="W4" s="6">
        <v>82.52</v>
      </c>
    </row>
    <row r="5" spans="1:23" ht="15.75" x14ac:dyDescent="0.25">
      <c r="A5" s="2">
        <v>2239</v>
      </c>
      <c r="B5" s="2" t="s">
        <v>38</v>
      </c>
      <c r="C5" s="6" t="s">
        <v>23</v>
      </c>
      <c r="D5" s="6" t="s">
        <v>21</v>
      </c>
      <c r="E5" s="6" t="s">
        <v>24</v>
      </c>
      <c r="F5" s="6" t="s">
        <v>37</v>
      </c>
      <c r="G5" s="6">
        <v>2214</v>
      </c>
      <c r="H5" s="6">
        <v>193</v>
      </c>
      <c r="I5" s="6">
        <v>199</v>
      </c>
      <c r="J5" s="6">
        <v>203</v>
      </c>
      <c r="K5" s="6"/>
      <c r="L5" s="6">
        <v>211</v>
      </c>
      <c r="M5" s="6"/>
      <c r="N5" s="6">
        <v>1</v>
      </c>
      <c r="O5" s="6">
        <v>48.75</v>
      </c>
      <c r="P5" s="6">
        <v>1</v>
      </c>
      <c r="Q5" s="6">
        <v>29.49</v>
      </c>
      <c r="R5" s="6">
        <v>1</v>
      </c>
      <c r="S5" s="6">
        <v>24.86</v>
      </c>
      <c r="T5" s="6">
        <v>0</v>
      </c>
      <c r="U5" s="6">
        <v>1</v>
      </c>
      <c r="V5" s="6">
        <v>0</v>
      </c>
      <c r="W5" s="6">
        <v>103.1</v>
      </c>
    </row>
    <row r="6" spans="1:23" ht="15.75" x14ac:dyDescent="0.25">
      <c r="A6" s="2">
        <v>2001</v>
      </c>
      <c r="B6" s="2" t="s">
        <v>36</v>
      </c>
      <c r="C6" s="6" t="s">
        <v>23</v>
      </c>
      <c r="D6" s="6" t="s">
        <v>21</v>
      </c>
      <c r="E6" s="6" t="s">
        <v>24</v>
      </c>
      <c r="F6" s="6" t="s">
        <v>37</v>
      </c>
      <c r="G6" s="6">
        <v>2214</v>
      </c>
      <c r="H6" s="6"/>
      <c r="I6" s="6"/>
      <c r="J6" s="6"/>
      <c r="K6" s="6"/>
      <c r="L6" s="6">
        <v>127</v>
      </c>
      <c r="M6" s="6"/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0</v>
      </c>
      <c r="W6" s="6">
        <v>0</v>
      </c>
    </row>
    <row r="7" spans="1:23" ht="15.75" x14ac:dyDescent="0.25">
      <c r="A7" s="2">
        <v>2201</v>
      </c>
      <c r="B7" s="2" t="s">
        <v>41</v>
      </c>
      <c r="C7" s="6" t="s">
        <v>14</v>
      </c>
      <c r="D7" s="6" t="s">
        <v>15</v>
      </c>
      <c r="E7" s="6" t="s">
        <v>15</v>
      </c>
      <c r="F7" s="6" t="s">
        <v>37</v>
      </c>
      <c r="G7" s="6">
        <v>2214</v>
      </c>
      <c r="H7" s="6">
        <v>39</v>
      </c>
      <c r="I7" s="6"/>
      <c r="J7" s="6"/>
      <c r="K7" s="6"/>
      <c r="L7" s="6"/>
      <c r="M7" s="6"/>
      <c r="N7" s="6">
        <v>1</v>
      </c>
      <c r="O7" s="6">
        <v>21.07938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21.08</v>
      </c>
    </row>
    <row r="8" spans="1:23" ht="15.75" x14ac:dyDescent="0.25">
      <c r="A8" s="2">
        <v>2021</v>
      </c>
      <c r="B8" s="2" t="s">
        <v>36</v>
      </c>
      <c r="C8" s="6" t="s">
        <v>23</v>
      </c>
      <c r="D8" s="6" t="s">
        <v>21</v>
      </c>
      <c r="E8" s="6" t="s">
        <v>24</v>
      </c>
      <c r="F8" s="6" t="s">
        <v>37</v>
      </c>
      <c r="G8" s="6">
        <v>2214</v>
      </c>
      <c r="H8" s="6">
        <v>40</v>
      </c>
      <c r="I8" s="6"/>
      <c r="J8" s="6"/>
      <c r="K8" s="6"/>
      <c r="L8" s="6"/>
      <c r="M8" s="6"/>
      <c r="N8" s="6">
        <v>1</v>
      </c>
      <c r="O8" s="6">
        <v>25.83924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25.84</v>
      </c>
    </row>
    <row r="9" spans="1:23" ht="15.75" x14ac:dyDescent="0.25">
      <c r="A9" s="2">
        <v>2141</v>
      </c>
      <c r="B9" s="2" t="s">
        <v>42</v>
      </c>
      <c r="C9" s="6" t="s">
        <v>20</v>
      </c>
      <c r="D9" s="6" t="s">
        <v>21</v>
      </c>
      <c r="E9" s="6" t="s">
        <v>15</v>
      </c>
      <c r="F9" s="6" t="s">
        <v>37</v>
      </c>
      <c r="G9" s="6">
        <v>2214</v>
      </c>
      <c r="H9" s="6">
        <v>40</v>
      </c>
      <c r="I9" s="6"/>
      <c r="J9" s="6"/>
      <c r="K9" s="6"/>
      <c r="L9" s="6"/>
      <c r="M9" s="6"/>
      <c r="N9" s="6">
        <v>1</v>
      </c>
      <c r="O9" s="6">
        <v>24.479279999999999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24.48</v>
      </c>
    </row>
    <row r="10" spans="1:23" ht="15.75" x14ac:dyDescent="0.25">
      <c r="A10" s="2">
        <v>2211</v>
      </c>
      <c r="B10" s="2" t="s">
        <v>13</v>
      </c>
      <c r="C10" s="6" t="s">
        <v>14</v>
      </c>
      <c r="D10" s="6" t="s">
        <v>15</v>
      </c>
      <c r="E10" s="6" t="s">
        <v>15</v>
      </c>
      <c r="F10" s="6" t="s">
        <v>37</v>
      </c>
      <c r="G10" s="6">
        <v>2214</v>
      </c>
      <c r="H10" s="6">
        <v>40</v>
      </c>
      <c r="I10" s="6"/>
      <c r="J10" s="6"/>
      <c r="K10" s="6"/>
      <c r="L10" s="6"/>
      <c r="M10" s="6"/>
      <c r="N10" s="6">
        <v>1</v>
      </c>
      <c r="O10" s="6">
        <v>27.879180000000002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27.88</v>
      </c>
    </row>
    <row r="11" spans="1:23" ht="15.75" x14ac:dyDescent="0.25">
      <c r="A11" s="2">
        <v>2235</v>
      </c>
      <c r="B11" s="2" t="s">
        <v>44</v>
      </c>
      <c r="C11" s="6" t="s">
        <v>20</v>
      </c>
      <c r="D11" s="6" t="s">
        <v>21</v>
      </c>
      <c r="E11" s="6" t="s">
        <v>15</v>
      </c>
      <c r="F11" s="6" t="s">
        <v>37</v>
      </c>
      <c r="G11" s="6">
        <v>2214</v>
      </c>
      <c r="H11" s="6">
        <v>40</v>
      </c>
      <c r="I11" s="6"/>
      <c r="J11" s="6"/>
      <c r="K11" s="6"/>
      <c r="L11" s="6"/>
      <c r="M11" s="6"/>
      <c r="N11" s="6">
        <v>1</v>
      </c>
      <c r="O11" s="6">
        <v>24.479279999999999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24.48</v>
      </c>
    </row>
    <row r="12" spans="1:23" ht="15.75" x14ac:dyDescent="0.25">
      <c r="A12" s="2">
        <v>2245</v>
      </c>
      <c r="B12" s="2" t="s">
        <v>42</v>
      </c>
      <c r="C12" s="6" t="s">
        <v>20</v>
      </c>
      <c r="D12" s="6" t="s">
        <v>21</v>
      </c>
      <c r="E12" s="6" t="s">
        <v>15</v>
      </c>
      <c r="F12" s="6" t="s">
        <v>37</v>
      </c>
      <c r="G12" s="6">
        <v>2214</v>
      </c>
      <c r="H12" s="6">
        <v>40</v>
      </c>
      <c r="I12" s="6"/>
      <c r="J12" s="6"/>
      <c r="K12" s="6"/>
      <c r="L12" s="6"/>
      <c r="M12" s="6"/>
      <c r="N12" s="6">
        <v>1</v>
      </c>
      <c r="O12" s="6">
        <v>19.039439999999999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19.04</v>
      </c>
    </row>
    <row r="13" spans="1:23" ht="15.75" x14ac:dyDescent="0.25">
      <c r="A13" s="2">
        <v>2227</v>
      </c>
      <c r="B13" s="2" t="s">
        <v>22</v>
      </c>
      <c r="C13" s="6" t="s">
        <v>23</v>
      </c>
      <c r="D13" s="6" t="s">
        <v>21</v>
      </c>
      <c r="E13" s="6" t="s">
        <v>24</v>
      </c>
      <c r="F13" s="6" t="s">
        <v>37</v>
      </c>
      <c r="G13" s="6">
        <v>2214</v>
      </c>
      <c r="H13" s="6">
        <v>42</v>
      </c>
      <c r="I13" s="6"/>
      <c r="J13" s="6"/>
      <c r="K13" s="6"/>
      <c r="L13" s="6"/>
      <c r="M13" s="6"/>
      <c r="N13" s="6">
        <v>1</v>
      </c>
      <c r="O13" s="6">
        <v>26.52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26.52</v>
      </c>
    </row>
    <row r="14" spans="1:23" ht="15.75" x14ac:dyDescent="0.25">
      <c r="A14" s="24">
        <v>2697</v>
      </c>
      <c r="B14" s="2" t="s">
        <v>64</v>
      </c>
      <c r="C14" s="6" t="s">
        <v>20</v>
      </c>
      <c r="D14" s="6" t="s">
        <v>21</v>
      </c>
      <c r="E14" s="6" t="s">
        <v>15</v>
      </c>
      <c r="F14" s="6" t="s">
        <v>16</v>
      </c>
      <c r="G14" s="6">
        <v>2304</v>
      </c>
      <c r="H14" s="21">
        <v>113</v>
      </c>
      <c r="I14" s="21"/>
      <c r="J14" s="21"/>
      <c r="K14" s="6"/>
      <c r="L14" s="6"/>
      <c r="M14" s="21"/>
      <c r="N14" s="6">
        <v>1</v>
      </c>
      <c r="O14" s="6">
        <v>18.2</v>
      </c>
      <c r="P14" s="6">
        <v>1</v>
      </c>
      <c r="Q14" s="6">
        <v>18.2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36.4</v>
      </c>
    </row>
    <row r="15" spans="1:23" ht="15.75" x14ac:dyDescent="0.25">
      <c r="A15" s="2">
        <v>2229</v>
      </c>
      <c r="B15" s="2" t="s">
        <v>43</v>
      </c>
      <c r="C15" s="6" t="s">
        <v>27</v>
      </c>
      <c r="D15" s="6" t="s">
        <v>15</v>
      </c>
      <c r="E15" s="6" t="s">
        <v>24</v>
      </c>
      <c r="F15" s="6" t="s">
        <v>37</v>
      </c>
      <c r="G15" s="6">
        <v>2214</v>
      </c>
      <c r="H15" s="6">
        <v>148</v>
      </c>
      <c r="I15" s="6"/>
      <c r="J15" s="6"/>
      <c r="K15" s="6"/>
      <c r="L15" s="6"/>
      <c r="M15" s="6"/>
      <c r="N15" s="6">
        <v>1</v>
      </c>
      <c r="O15" s="6">
        <v>19.62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19.62</v>
      </c>
    </row>
    <row r="16" spans="1:23" ht="15.75" x14ac:dyDescent="0.25">
      <c r="A16" s="2">
        <v>2202</v>
      </c>
      <c r="B16" s="2" t="s">
        <v>13</v>
      </c>
      <c r="C16" s="6" t="s">
        <v>14</v>
      </c>
      <c r="D16" s="6" t="s">
        <v>15</v>
      </c>
      <c r="E16" s="6" t="s">
        <v>15</v>
      </c>
      <c r="F16" s="6" t="s">
        <v>37</v>
      </c>
      <c r="G16" s="6">
        <v>2214</v>
      </c>
      <c r="H16" s="6">
        <v>150</v>
      </c>
      <c r="I16" s="6">
        <v>165</v>
      </c>
      <c r="J16" s="6"/>
      <c r="K16" s="6"/>
      <c r="L16" s="6"/>
      <c r="M16" s="6"/>
      <c r="N16" s="6">
        <v>1</v>
      </c>
      <c r="O16" s="6">
        <v>19.62</v>
      </c>
      <c r="P16" s="6">
        <v>1</v>
      </c>
      <c r="Q16" s="6">
        <v>22.68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42.3</v>
      </c>
    </row>
    <row r="17" spans="1:23" ht="15.75" x14ac:dyDescent="0.25">
      <c r="A17" s="2">
        <v>2238</v>
      </c>
      <c r="B17" s="2" t="s">
        <v>28</v>
      </c>
      <c r="C17" s="6" t="s">
        <v>20</v>
      </c>
      <c r="D17" s="6" t="s">
        <v>21</v>
      </c>
      <c r="E17" s="6" t="s">
        <v>15</v>
      </c>
      <c r="F17" s="6" t="s">
        <v>37</v>
      </c>
      <c r="G17" s="6">
        <v>2214</v>
      </c>
      <c r="H17" s="6">
        <v>171</v>
      </c>
      <c r="I17" s="6"/>
      <c r="J17" s="6"/>
      <c r="K17" s="6"/>
      <c r="L17" s="6"/>
      <c r="M17" s="6"/>
      <c r="N17" s="6">
        <v>1</v>
      </c>
      <c r="O17" s="6">
        <v>25.22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25.22</v>
      </c>
    </row>
    <row r="18" spans="1:23" ht="15.75" x14ac:dyDescent="0.25">
      <c r="A18" s="22">
        <v>2512</v>
      </c>
      <c r="B18" s="2" t="s">
        <v>19</v>
      </c>
      <c r="C18" s="6" t="s">
        <v>20</v>
      </c>
      <c r="D18" s="6" t="s">
        <v>21</v>
      </c>
      <c r="E18" s="6" t="s">
        <v>15</v>
      </c>
      <c r="F18" s="6" t="s">
        <v>16</v>
      </c>
      <c r="G18" s="6">
        <v>2304</v>
      </c>
      <c r="H18" s="21">
        <v>171</v>
      </c>
      <c r="I18" s="21">
        <v>185</v>
      </c>
      <c r="J18" s="21"/>
      <c r="K18" s="6"/>
      <c r="L18" s="6"/>
      <c r="M18" s="21"/>
      <c r="N18" s="6">
        <v>1</v>
      </c>
      <c r="O18" s="6">
        <v>23.4</v>
      </c>
      <c r="P18" s="6">
        <v>1</v>
      </c>
      <c r="Q18" s="6">
        <v>53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76.400000000000006</v>
      </c>
    </row>
    <row r="19" spans="1:23" ht="18.75" x14ac:dyDescent="0.25">
      <c r="A19" s="23">
        <v>3115</v>
      </c>
      <c r="B19" s="2" t="s">
        <v>30</v>
      </c>
      <c r="C19" s="6" t="s">
        <v>20</v>
      </c>
      <c r="D19" s="6" t="s">
        <v>21</v>
      </c>
      <c r="E19" s="6" t="s">
        <v>15</v>
      </c>
      <c r="F19" s="6" t="s">
        <v>37</v>
      </c>
      <c r="G19" s="6">
        <v>2311</v>
      </c>
      <c r="H19" s="6">
        <v>173</v>
      </c>
      <c r="I19" s="6"/>
      <c r="J19" s="6"/>
      <c r="K19" s="6"/>
      <c r="L19" s="6"/>
      <c r="M19" s="21"/>
      <c r="N19" s="6">
        <v>1</v>
      </c>
      <c r="O19" s="6">
        <v>12.2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12.2</v>
      </c>
    </row>
    <row r="20" spans="1:23" ht="18.75" x14ac:dyDescent="0.25">
      <c r="A20" s="23">
        <v>3131</v>
      </c>
      <c r="B20" s="2" t="s">
        <v>13</v>
      </c>
      <c r="C20" s="6" t="s">
        <v>14</v>
      </c>
      <c r="D20" s="6" t="s">
        <v>15</v>
      </c>
      <c r="E20" s="6" t="s">
        <v>15</v>
      </c>
      <c r="F20" s="6" t="s">
        <v>37</v>
      </c>
      <c r="G20" s="6">
        <v>2311</v>
      </c>
      <c r="H20" s="6">
        <v>182</v>
      </c>
      <c r="I20" s="6"/>
      <c r="J20" s="6"/>
      <c r="K20" s="6"/>
      <c r="L20" s="6"/>
      <c r="M20" s="21"/>
      <c r="N20" s="6">
        <v>1</v>
      </c>
      <c r="O20" s="6">
        <v>12.2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12.2</v>
      </c>
    </row>
    <row r="21" spans="1:23" ht="15.75" x14ac:dyDescent="0.25">
      <c r="A21" s="2">
        <v>2107</v>
      </c>
      <c r="B21" s="2" t="s">
        <v>26</v>
      </c>
      <c r="C21" s="6" t="s">
        <v>27</v>
      </c>
      <c r="D21" s="6" t="s">
        <v>15</v>
      </c>
      <c r="E21" s="6" t="s">
        <v>24</v>
      </c>
      <c r="F21" s="6" t="s">
        <v>37</v>
      </c>
      <c r="G21" s="6">
        <v>2214</v>
      </c>
      <c r="H21" s="6">
        <v>193</v>
      </c>
      <c r="I21" s="6"/>
      <c r="J21" s="6"/>
      <c r="K21" s="6"/>
      <c r="L21" s="6"/>
      <c r="M21" s="6"/>
      <c r="N21" s="6">
        <v>1</v>
      </c>
      <c r="O21" s="6">
        <v>59.79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59.79</v>
      </c>
    </row>
    <row r="22" spans="1:23" ht="18.75" x14ac:dyDescent="0.25">
      <c r="A22" s="23">
        <v>3137</v>
      </c>
      <c r="B22" s="2" t="s">
        <v>46</v>
      </c>
      <c r="C22" s="6" t="s">
        <v>23</v>
      </c>
      <c r="D22" s="6" t="s">
        <v>21</v>
      </c>
      <c r="E22" s="6" t="s">
        <v>24</v>
      </c>
      <c r="F22" s="6" t="s">
        <v>37</v>
      </c>
      <c r="G22" s="6">
        <v>2311</v>
      </c>
      <c r="H22" s="6">
        <v>193</v>
      </c>
      <c r="I22" s="6"/>
      <c r="J22" s="6"/>
      <c r="K22" s="6"/>
      <c r="L22" s="6"/>
      <c r="M22" s="21"/>
      <c r="N22" s="6">
        <v>1</v>
      </c>
      <c r="O22" s="6">
        <v>12.2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12.2</v>
      </c>
    </row>
    <row r="23" spans="1:23" ht="18.75" x14ac:dyDescent="0.25">
      <c r="A23" s="23">
        <v>3114</v>
      </c>
      <c r="B23" s="2" t="s">
        <v>46</v>
      </c>
      <c r="C23" s="6" t="s">
        <v>23</v>
      </c>
      <c r="D23" s="6" t="s">
        <v>21</v>
      </c>
      <c r="E23" s="6" t="s">
        <v>24</v>
      </c>
      <c r="F23" s="6" t="s">
        <v>37</v>
      </c>
      <c r="G23" s="6">
        <v>2311</v>
      </c>
      <c r="H23" s="6">
        <v>194</v>
      </c>
      <c r="I23" s="6"/>
      <c r="J23" s="6"/>
      <c r="K23" s="6"/>
      <c r="L23" s="6"/>
      <c r="M23" s="21"/>
      <c r="N23" s="6">
        <v>1</v>
      </c>
      <c r="O23" s="6">
        <v>13.56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13.56</v>
      </c>
    </row>
    <row r="24" spans="1:23" ht="18.75" x14ac:dyDescent="0.25">
      <c r="A24" s="23">
        <v>3174</v>
      </c>
      <c r="B24" s="2" t="s">
        <v>34</v>
      </c>
      <c r="C24" s="6" t="s">
        <v>14</v>
      </c>
      <c r="D24" s="6" t="s">
        <v>15</v>
      </c>
      <c r="E24" s="6" t="s">
        <v>15</v>
      </c>
      <c r="F24" s="6" t="s">
        <v>37</v>
      </c>
      <c r="G24" s="6">
        <v>2311</v>
      </c>
      <c r="H24" s="6">
        <v>194</v>
      </c>
      <c r="I24" s="6"/>
      <c r="J24" s="6"/>
      <c r="K24" s="6"/>
      <c r="L24" s="6"/>
      <c r="M24" s="21"/>
      <c r="N24" s="6">
        <v>1</v>
      </c>
      <c r="O24" s="6">
        <v>9.49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9.49</v>
      </c>
    </row>
    <row r="25" spans="1:23" ht="15.75" x14ac:dyDescent="0.25">
      <c r="A25" s="24">
        <v>2676</v>
      </c>
      <c r="B25" s="2" t="s">
        <v>63</v>
      </c>
      <c r="C25" s="6" t="s">
        <v>14</v>
      </c>
      <c r="D25" s="6" t="s">
        <v>15</v>
      </c>
      <c r="E25" s="6" t="s">
        <v>15</v>
      </c>
      <c r="F25" s="6" t="s">
        <v>16</v>
      </c>
      <c r="G25" s="6">
        <v>2304</v>
      </c>
      <c r="H25" s="21" t="s">
        <v>39</v>
      </c>
      <c r="I25" s="21"/>
      <c r="J25" s="21"/>
      <c r="K25" s="6">
        <v>318</v>
      </c>
      <c r="L25" s="6"/>
      <c r="M25" s="21"/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0</v>
      </c>
    </row>
    <row r="26" spans="1:23" ht="18.75" x14ac:dyDescent="0.25">
      <c r="A26" s="23">
        <v>3003</v>
      </c>
      <c r="B26" s="2" t="s">
        <v>30</v>
      </c>
      <c r="C26" s="6" t="s">
        <v>20</v>
      </c>
      <c r="D26" s="6" t="s">
        <v>21</v>
      </c>
      <c r="E26" s="6" t="s">
        <v>15</v>
      </c>
      <c r="F26" s="6" t="s">
        <v>37</v>
      </c>
      <c r="G26" s="6">
        <v>2311</v>
      </c>
      <c r="H26" s="6" t="s">
        <v>39</v>
      </c>
      <c r="I26" s="6"/>
      <c r="J26" s="6"/>
      <c r="K26" s="6"/>
      <c r="L26" s="6"/>
      <c r="M26" s="21"/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ht="18.75" x14ac:dyDescent="0.25">
      <c r="A27" s="23">
        <v>3004</v>
      </c>
      <c r="B27" s="2" t="s">
        <v>25</v>
      </c>
      <c r="C27" s="6" t="s">
        <v>23</v>
      </c>
      <c r="D27" s="6" t="s">
        <v>21</v>
      </c>
      <c r="E27" s="6" t="s">
        <v>24</v>
      </c>
      <c r="F27" s="6" t="s">
        <v>37</v>
      </c>
      <c r="G27" s="6">
        <v>2311</v>
      </c>
      <c r="H27" s="6" t="s">
        <v>39</v>
      </c>
      <c r="I27" s="6"/>
      <c r="J27" s="6"/>
      <c r="K27" s="6"/>
      <c r="L27" s="6"/>
      <c r="M27" s="21"/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ht="18.75" x14ac:dyDescent="0.25">
      <c r="A28" s="23">
        <v>3005</v>
      </c>
      <c r="B28" s="2" t="s">
        <v>25</v>
      </c>
      <c r="C28" s="6" t="s">
        <v>23</v>
      </c>
      <c r="D28" s="6" t="s">
        <v>21</v>
      </c>
      <c r="E28" s="6" t="s">
        <v>24</v>
      </c>
      <c r="F28" s="6" t="s">
        <v>37</v>
      </c>
      <c r="G28" s="6">
        <v>2311</v>
      </c>
      <c r="H28" s="6" t="s">
        <v>39</v>
      </c>
      <c r="I28" s="6"/>
      <c r="J28" s="6"/>
      <c r="K28" s="6"/>
      <c r="L28" s="6"/>
      <c r="M28" s="21"/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ht="18.75" x14ac:dyDescent="0.25">
      <c r="A29" s="23">
        <v>3007</v>
      </c>
      <c r="B29" s="2" t="s">
        <v>25</v>
      </c>
      <c r="C29" s="6" t="s">
        <v>23</v>
      </c>
      <c r="D29" s="6" t="s">
        <v>21</v>
      </c>
      <c r="E29" s="6" t="s">
        <v>24</v>
      </c>
      <c r="F29" s="6" t="s">
        <v>37</v>
      </c>
      <c r="G29" s="6">
        <v>2311</v>
      </c>
      <c r="H29" s="6" t="s">
        <v>39</v>
      </c>
      <c r="I29" s="6"/>
      <c r="J29" s="6"/>
      <c r="K29" s="6"/>
      <c r="L29" s="6"/>
      <c r="M29" s="21"/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ht="18.75" x14ac:dyDescent="0.25">
      <c r="A30" s="23">
        <v>3009</v>
      </c>
      <c r="B30" s="2" t="s">
        <v>17</v>
      </c>
      <c r="C30" s="6" t="s">
        <v>14</v>
      </c>
      <c r="D30" s="6" t="s">
        <v>15</v>
      </c>
      <c r="E30" s="6" t="s">
        <v>15</v>
      </c>
      <c r="F30" s="6" t="s">
        <v>37</v>
      </c>
      <c r="G30" s="6">
        <v>2311</v>
      </c>
      <c r="H30" s="6" t="s">
        <v>39</v>
      </c>
      <c r="I30" s="6"/>
      <c r="J30" s="6"/>
      <c r="K30" s="6"/>
      <c r="L30" s="6"/>
      <c r="M30" s="21"/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ht="18.75" x14ac:dyDescent="0.25">
      <c r="A31" s="23">
        <v>3012</v>
      </c>
      <c r="B31" s="2" t="s">
        <v>45</v>
      </c>
      <c r="C31" s="6" t="s">
        <v>14</v>
      </c>
      <c r="D31" s="6" t="s">
        <v>15</v>
      </c>
      <c r="E31" s="6" t="s">
        <v>15</v>
      </c>
      <c r="F31" s="6" t="s">
        <v>37</v>
      </c>
      <c r="G31" s="6">
        <v>2311</v>
      </c>
      <c r="H31" s="6" t="s">
        <v>39</v>
      </c>
      <c r="I31" s="6"/>
      <c r="J31" s="6"/>
      <c r="K31" s="6"/>
      <c r="L31" s="6"/>
      <c r="M31" s="21"/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ht="18.75" x14ac:dyDescent="0.25">
      <c r="A32" s="23">
        <v>3013</v>
      </c>
      <c r="B32" s="2" t="s">
        <v>13</v>
      </c>
      <c r="C32" s="6" t="s">
        <v>14</v>
      </c>
      <c r="D32" s="6" t="s">
        <v>15</v>
      </c>
      <c r="E32" s="6" t="s">
        <v>15</v>
      </c>
      <c r="F32" s="6" t="s">
        <v>37</v>
      </c>
      <c r="G32" s="6">
        <v>2311</v>
      </c>
      <c r="H32" s="6" t="s">
        <v>39</v>
      </c>
      <c r="I32" s="6"/>
      <c r="J32" s="6"/>
      <c r="K32" s="6"/>
      <c r="L32" s="6"/>
      <c r="M32" s="21"/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ht="18.75" x14ac:dyDescent="0.25">
      <c r="A33" s="23">
        <v>3010</v>
      </c>
      <c r="B33" s="2" t="s">
        <v>30</v>
      </c>
      <c r="C33" s="6" t="s">
        <v>20</v>
      </c>
      <c r="D33" s="6" t="s">
        <v>21</v>
      </c>
      <c r="E33" s="6" t="s">
        <v>15</v>
      </c>
      <c r="F33" s="6" t="s">
        <v>37</v>
      </c>
      <c r="G33" s="6">
        <v>2311</v>
      </c>
      <c r="H33" s="6" t="s">
        <v>39</v>
      </c>
      <c r="I33" s="6"/>
      <c r="J33" s="6"/>
      <c r="K33" s="6"/>
      <c r="L33" s="6"/>
      <c r="M33" s="21"/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ht="18.75" x14ac:dyDescent="0.25">
      <c r="A34" s="23">
        <v>3014</v>
      </c>
      <c r="B34" s="2" t="s">
        <v>25</v>
      </c>
      <c r="C34" s="6" t="s">
        <v>23</v>
      </c>
      <c r="D34" s="6" t="s">
        <v>21</v>
      </c>
      <c r="E34" s="6" t="s">
        <v>24</v>
      </c>
      <c r="F34" s="6" t="s">
        <v>37</v>
      </c>
      <c r="G34" s="6">
        <v>2311</v>
      </c>
      <c r="H34" s="6" t="s">
        <v>39</v>
      </c>
      <c r="I34" s="6"/>
      <c r="J34" s="6"/>
      <c r="K34" s="6"/>
      <c r="L34" s="6"/>
      <c r="M34" s="21"/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ht="18.75" x14ac:dyDescent="0.25">
      <c r="A35" s="23">
        <v>3015</v>
      </c>
      <c r="B35" s="2" t="s">
        <v>44</v>
      </c>
      <c r="C35" s="6" t="s">
        <v>20</v>
      </c>
      <c r="D35" s="6" t="s">
        <v>21</v>
      </c>
      <c r="E35" s="6" t="s">
        <v>15</v>
      </c>
      <c r="F35" s="6" t="s">
        <v>37</v>
      </c>
      <c r="G35" s="6">
        <v>2311</v>
      </c>
      <c r="H35" s="6" t="s">
        <v>39</v>
      </c>
      <c r="I35" s="6"/>
      <c r="J35" s="6"/>
      <c r="K35" s="6"/>
      <c r="L35" s="6"/>
      <c r="M35" s="21"/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ht="18.75" x14ac:dyDescent="0.25">
      <c r="A36" s="23">
        <v>3016</v>
      </c>
      <c r="B36" s="2" t="s">
        <v>18</v>
      </c>
      <c r="C36" s="6" t="s">
        <v>14</v>
      </c>
      <c r="D36" s="6" t="s">
        <v>15</v>
      </c>
      <c r="E36" s="6" t="s">
        <v>15</v>
      </c>
      <c r="F36" s="6" t="s">
        <v>37</v>
      </c>
      <c r="G36" s="6">
        <v>2311</v>
      </c>
      <c r="H36" s="6" t="s">
        <v>39</v>
      </c>
      <c r="I36" s="6"/>
      <c r="J36" s="6"/>
      <c r="K36" s="6"/>
      <c r="L36" s="6"/>
      <c r="M36" s="21"/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ht="18.75" x14ac:dyDescent="0.25">
      <c r="A37" s="23">
        <v>3018</v>
      </c>
      <c r="B37" s="2" t="s">
        <v>18</v>
      </c>
      <c r="C37" s="6" t="s">
        <v>14</v>
      </c>
      <c r="D37" s="6" t="s">
        <v>15</v>
      </c>
      <c r="E37" s="6" t="s">
        <v>15</v>
      </c>
      <c r="F37" s="6" t="s">
        <v>37</v>
      </c>
      <c r="G37" s="6">
        <v>2311</v>
      </c>
      <c r="H37" s="6" t="s">
        <v>39</v>
      </c>
      <c r="I37" s="6"/>
      <c r="J37" s="6"/>
      <c r="K37" s="6"/>
      <c r="L37" s="6"/>
      <c r="M37" s="21"/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ht="18.75" x14ac:dyDescent="0.25">
      <c r="A38" s="23">
        <v>3019</v>
      </c>
      <c r="B38" s="2" t="s">
        <v>45</v>
      </c>
      <c r="C38" s="6" t="s">
        <v>14</v>
      </c>
      <c r="D38" s="6" t="s">
        <v>15</v>
      </c>
      <c r="E38" s="6" t="s">
        <v>15</v>
      </c>
      <c r="F38" s="6" t="s">
        <v>37</v>
      </c>
      <c r="G38" s="6">
        <v>2311</v>
      </c>
      <c r="H38" s="6" t="s">
        <v>39</v>
      </c>
      <c r="I38" s="6"/>
      <c r="J38" s="6"/>
      <c r="K38" s="6"/>
      <c r="L38" s="6"/>
      <c r="M38" s="21"/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ht="18.75" x14ac:dyDescent="0.25">
      <c r="A39" s="23">
        <v>3017</v>
      </c>
      <c r="B39" s="2" t="s">
        <v>25</v>
      </c>
      <c r="C39" s="6" t="s">
        <v>23</v>
      </c>
      <c r="D39" s="6" t="s">
        <v>21</v>
      </c>
      <c r="E39" s="6" t="s">
        <v>24</v>
      </c>
      <c r="F39" s="6" t="s">
        <v>37</v>
      </c>
      <c r="G39" s="6">
        <v>2311</v>
      </c>
      <c r="H39" s="6" t="s">
        <v>39</v>
      </c>
      <c r="I39" s="6"/>
      <c r="J39" s="6"/>
      <c r="K39" s="6"/>
      <c r="L39" s="6"/>
      <c r="M39" s="21"/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ht="18.75" x14ac:dyDescent="0.25">
      <c r="A40" s="23">
        <v>3021</v>
      </c>
      <c r="B40" s="2" t="s">
        <v>25</v>
      </c>
      <c r="C40" s="6" t="s">
        <v>23</v>
      </c>
      <c r="D40" s="6" t="s">
        <v>21</v>
      </c>
      <c r="E40" s="6" t="s">
        <v>24</v>
      </c>
      <c r="F40" s="6" t="s">
        <v>37</v>
      </c>
      <c r="G40" s="6">
        <v>2311</v>
      </c>
      <c r="H40" s="6" t="s">
        <v>39</v>
      </c>
      <c r="I40" s="6"/>
      <c r="J40" s="6"/>
      <c r="K40" s="6"/>
      <c r="L40" s="6"/>
      <c r="M40" s="21"/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ht="18.75" x14ac:dyDescent="0.25">
      <c r="A41" s="23">
        <v>3022</v>
      </c>
      <c r="B41" s="2" t="s">
        <v>44</v>
      </c>
      <c r="C41" s="6" t="s">
        <v>20</v>
      </c>
      <c r="D41" s="6" t="s">
        <v>21</v>
      </c>
      <c r="E41" s="6" t="s">
        <v>15</v>
      </c>
      <c r="F41" s="6" t="s">
        <v>37</v>
      </c>
      <c r="G41" s="6">
        <v>2311</v>
      </c>
      <c r="H41" s="6" t="s">
        <v>39</v>
      </c>
      <c r="I41" s="6"/>
      <c r="J41" s="6"/>
      <c r="K41" s="6"/>
      <c r="L41" s="6"/>
      <c r="M41" s="21"/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ht="18.75" x14ac:dyDescent="0.25">
      <c r="A42" s="23">
        <v>3201</v>
      </c>
      <c r="B42" s="2" t="s">
        <v>17</v>
      </c>
      <c r="C42" s="6" t="s">
        <v>14</v>
      </c>
      <c r="D42" s="6" t="s">
        <v>15</v>
      </c>
      <c r="E42" s="6" t="s">
        <v>15</v>
      </c>
      <c r="F42" s="6" t="s">
        <v>37</v>
      </c>
      <c r="G42" s="6">
        <v>2311</v>
      </c>
      <c r="H42" s="6" t="s">
        <v>39</v>
      </c>
      <c r="I42" s="6"/>
      <c r="J42" s="6"/>
      <c r="K42" s="6"/>
      <c r="L42" s="6"/>
      <c r="M42" s="21"/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ht="18.75" x14ac:dyDescent="0.25">
      <c r="A43" s="23">
        <v>3205</v>
      </c>
      <c r="B43" s="2" t="s">
        <v>17</v>
      </c>
      <c r="C43" s="6" t="s">
        <v>14</v>
      </c>
      <c r="D43" s="6" t="s">
        <v>15</v>
      </c>
      <c r="E43" s="6" t="s">
        <v>15</v>
      </c>
      <c r="F43" s="6" t="s">
        <v>37</v>
      </c>
      <c r="G43" s="6">
        <v>2311</v>
      </c>
      <c r="H43" s="6" t="s">
        <v>39</v>
      </c>
      <c r="I43" s="6"/>
      <c r="J43" s="6"/>
      <c r="K43" s="6"/>
      <c r="L43" s="6"/>
      <c r="M43" s="21"/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ht="18.75" x14ac:dyDescent="0.25">
      <c r="A44" s="23">
        <v>3112</v>
      </c>
      <c r="B44" s="2" t="s">
        <v>30</v>
      </c>
      <c r="C44" s="6" t="s">
        <v>20</v>
      </c>
      <c r="D44" s="6" t="s">
        <v>21</v>
      </c>
      <c r="E44" s="6" t="s">
        <v>15</v>
      </c>
      <c r="F44" s="6" t="s">
        <v>37</v>
      </c>
      <c r="G44" s="6">
        <v>2311</v>
      </c>
      <c r="H44" s="6" t="s">
        <v>39</v>
      </c>
      <c r="I44" s="6"/>
      <c r="J44" s="6"/>
      <c r="K44" s="6"/>
      <c r="L44" s="6"/>
      <c r="M44" s="21"/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ht="18.75" x14ac:dyDescent="0.25">
      <c r="A45" s="23">
        <v>3113</v>
      </c>
      <c r="B45" s="2" t="s">
        <v>45</v>
      </c>
      <c r="C45" s="6" t="s">
        <v>14</v>
      </c>
      <c r="D45" s="6" t="s">
        <v>15</v>
      </c>
      <c r="E45" s="6" t="s">
        <v>15</v>
      </c>
      <c r="F45" s="6" t="s">
        <v>37</v>
      </c>
      <c r="G45" s="6">
        <v>2311</v>
      </c>
      <c r="H45" s="6" t="s">
        <v>39</v>
      </c>
      <c r="I45" s="6"/>
      <c r="J45" s="6"/>
      <c r="K45" s="6"/>
      <c r="L45" s="6"/>
      <c r="M45" s="21"/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ht="18.75" x14ac:dyDescent="0.25">
      <c r="A46" s="23">
        <v>3117</v>
      </c>
      <c r="B46" s="2" t="s">
        <v>17</v>
      </c>
      <c r="C46" s="6" t="s">
        <v>14</v>
      </c>
      <c r="D46" s="6" t="s">
        <v>15</v>
      </c>
      <c r="E46" s="6" t="s">
        <v>15</v>
      </c>
      <c r="F46" s="6" t="s">
        <v>37</v>
      </c>
      <c r="G46" s="6">
        <v>2311</v>
      </c>
      <c r="H46" s="6" t="s">
        <v>39</v>
      </c>
      <c r="I46" s="6"/>
      <c r="J46" s="6"/>
      <c r="K46" s="6"/>
      <c r="L46" s="6"/>
      <c r="M46" s="21"/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ht="18.75" x14ac:dyDescent="0.25">
      <c r="A47" s="23">
        <v>3118</v>
      </c>
      <c r="B47" s="2" t="s">
        <v>30</v>
      </c>
      <c r="C47" s="6" t="s">
        <v>20</v>
      </c>
      <c r="D47" s="6" t="s">
        <v>21</v>
      </c>
      <c r="E47" s="6" t="s">
        <v>15</v>
      </c>
      <c r="F47" s="6" t="s">
        <v>37</v>
      </c>
      <c r="G47" s="6">
        <v>2311</v>
      </c>
      <c r="H47" s="6" t="s">
        <v>39</v>
      </c>
      <c r="I47" s="6"/>
      <c r="J47" s="6"/>
      <c r="K47" s="6"/>
      <c r="L47" s="6"/>
      <c r="M47" s="21"/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ht="18.75" x14ac:dyDescent="0.25">
      <c r="A48" s="23">
        <v>3116</v>
      </c>
      <c r="B48" s="2" t="s">
        <v>25</v>
      </c>
      <c r="C48" s="6" t="s">
        <v>23</v>
      </c>
      <c r="D48" s="6" t="s">
        <v>21</v>
      </c>
      <c r="E48" s="6" t="s">
        <v>24</v>
      </c>
      <c r="F48" s="6" t="s">
        <v>37</v>
      </c>
      <c r="G48" s="6">
        <v>2311</v>
      </c>
      <c r="H48" s="6" t="s">
        <v>39</v>
      </c>
      <c r="I48" s="6"/>
      <c r="J48" s="6"/>
      <c r="K48" s="6"/>
      <c r="L48" s="6"/>
      <c r="M48" s="21"/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ht="18.75" x14ac:dyDescent="0.25">
      <c r="A49" s="23">
        <v>3119</v>
      </c>
      <c r="B49" s="2" t="s">
        <v>30</v>
      </c>
      <c r="C49" s="6" t="s">
        <v>20</v>
      </c>
      <c r="D49" s="6" t="s">
        <v>21</v>
      </c>
      <c r="E49" s="6" t="s">
        <v>15</v>
      </c>
      <c r="F49" s="6" t="s">
        <v>37</v>
      </c>
      <c r="G49" s="6">
        <v>2311</v>
      </c>
      <c r="H49" s="6" t="s">
        <v>39</v>
      </c>
      <c r="I49" s="6"/>
      <c r="J49" s="6"/>
      <c r="K49" s="6"/>
      <c r="L49" s="6"/>
      <c r="M49" s="21"/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ht="18.75" x14ac:dyDescent="0.25">
      <c r="A50" s="23">
        <v>3023</v>
      </c>
      <c r="B50" s="2" t="s">
        <v>68</v>
      </c>
      <c r="C50" s="6" t="s">
        <v>23</v>
      </c>
      <c r="D50" s="6" t="s">
        <v>21</v>
      </c>
      <c r="E50" s="6" t="s">
        <v>24</v>
      </c>
      <c r="F50" s="6" t="s">
        <v>37</v>
      </c>
      <c r="G50" s="6">
        <v>2311</v>
      </c>
      <c r="H50" s="6" t="s">
        <v>39</v>
      </c>
      <c r="I50" s="6"/>
      <c r="J50" s="6"/>
      <c r="K50" s="6"/>
      <c r="L50" s="6"/>
      <c r="M50" s="21"/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ht="18.75" x14ac:dyDescent="0.25">
      <c r="A51" s="23">
        <v>3129</v>
      </c>
      <c r="B51" s="2" t="s">
        <v>17</v>
      </c>
      <c r="C51" s="6" t="s">
        <v>14</v>
      </c>
      <c r="D51" s="6" t="s">
        <v>15</v>
      </c>
      <c r="E51" s="6" t="s">
        <v>15</v>
      </c>
      <c r="F51" s="6" t="s">
        <v>37</v>
      </c>
      <c r="G51" s="6">
        <v>2311</v>
      </c>
      <c r="H51" s="6" t="s">
        <v>39</v>
      </c>
      <c r="I51" s="6"/>
      <c r="J51" s="6"/>
      <c r="K51" s="6"/>
      <c r="L51" s="6"/>
      <c r="M51" s="21"/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ht="18.75" x14ac:dyDescent="0.25">
      <c r="A52" s="23">
        <v>3130</v>
      </c>
      <c r="B52" s="2" t="s">
        <v>13</v>
      </c>
      <c r="C52" s="6" t="s">
        <v>14</v>
      </c>
      <c r="D52" s="6" t="s">
        <v>15</v>
      </c>
      <c r="E52" s="6" t="s">
        <v>15</v>
      </c>
      <c r="F52" s="6" t="s">
        <v>37</v>
      </c>
      <c r="G52" s="6">
        <v>2311</v>
      </c>
      <c r="H52" s="6" t="s">
        <v>39</v>
      </c>
      <c r="I52" s="6"/>
      <c r="J52" s="6"/>
      <c r="K52" s="6"/>
      <c r="L52" s="6"/>
      <c r="M52" s="21"/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ht="18.75" x14ac:dyDescent="0.25">
      <c r="A53" s="23">
        <v>3210</v>
      </c>
      <c r="B53" s="2" t="s">
        <v>30</v>
      </c>
      <c r="C53" s="6" t="s">
        <v>20</v>
      </c>
      <c r="D53" s="6" t="s">
        <v>21</v>
      </c>
      <c r="E53" s="6" t="s">
        <v>15</v>
      </c>
      <c r="F53" s="6" t="s">
        <v>37</v>
      </c>
      <c r="G53" s="6">
        <v>2311</v>
      </c>
      <c r="H53" s="6" t="s">
        <v>39</v>
      </c>
      <c r="I53" s="6"/>
      <c r="J53" s="6"/>
      <c r="K53" s="6"/>
      <c r="L53" s="6"/>
      <c r="M53" s="6">
        <v>260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1</v>
      </c>
      <c r="W53" s="6">
        <v>0</v>
      </c>
    </row>
    <row r="54" spans="1:23" ht="18.75" x14ac:dyDescent="0.25">
      <c r="A54" s="23">
        <v>3225</v>
      </c>
      <c r="B54" s="2" t="s">
        <v>32</v>
      </c>
      <c r="C54" s="6" t="s">
        <v>23</v>
      </c>
      <c r="D54" s="6" t="s">
        <v>21</v>
      </c>
      <c r="E54" s="6" t="s">
        <v>24</v>
      </c>
      <c r="F54" s="6" t="s">
        <v>37</v>
      </c>
      <c r="G54" s="6">
        <v>2311</v>
      </c>
      <c r="H54" s="6" t="s">
        <v>39</v>
      </c>
      <c r="I54" s="6"/>
      <c r="J54" s="6"/>
      <c r="K54" s="6"/>
      <c r="L54" s="6"/>
      <c r="M54" s="21"/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ht="18.75" x14ac:dyDescent="0.25">
      <c r="A55" s="23">
        <v>3227</v>
      </c>
      <c r="B55" s="2" t="s">
        <v>67</v>
      </c>
      <c r="C55" s="6" t="s">
        <v>27</v>
      </c>
      <c r="D55" s="6" t="s">
        <v>15</v>
      </c>
      <c r="E55" s="6" t="s">
        <v>24</v>
      </c>
      <c r="F55" s="6" t="s">
        <v>37</v>
      </c>
      <c r="G55" s="6">
        <v>2311</v>
      </c>
      <c r="H55" s="6" t="s">
        <v>39</v>
      </c>
      <c r="I55" s="6"/>
      <c r="J55" s="6"/>
      <c r="K55" s="6"/>
      <c r="L55" s="6"/>
      <c r="M55" s="21"/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ht="18.75" x14ac:dyDescent="0.25">
      <c r="A56" s="23">
        <v>3030</v>
      </c>
      <c r="B56" s="2" t="s">
        <v>66</v>
      </c>
      <c r="C56" s="6" t="s">
        <v>14</v>
      </c>
      <c r="D56" s="6" t="s">
        <v>15</v>
      </c>
      <c r="E56" s="6" t="s">
        <v>15</v>
      </c>
      <c r="F56" s="6" t="s">
        <v>37</v>
      </c>
      <c r="G56" s="6">
        <v>2311</v>
      </c>
      <c r="H56" s="6" t="s">
        <v>39</v>
      </c>
      <c r="I56" s="6"/>
      <c r="J56" s="6"/>
      <c r="K56" s="6"/>
      <c r="L56" s="6"/>
      <c r="M56" s="21"/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ht="18.75" x14ac:dyDescent="0.25">
      <c r="A57" s="23">
        <v>3132</v>
      </c>
      <c r="B57" s="2" t="s">
        <v>26</v>
      </c>
      <c r="C57" s="6" t="s">
        <v>27</v>
      </c>
      <c r="D57" s="6" t="s">
        <v>15</v>
      </c>
      <c r="E57" s="6" t="s">
        <v>24</v>
      </c>
      <c r="F57" s="6" t="s">
        <v>37</v>
      </c>
      <c r="G57" s="6">
        <v>2311</v>
      </c>
      <c r="H57" s="6" t="s">
        <v>39</v>
      </c>
      <c r="I57" s="6"/>
      <c r="J57" s="6"/>
      <c r="K57" s="6"/>
      <c r="L57" s="6"/>
      <c r="M57" s="21"/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ht="18.75" x14ac:dyDescent="0.25">
      <c r="A58" s="23">
        <v>3211</v>
      </c>
      <c r="B58" s="2" t="s">
        <v>26</v>
      </c>
      <c r="C58" s="6" t="s">
        <v>27</v>
      </c>
      <c r="D58" s="6" t="s">
        <v>15</v>
      </c>
      <c r="E58" s="6" t="s">
        <v>24</v>
      </c>
      <c r="F58" s="6" t="s">
        <v>37</v>
      </c>
      <c r="G58" s="6">
        <v>2311</v>
      </c>
      <c r="H58" s="6" t="s">
        <v>39</v>
      </c>
      <c r="I58" s="6"/>
      <c r="J58" s="6"/>
      <c r="K58" s="6"/>
      <c r="L58" s="6"/>
      <c r="M58" s="21"/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ht="18.75" x14ac:dyDescent="0.25">
      <c r="A59" s="23">
        <v>3150</v>
      </c>
      <c r="B59" s="2" t="s">
        <v>51</v>
      </c>
      <c r="C59" s="6" t="s">
        <v>20</v>
      </c>
      <c r="D59" s="6" t="s">
        <v>21</v>
      </c>
      <c r="E59" s="6" t="s">
        <v>15</v>
      </c>
      <c r="F59" s="6" t="s">
        <v>37</v>
      </c>
      <c r="G59" s="6">
        <v>2311</v>
      </c>
      <c r="H59" s="6" t="s">
        <v>39</v>
      </c>
      <c r="I59" s="6"/>
      <c r="J59" s="6"/>
      <c r="K59" s="6"/>
      <c r="L59" s="6"/>
      <c r="M59" s="21"/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ht="18.75" x14ac:dyDescent="0.25">
      <c r="A60" s="23">
        <v>3231</v>
      </c>
      <c r="B60" s="2" t="s">
        <v>67</v>
      </c>
      <c r="C60" s="6" t="s">
        <v>27</v>
      </c>
      <c r="D60" s="6" t="s">
        <v>15</v>
      </c>
      <c r="E60" s="6" t="s">
        <v>24</v>
      </c>
      <c r="F60" s="6" t="s">
        <v>37</v>
      </c>
      <c r="G60" s="6">
        <v>2311</v>
      </c>
      <c r="H60" s="6" t="s">
        <v>39</v>
      </c>
      <c r="I60" s="6"/>
      <c r="J60" s="6"/>
      <c r="K60" s="6"/>
      <c r="L60" s="6"/>
      <c r="M60" s="21"/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ht="18.75" x14ac:dyDescent="0.25">
      <c r="A61" s="23">
        <v>3233</v>
      </c>
      <c r="B61" s="2" t="s">
        <v>67</v>
      </c>
      <c r="C61" s="6" t="s">
        <v>27</v>
      </c>
      <c r="D61" s="6" t="s">
        <v>15</v>
      </c>
      <c r="E61" s="6" t="s">
        <v>24</v>
      </c>
      <c r="F61" s="6" t="s">
        <v>37</v>
      </c>
      <c r="G61" s="6">
        <v>2311</v>
      </c>
      <c r="H61" s="6" t="s">
        <v>39</v>
      </c>
      <c r="I61" s="6"/>
      <c r="J61" s="6"/>
      <c r="K61" s="6"/>
      <c r="L61" s="6"/>
      <c r="M61" s="21"/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ht="18.75" x14ac:dyDescent="0.25">
      <c r="A62" s="25">
        <v>3158</v>
      </c>
      <c r="B62" s="2" t="s">
        <v>51</v>
      </c>
      <c r="C62" s="6" t="s">
        <v>20</v>
      </c>
      <c r="D62" s="6" t="s">
        <v>21</v>
      </c>
      <c r="E62" s="6" t="s">
        <v>15</v>
      </c>
      <c r="F62" s="6" t="s">
        <v>37</v>
      </c>
      <c r="G62" s="6">
        <v>2311</v>
      </c>
      <c r="H62" s="6" t="s">
        <v>39</v>
      </c>
      <c r="I62" s="6"/>
      <c r="J62" s="6"/>
      <c r="K62" s="6"/>
      <c r="L62" s="6"/>
      <c r="M62" s="21"/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ht="18.75" x14ac:dyDescent="0.25">
      <c r="A63" s="25">
        <v>3216</v>
      </c>
      <c r="B63" s="2" t="s">
        <v>25</v>
      </c>
      <c r="C63" s="6" t="s">
        <v>23</v>
      </c>
      <c r="D63" s="6" t="s">
        <v>21</v>
      </c>
      <c r="E63" s="6" t="s">
        <v>24</v>
      </c>
      <c r="F63" s="6" t="s">
        <v>37</v>
      </c>
      <c r="G63" s="6">
        <v>2311</v>
      </c>
      <c r="H63" s="6" t="s">
        <v>39</v>
      </c>
      <c r="I63" s="6"/>
      <c r="J63" s="6"/>
      <c r="K63" s="6"/>
      <c r="L63" s="6"/>
      <c r="M63" s="21"/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ht="18.75" x14ac:dyDescent="0.25">
      <c r="A64" s="25">
        <v>3215</v>
      </c>
      <c r="B64" s="2" t="s">
        <v>45</v>
      </c>
      <c r="C64" s="6" t="s">
        <v>14</v>
      </c>
      <c r="D64" s="6" t="s">
        <v>15</v>
      </c>
      <c r="E64" s="6" t="s">
        <v>15</v>
      </c>
      <c r="F64" s="6" t="s">
        <v>37</v>
      </c>
      <c r="G64" s="6">
        <v>2311</v>
      </c>
      <c r="H64" s="6" t="s">
        <v>39</v>
      </c>
      <c r="I64" s="6"/>
      <c r="J64" s="6"/>
      <c r="K64" s="6"/>
      <c r="L64" s="6"/>
      <c r="M64" s="21"/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ht="18.75" x14ac:dyDescent="0.25">
      <c r="A65" s="25">
        <v>3217</v>
      </c>
      <c r="B65" s="2" t="s">
        <v>13</v>
      </c>
      <c r="C65" s="6" t="s">
        <v>14</v>
      </c>
      <c r="D65" s="6" t="s">
        <v>15</v>
      </c>
      <c r="E65" s="6" t="s">
        <v>15</v>
      </c>
      <c r="F65" s="6" t="s">
        <v>37</v>
      </c>
      <c r="G65" s="6">
        <v>2311</v>
      </c>
      <c r="H65" s="6" t="s">
        <v>39</v>
      </c>
      <c r="I65" s="6"/>
      <c r="J65" s="6"/>
      <c r="K65" s="6"/>
      <c r="L65" s="6"/>
      <c r="M65" s="21"/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ht="18.75" x14ac:dyDescent="0.25">
      <c r="A66" s="25">
        <v>3219</v>
      </c>
      <c r="B66" s="2" t="s">
        <v>13</v>
      </c>
      <c r="C66" s="6" t="s">
        <v>14</v>
      </c>
      <c r="D66" s="6" t="s">
        <v>15</v>
      </c>
      <c r="E66" s="6" t="s">
        <v>15</v>
      </c>
      <c r="F66" s="6" t="s">
        <v>37</v>
      </c>
      <c r="G66" s="6">
        <v>2311</v>
      </c>
      <c r="H66" s="6" t="s">
        <v>39</v>
      </c>
      <c r="I66" s="6"/>
      <c r="J66" s="6"/>
      <c r="K66" s="6"/>
      <c r="L66" s="6"/>
      <c r="M66" s="21"/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ht="18.75" x14ac:dyDescent="0.25">
      <c r="A67" s="25">
        <v>3220</v>
      </c>
      <c r="B67" s="2" t="s">
        <v>13</v>
      </c>
      <c r="C67" s="6" t="s">
        <v>14</v>
      </c>
      <c r="D67" s="6" t="s">
        <v>15</v>
      </c>
      <c r="E67" s="6" t="s">
        <v>15</v>
      </c>
      <c r="F67" s="6" t="s">
        <v>37</v>
      </c>
      <c r="G67" s="6">
        <v>2311</v>
      </c>
      <c r="H67" s="6" t="s">
        <v>39</v>
      </c>
      <c r="I67" s="6"/>
      <c r="J67" s="6"/>
      <c r="K67" s="6"/>
      <c r="L67" s="6"/>
      <c r="M67" s="21"/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ht="18.75" x14ac:dyDescent="0.25">
      <c r="A68" s="25">
        <v>3221</v>
      </c>
      <c r="B68" s="2" t="s">
        <v>44</v>
      </c>
      <c r="C68" s="6" t="s">
        <v>20</v>
      </c>
      <c r="D68" s="6" t="s">
        <v>21</v>
      </c>
      <c r="E68" s="6" t="s">
        <v>15</v>
      </c>
      <c r="F68" s="6" t="s">
        <v>37</v>
      </c>
      <c r="G68" s="6">
        <v>2311</v>
      </c>
      <c r="H68" s="6" t="s">
        <v>39</v>
      </c>
      <c r="I68" s="6"/>
      <c r="J68" s="6"/>
      <c r="K68" s="6"/>
      <c r="L68" s="6"/>
      <c r="M68" s="21"/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ht="18.75" x14ac:dyDescent="0.25">
      <c r="A69" s="25">
        <v>3143</v>
      </c>
      <c r="B69" s="2" t="s">
        <v>30</v>
      </c>
      <c r="C69" s="6" t="s">
        <v>20</v>
      </c>
      <c r="D69" s="6" t="s">
        <v>21</v>
      </c>
      <c r="E69" s="6" t="s">
        <v>15</v>
      </c>
      <c r="F69" s="6" t="s">
        <v>37</v>
      </c>
      <c r="G69" s="6">
        <v>2311</v>
      </c>
      <c r="H69" s="6" t="s">
        <v>39</v>
      </c>
      <c r="I69" s="6"/>
      <c r="J69" s="6"/>
      <c r="K69" s="6"/>
      <c r="L69" s="6"/>
      <c r="M69" s="21"/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ht="18.75" x14ac:dyDescent="0.25">
      <c r="A70" s="25">
        <v>3144</v>
      </c>
      <c r="B70" s="2" t="s">
        <v>46</v>
      </c>
      <c r="C70" s="6" t="s">
        <v>23</v>
      </c>
      <c r="D70" s="6" t="s">
        <v>21</v>
      </c>
      <c r="E70" s="6" t="s">
        <v>24</v>
      </c>
      <c r="F70" s="6" t="s">
        <v>37</v>
      </c>
      <c r="G70" s="6">
        <v>2311</v>
      </c>
      <c r="H70" s="6" t="s">
        <v>39</v>
      </c>
      <c r="I70" s="6"/>
      <c r="J70" s="6"/>
      <c r="K70" s="6"/>
      <c r="L70" s="6"/>
      <c r="M70" s="21"/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ht="18.75" x14ac:dyDescent="0.25">
      <c r="A71" s="25">
        <v>3165</v>
      </c>
      <c r="B71" s="2" t="s">
        <v>34</v>
      </c>
      <c r="C71" s="6" t="s">
        <v>14</v>
      </c>
      <c r="D71" s="6" t="s">
        <v>15</v>
      </c>
      <c r="E71" s="6" t="s">
        <v>15</v>
      </c>
      <c r="F71" s="6" t="s">
        <v>37</v>
      </c>
      <c r="G71" s="6">
        <v>2311</v>
      </c>
      <c r="H71" s="6"/>
      <c r="I71" s="6"/>
      <c r="J71" s="6"/>
      <c r="K71" s="6"/>
      <c r="L71" s="6"/>
      <c r="M71" s="21"/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ht="18.75" x14ac:dyDescent="0.25">
      <c r="A72" s="25">
        <v>3239</v>
      </c>
      <c r="B72" s="2" t="s">
        <v>67</v>
      </c>
      <c r="C72" s="6" t="s">
        <v>27</v>
      </c>
      <c r="D72" s="6" t="s">
        <v>15</v>
      </c>
      <c r="E72" s="6" t="s">
        <v>24</v>
      </c>
      <c r="F72" s="6" t="s">
        <v>37</v>
      </c>
      <c r="G72" s="6">
        <v>2311</v>
      </c>
      <c r="H72" s="6"/>
      <c r="I72" s="6"/>
      <c r="J72" s="6"/>
      <c r="K72" s="6"/>
      <c r="L72" s="6"/>
      <c r="M72" s="21"/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ht="18.75" x14ac:dyDescent="0.25">
      <c r="A73" s="25">
        <v>3240</v>
      </c>
      <c r="B73" s="2" t="s">
        <v>67</v>
      </c>
      <c r="C73" s="6" t="s">
        <v>27</v>
      </c>
      <c r="D73" s="6" t="s">
        <v>15</v>
      </c>
      <c r="E73" s="6" t="s">
        <v>24</v>
      </c>
      <c r="F73" s="6" t="s">
        <v>37</v>
      </c>
      <c r="G73" s="6">
        <v>2311</v>
      </c>
      <c r="H73" s="6"/>
      <c r="I73" s="6"/>
      <c r="J73" s="6"/>
      <c r="K73" s="6"/>
      <c r="L73" s="6"/>
      <c r="M73" s="21"/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ht="18.75" x14ac:dyDescent="0.25">
      <c r="A74" s="25">
        <v>3169</v>
      </c>
      <c r="B74" s="2" t="s">
        <v>34</v>
      </c>
      <c r="C74" s="6" t="s">
        <v>14</v>
      </c>
      <c r="D74" s="6" t="s">
        <v>15</v>
      </c>
      <c r="E74" s="6" t="s">
        <v>15</v>
      </c>
      <c r="F74" s="6" t="s">
        <v>37</v>
      </c>
      <c r="G74" s="6">
        <v>2311</v>
      </c>
      <c r="H74" s="6"/>
      <c r="I74" s="6"/>
      <c r="J74" s="6"/>
      <c r="K74" s="6"/>
      <c r="L74" s="6"/>
      <c r="M74" s="21"/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ht="18.75" x14ac:dyDescent="0.25">
      <c r="A75" s="25">
        <v>3241</v>
      </c>
      <c r="B75" s="2" t="s">
        <v>67</v>
      </c>
      <c r="C75" s="6" t="s">
        <v>27</v>
      </c>
      <c r="D75" s="6" t="s">
        <v>15</v>
      </c>
      <c r="E75" s="6" t="s">
        <v>24</v>
      </c>
      <c r="F75" s="6" t="s">
        <v>37</v>
      </c>
      <c r="G75" s="6">
        <v>2311</v>
      </c>
      <c r="H75" s="6"/>
      <c r="I75" s="6"/>
      <c r="J75" s="6"/>
      <c r="K75" s="6"/>
      <c r="L75" s="6"/>
      <c r="M75" s="21"/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ht="18.75" x14ac:dyDescent="0.25">
      <c r="A76" s="25">
        <v>3171</v>
      </c>
      <c r="B76" s="2" t="s">
        <v>34</v>
      </c>
      <c r="C76" s="6" t="s">
        <v>14</v>
      </c>
      <c r="D76" s="6" t="s">
        <v>15</v>
      </c>
      <c r="E76" s="6" t="s">
        <v>15</v>
      </c>
      <c r="F76" s="6" t="s">
        <v>37</v>
      </c>
      <c r="G76" s="6">
        <v>2311</v>
      </c>
      <c r="H76" s="6"/>
      <c r="I76" s="6"/>
      <c r="J76" s="6"/>
      <c r="K76" s="6"/>
      <c r="L76" s="6"/>
      <c r="M76" s="21"/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ht="18.75" x14ac:dyDescent="0.25">
      <c r="A77" s="25">
        <v>3172</v>
      </c>
      <c r="B77" s="2" t="s">
        <v>34</v>
      </c>
      <c r="C77" s="6" t="s">
        <v>14</v>
      </c>
      <c r="D77" s="6" t="s">
        <v>15</v>
      </c>
      <c r="E77" s="6" t="s">
        <v>15</v>
      </c>
      <c r="F77" s="6" t="s">
        <v>37</v>
      </c>
      <c r="G77" s="6">
        <v>2311</v>
      </c>
      <c r="H77" s="6"/>
      <c r="I77" s="6"/>
      <c r="J77" s="6"/>
      <c r="K77" s="6"/>
      <c r="L77" s="6"/>
      <c r="M77" s="21"/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ht="18.75" x14ac:dyDescent="0.25">
      <c r="A78" s="25">
        <v>3034</v>
      </c>
      <c r="B78" s="2" t="s">
        <v>66</v>
      </c>
      <c r="C78" s="6" t="s">
        <v>14</v>
      </c>
      <c r="D78" s="6" t="s">
        <v>15</v>
      </c>
      <c r="E78" s="6" t="s">
        <v>15</v>
      </c>
      <c r="F78" s="6" t="s">
        <v>37</v>
      </c>
      <c r="G78" s="6">
        <v>2311</v>
      </c>
      <c r="H78" s="6"/>
      <c r="I78" s="6"/>
      <c r="J78" s="6"/>
      <c r="K78" s="6"/>
      <c r="L78" s="6"/>
      <c r="M78" s="21"/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ht="18.75" x14ac:dyDescent="0.25">
      <c r="A79" s="25">
        <v>3175</v>
      </c>
      <c r="B79" s="2" t="s">
        <v>34</v>
      </c>
      <c r="C79" s="6" t="s">
        <v>14</v>
      </c>
      <c r="D79" s="6" t="s">
        <v>15</v>
      </c>
      <c r="E79" s="6" t="s">
        <v>15</v>
      </c>
      <c r="F79" s="6" t="s">
        <v>37</v>
      </c>
      <c r="G79" s="6">
        <v>2311</v>
      </c>
      <c r="H79" s="6"/>
      <c r="I79" s="6"/>
      <c r="J79" s="6"/>
      <c r="K79" s="6"/>
      <c r="L79" s="6"/>
      <c r="M79" s="21"/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ht="15.75" x14ac:dyDescent="0.25">
      <c r="A80" s="26">
        <v>2502</v>
      </c>
      <c r="B80" s="2" t="s">
        <v>30</v>
      </c>
      <c r="C80" s="6" t="s">
        <v>20</v>
      </c>
      <c r="D80" s="6" t="s">
        <v>21</v>
      </c>
      <c r="E80" s="6" t="s">
        <v>15</v>
      </c>
      <c r="F80" s="6" t="s">
        <v>16</v>
      </c>
      <c r="G80" s="6">
        <v>2304</v>
      </c>
      <c r="H80" s="21"/>
      <c r="I80" s="21"/>
      <c r="J80" s="21"/>
      <c r="K80" s="21"/>
      <c r="L80" s="21"/>
      <c r="M80" s="21"/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ht="15.75" x14ac:dyDescent="0.25">
      <c r="A81" s="26">
        <v>2505</v>
      </c>
      <c r="B81" s="2" t="s">
        <v>13</v>
      </c>
      <c r="C81" s="6" t="s">
        <v>14</v>
      </c>
      <c r="D81" s="6" t="s">
        <v>15</v>
      </c>
      <c r="E81" s="6" t="s">
        <v>15</v>
      </c>
      <c r="F81" s="6" t="s">
        <v>16</v>
      </c>
      <c r="G81" s="6">
        <v>2304</v>
      </c>
      <c r="H81" s="21"/>
      <c r="I81" s="21"/>
      <c r="J81" s="21"/>
      <c r="K81" s="21"/>
      <c r="L81" s="21"/>
      <c r="M81" s="21"/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ht="15.75" x14ac:dyDescent="0.25">
      <c r="A82" s="26">
        <v>2510</v>
      </c>
      <c r="B82" s="2" t="s">
        <v>17</v>
      </c>
      <c r="C82" s="6" t="s">
        <v>14</v>
      </c>
      <c r="D82" s="6" t="s">
        <v>15</v>
      </c>
      <c r="E82" s="6" t="s">
        <v>15</v>
      </c>
      <c r="F82" s="6" t="s">
        <v>16</v>
      </c>
      <c r="G82" s="6">
        <v>2304</v>
      </c>
      <c r="H82" s="21"/>
      <c r="I82" s="21"/>
      <c r="J82" s="21"/>
      <c r="K82" s="21"/>
      <c r="L82" s="21"/>
      <c r="M82" s="21"/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ht="15.75" x14ac:dyDescent="0.25">
      <c r="A83" s="26">
        <v>2514</v>
      </c>
      <c r="B83" s="2" t="s">
        <v>19</v>
      </c>
      <c r="C83" s="6" t="s">
        <v>20</v>
      </c>
      <c r="D83" s="6" t="s">
        <v>21</v>
      </c>
      <c r="E83" s="6" t="s">
        <v>15</v>
      </c>
      <c r="F83" s="6" t="s">
        <v>16</v>
      </c>
      <c r="G83" s="6">
        <v>2304</v>
      </c>
      <c r="H83" s="21"/>
      <c r="I83" s="21"/>
      <c r="J83" s="21"/>
      <c r="K83" s="6"/>
      <c r="L83" s="6"/>
      <c r="M83" s="21"/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ht="15.75" x14ac:dyDescent="0.25">
      <c r="A84" s="26">
        <v>2517</v>
      </c>
      <c r="B84" s="2" t="s">
        <v>18</v>
      </c>
      <c r="C84" s="6" t="s">
        <v>14</v>
      </c>
      <c r="D84" s="6" t="s">
        <v>15</v>
      </c>
      <c r="E84" s="6" t="s">
        <v>15</v>
      </c>
      <c r="F84" s="6" t="s">
        <v>16</v>
      </c>
      <c r="G84" s="6">
        <v>2304</v>
      </c>
      <c r="H84" s="21"/>
      <c r="I84" s="21"/>
      <c r="J84" s="21"/>
      <c r="K84" s="6"/>
      <c r="L84" s="6"/>
      <c r="M84" s="21"/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ht="15.75" x14ac:dyDescent="0.25">
      <c r="A85" s="26">
        <v>2520</v>
      </c>
      <c r="B85" s="2" t="s">
        <v>19</v>
      </c>
      <c r="C85" s="6" t="s">
        <v>20</v>
      </c>
      <c r="D85" s="6" t="s">
        <v>21</v>
      </c>
      <c r="E85" s="6" t="s">
        <v>15</v>
      </c>
      <c r="F85" s="6" t="s">
        <v>16</v>
      </c>
      <c r="G85" s="6">
        <v>2304</v>
      </c>
      <c r="H85" s="21"/>
      <c r="I85" s="21"/>
      <c r="J85" s="21"/>
      <c r="K85" s="6"/>
      <c r="L85" s="6"/>
      <c r="M85" s="21"/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ht="15.75" x14ac:dyDescent="0.25">
      <c r="A86" s="26">
        <v>2523</v>
      </c>
      <c r="B86" s="2" t="s">
        <v>17</v>
      </c>
      <c r="C86" s="6" t="s">
        <v>14</v>
      </c>
      <c r="D86" s="6" t="s">
        <v>15</v>
      </c>
      <c r="E86" s="6" t="s">
        <v>15</v>
      </c>
      <c r="F86" s="6" t="s">
        <v>16</v>
      </c>
      <c r="G86" s="6">
        <v>2304</v>
      </c>
      <c r="H86" s="21"/>
      <c r="I86" s="21"/>
      <c r="J86" s="21"/>
      <c r="K86" s="6"/>
      <c r="L86" s="6"/>
      <c r="M86" s="21"/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ht="15.75" x14ac:dyDescent="0.25">
      <c r="A87" s="26">
        <v>2526</v>
      </c>
      <c r="B87" s="2" t="s">
        <v>22</v>
      </c>
      <c r="C87" s="6" t="s">
        <v>23</v>
      </c>
      <c r="D87" s="6" t="s">
        <v>21</v>
      </c>
      <c r="E87" s="6" t="s">
        <v>24</v>
      </c>
      <c r="F87" s="6" t="s">
        <v>16</v>
      </c>
      <c r="G87" s="6">
        <v>2304</v>
      </c>
      <c r="H87" s="21"/>
      <c r="I87" s="21"/>
      <c r="J87" s="21"/>
      <c r="K87" s="6"/>
      <c r="L87" s="6"/>
      <c r="M87" s="21"/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ht="15.75" x14ac:dyDescent="0.25">
      <c r="A88" s="26">
        <v>2534</v>
      </c>
      <c r="B88" s="2" t="s">
        <v>45</v>
      </c>
      <c r="C88" s="6" t="s">
        <v>14</v>
      </c>
      <c r="D88" s="6" t="s">
        <v>15</v>
      </c>
      <c r="E88" s="6" t="s">
        <v>15</v>
      </c>
      <c r="F88" s="6" t="s">
        <v>16</v>
      </c>
      <c r="G88" s="6">
        <v>2304</v>
      </c>
      <c r="H88" s="21"/>
      <c r="I88" s="21"/>
      <c r="J88" s="21"/>
      <c r="K88" s="6"/>
      <c r="L88" s="6"/>
      <c r="M88" s="21"/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ht="15.75" x14ac:dyDescent="0.25">
      <c r="A89" s="26">
        <v>2537</v>
      </c>
      <c r="B89" s="2" t="s">
        <v>22</v>
      </c>
      <c r="C89" s="6" t="s">
        <v>23</v>
      </c>
      <c r="D89" s="6" t="s">
        <v>21</v>
      </c>
      <c r="E89" s="6" t="s">
        <v>24</v>
      </c>
      <c r="F89" s="6" t="s">
        <v>16</v>
      </c>
      <c r="G89" s="6">
        <v>2304</v>
      </c>
      <c r="H89" s="21"/>
      <c r="I89" s="21"/>
      <c r="J89" s="21"/>
      <c r="K89" s="6"/>
      <c r="L89" s="6"/>
      <c r="M89" s="21"/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ht="15.75" x14ac:dyDescent="0.25">
      <c r="A90" s="26">
        <v>2548</v>
      </c>
      <c r="B90" s="2" t="s">
        <v>13</v>
      </c>
      <c r="C90" s="6" t="s">
        <v>14</v>
      </c>
      <c r="D90" s="6" t="s">
        <v>15</v>
      </c>
      <c r="E90" s="6" t="s">
        <v>15</v>
      </c>
      <c r="F90" s="6" t="s">
        <v>16</v>
      </c>
      <c r="G90" s="6">
        <v>2304</v>
      </c>
      <c r="H90" s="21"/>
      <c r="I90" s="21"/>
      <c r="J90" s="21"/>
      <c r="K90" s="6"/>
      <c r="L90" s="6"/>
      <c r="M90" s="21"/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ht="15.75" x14ac:dyDescent="0.25">
      <c r="A91" s="26">
        <v>2553</v>
      </c>
      <c r="B91" s="2" t="s">
        <v>19</v>
      </c>
      <c r="C91" s="6" t="s">
        <v>20</v>
      </c>
      <c r="D91" s="6" t="s">
        <v>21</v>
      </c>
      <c r="E91" s="6" t="s">
        <v>15</v>
      </c>
      <c r="F91" s="6" t="s">
        <v>16</v>
      </c>
      <c r="G91" s="6">
        <v>2304</v>
      </c>
      <c r="H91" s="21"/>
      <c r="I91" s="21"/>
      <c r="J91" s="21"/>
      <c r="K91" s="6"/>
      <c r="L91" s="6"/>
      <c r="M91" s="21"/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ht="15.75" x14ac:dyDescent="0.25">
      <c r="A92" s="26">
        <v>2554</v>
      </c>
      <c r="B92" s="2" t="s">
        <v>25</v>
      </c>
      <c r="C92" s="6" t="s">
        <v>23</v>
      </c>
      <c r="D92" s="6" t="s">
        <v>21</v>
      </c>
      <c r="E92" s="6" t="s">
        <v>24</v>
      </c>
      <c r="F92" s="6" t="s">
        <v>16</v>
      </c>
      <c r="G92" s="6">
        <v>2304</v>
      </c>
      <c r="H92" s="21"/>
      <c r="I92" s="21"/>
      <c r="J92" s="21"/>
      <c r="K92" s="6"/>
      <c r="L92" s="6"/>
      <c r="M92" s="21"/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ht="15.75" x14ac:dyDescent="0.25">
      <c r="A93" s="26">
        <v>2555</v>
      </c>
      <c r="B93" s="2" t="s">
        <v>26</v>
      </c>
      <c r="C93" s="6" t="s">
        <v>27</v>
      </c>
      <c r="D93" s="6" t="s">
        <v>15</v>
      </c>
      <c r="E93" s="6" t="s">
        <v>24</v>
      </c>
      <c r="F93" s="6" t="s">
        <v>16</v>
      </c>
      <c r="G93" s="6">
        <v>2304</v>
      </c>
      <c r="H93" s="21"/>
      <c r="I93" s="21"/>
      <c r="J93" s="21"/>
      <c r="K93" s="6"/>
      <c r="L93" s="6"/>
      <c r="M93" s="21"/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ht="15.75" x14ac:dyDescent="0.25">
      <c r="A94" s="26">
        <v>2557</v>
      </c>
      <c r="B94" s="2" t="s">
        <v>25</v>
      </c>
      <c r="C94" s="6" t="s">
        <v>23</v>
      </c>
      <c r="D94" s="6" t="s">
        <v>21</v>
      </c>
      <c r="E94" s="6" t="s">
        <v>24</v>
      </c>
      <c r="F94" s="6" t="s">
        <v>16</v>
      </c>
      <c r="G94" s="6">
        <v>2304</v>
      </c>
      <c r="H94" s="21"/>
      <c r="I94" s="21"/>
      <c r="J94" s="21"/>
      <c r="K94" s="6"/>
      <c r="L94" s="6"/>
      <c r="M94" s="21"/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ht="15.75" x14ac:dyDescent="0.25">
      <c r="A95" s="26">
        <v>2558</v>
      </c>
      <c r="B95" s="2" t="s">
        <v>18</v>
      </c>
      <c r="C95" s="6" t="s">
        <v>14</v>
      </c>
      <c r="D95" s="6" t="s">
        <v>15</v>
      </c>
      <c r="E95" s="6" t="s">
        <v>15</v>
      </c>
      <c r="F95" s="6" t="s">
        <v>16</v>
      </c>
      <c r="G95" s="6">
        <v>2304</v>
      </c>
      <c r="H95" s="21"/>
      <c r="I95" s="21"/>
      <c r="J95" s="21"/>
      <c r="K95" s="6"/>
      <c r="L95" s="6"/>
      <c r="M95" s="21"/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ht="15.75" x14ac:dyDescent="0.25">
      <c r="A96" s="26">
        <v>2561</v>
      </c>
      <c r="B96" s="2" t="s">
        <v>29</v>
      </c>
      <c r="C96" s="6" t="s">
        <v>27</v>
      </c>
      <c r="D96" s="6" t="s">
        <v>15</v>
      </c>
      <c r="E96" s="6" t="s">
        <v>24</v>
      </c>
      <c r="F96" s="6" t="s">
        <v>16</v>
      </c>
      <c r="G96" s="6">
        <v>2304</v>
      </c>
      <c r="H96" s="21"/>
      <c r="I96" s="21"/>
      <c r="J96" s="21"/>
      <c r="K96" s="6"/>
      <c r="L96" s="6"/>
      <c r="M96" s="21"/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ht="15.75" x14ac:dyDescent="0.25">
      <c r="A97" s="26">
        <v>2562</v>
      </c>
      <c r="B97" s="2" t="s">
        <v>45</v>
      </c>
      <c r="C97" s="6" t="s">
        <v>14</v>
      </c>
      <c r="D97" s="6" t="s">
        <v>15</v>
      </c>
      <c r="E97" s="6" t="s">
        <v>15</v>
      </c>
      <c r="F97" s="6" t="s">
        <v>16</v>
      </c>
      <c r="G97" s="6">
        <v>2304</v>
      </c>
      <c r="H97" s="21"/>
      <c r="I97" s="21"/>
      <c r="J97" s="21"/>
      <c r="K97" s="6"/>
      <c r="L97" s="6"/>
      <c r="M97" s="21"/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ht="15.75" x14ac:dyDescent="0.25">
      <c r="A98" s="26">
        <v>2564</v>
      </c>
      <c r="B98" s="2" t="s">
        <v>28</v>
      </c>
      <c r="C98" s="6" t="s">
        <v>20</v>
      </c>
      <c r="D98" s="6" t="s">
        <v>21</v>
      </c>
      <c r="E98" s="6" t="s">
        <v>15</v>
      </c>
      <c r="F98" s="6" t="s">
        <v>16</v>
      </c>
      <c r="G98" s="6">
        <v>2304</v>
      </c>
      <c r="H98" s="21"/>
      <c r="I98" s="21"/>
      <c r="J98" s="21"/>
      <c r="K98" s="6"/>
      <c r="L98" s="6"/>
      <c r="M98" s="21"/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ht="15.75" x14ac:dyDescent="0.25">
      <c r="A99" s="26">
        <v>2565</v>
      </c>
      <c r="B99" s="2" t="s">
        <v>29</v>
      </c>
      <c r="C99" s="6" t="s">
        <v>27</v>
      </c>
      <c r="D99" s="6" t="s">
        <v>15</v>
      </c>
      <c r="E99" s="6" t="s">
        <v>24</v>
      </c>
      <c r="F99" s="6" t="s">
        <v>16</v>
      </c>
      <c r="G99" s="6">
        <v>2304</v>
      </c>
      <c r="H99" s="21"/>
      <c r="I99" s="21"/>
      <c r="J99" s="21"/>
      <c r="K99" s="6"/>
      <c r="L99" s="6"/>
      <c r="M99" s="21"/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ht="15.75" x14ac:dyDescent="0.25">
      <c r="A100" s="26">
        <v>2566</v>
      </c>
      <c r="B100" s="2" t="s">
        <v>30</v>
      </c>
      <c r="C100" s="6" t="s">
        <v>20</v>
      </c>
      <c r="D100" s="6" t="s">
        <v>21</v>
      </c>
      <c r="E100" s="6" t="s">
        <v>15</v>
      </c>
      <c r="F100" s="6" t="s">
        <v>16</v>
      </c>
      <c r="G100" s="6">
        <v>2304</v>
      </c>
      <c r="H100" s="21"/>
      <c r="I100" s="21"/>
      <c r="J100" s="21"/>
      <c r="K100" s="6"/>
      <c r="L100" s="6"/>
      <c r="M100" s="21"/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ht="15.75" x14ac:dyDescent="0.25">
      <c r="A101" s="26">
        <v>2568</v>
      </c>
      <c r="B101" s="2" t="s">
        <v>29</v>
      </c>
      <c r="C101" s="6" t="s">
        <v>27</v>
      </c>
      <c r="D101" s="6" t="s">
        <v>15</v>
      </c>
      <c r="E101" s="6" t="s">
        <v>24</v>
      </c>
      <c r="F101" s="6" t="s">
        <v>16</v>
      </c>
      <c r="G101" s="6">
        <v>2304</v>
      </c>
      <c r="H101" s="21"/>
      <c r="I101" s="21"/>
      <c r="J101" s="21"/>
      <c r="K101" s="6"/>
      <c r="L101" s="6"/>
      <c r="M101" s="21"/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ht="15.75" x14ac:dyDescent="0.25">
      <c r="A102" s="26">
        <v>2569</v>
      </c>
      <c r="B102" s="2" t="s">
        <v>29</v>
      </c>
      <c r="C102" s="6" t="s">
        <v>27</v>
      </c>
      <c r="D102" s="6" t="s">
        <v>15</v>
      </c>
      <c r="E102" s="6" t="s">
        <v>24</v>
      </c>
      <c r="F102" s="6" t="s">
        <v>16</v>
      </c>
      <c r="G102" s="6">
        <v>2304</v>
      </c>
      <c r="H102" s="21"/>
      <c r="I102" s="21"/>
      <c r="J102" s="21"/>
      <c r="K102" s="6"/>
      <c r="L102" s="6"/>
      <c r="M102" s="21"/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ht="15.75" x14ac:dyDescent="0.25">
      <c r="A103" s="26">
        <v>2571</v>
      </c>
      <c r="B103" s="2" t="s">
        <v>29</v>
      </c>
      <c r="C103" s="6" t="s">
        <v>27</v>
      </c>
      <c r="D103" s="6" t="s">
        <v>15</v>
      </c>
      <c r="E103" s="6" t="s">
        <v>24</v>
      </c>
      <c r="F103" s="6" t="s">
        <v>16</v>
      </c>
      <c r="G103" s="6">
        <v>2304</v>
      </c>
      <c r="H103" s="21"/>
      <c r="I103" s="21"/>
      <c r="J103" s="21"/>
      <c r="K103" s="6"/>
      <c r="L103" s="6"/>
      <c r="M103" s="21"/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ht="15.75" x14ac:dyDescent="0.25">
      <c r="A104" s="26">
        <v>2572</v>
      </c>
      <c r="B104" s="2" t="s">
        <v>18</v>
      </c>
      <c r="C104" s="6" t="s">
        <v>14</v>
      </c>
      <c r="D104" s="6" t="s">
        <v>15</v>
      </c>
      <c r="E104" s="6" t="s">
        <v>15</v>
      </c>
      <c r="F104" s="6" t="s">
        <v>16</v>
      </c>
      <c r="G104" s="6">
        <v>2304</v>
      </c>
      <c r="H104" s="21"/>
      <c r="I104" s="21"/>
      <c r="J104" s="21"/>
      <c r="K104" s="6"/>
      <c r="L104" s="6"/>
      <c r="M104" s="21"/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ht="15.75" x14ac:dyDescent="0.25">
      <c r="A105" s="26">
        <v>2575</v>
      </c>
      <c r="B105" s="2" t="s">
        <v>30</v>
      </c>
      <c r="C105" s="6" t="s">
        <v>20</v>
      </c>
      <c r="D105" s="6" t="s">
        <v>21</v>
      </c>
      <c r="E105" s="6" t="s">
        <v>15</v>
      </c>
      <c r="F105" s="6" t="s">
        <v>16</v>
      </c>
      <c r="G105" s="6">
        <v>2304</v>
      </c>
      <c r="H105" s="21"/>
      <c r="I105" s="21"/>
      <c r="J105" s="21"/>
      <c r="K105" s="6"/>
      <c r="L105" s="6"/>
      <c r="M105" s="21"/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ht="15.75" x14ac:dyDescent="0.25">
      <c r="A106" s="26">
        <v>2578</v>
      </c>
      <c r="B106" s="2" t="s">
        <v>26</v>
      </c>
      <c r="C106" s="6" t="s">
        <v>27</v>
      </c>
      <c r="D106" s="6" t="s">
        <v>15</v>
      </c>
      <c r="E106" s="6" t="s">
        <v>24</v>
      </c>
      <c r="F106" s="6" t="s">
        <v>16</v>
      </c>
      <c r="G106" s="6">
        <v>2304</v>
      </c>
      <c r="H106" s="21"/>
      <c r="I106" s="21"/>
      <c r="J106" s="21"/>
      <c r="K106" s="6"/>
      <c r="L106" s="6"/>
      <c r="M106" s="21"/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ht="15.75" x14ac:dyDescent="0.25">
      <c r="A107" s="26">
        <v>2579</v>
      </c>
      <c r="B107" s="2" t="s">
        <v>44</v>
      </c>
      <c r="C107" s="6" t="s">
        <v>20</v>
      </c>
      <c r="D107" s="6" t="s">
        <v>21</v>
      </c>
      <c r="E107" s="6" t="s">
        <v>15</v>
      </c>
      <c r="F107" s="6" t="s">
        <v>16</v>
      </c>
      <c r="G107" s="6">
        <v>2304</v>
      </c>
      <c r="H107" s="21"/>
      <c r="I107" s="21"/>
      <c r="J107" s="21"/>
      <c r="K107" s="6"/>
      <c r="L107" s="6"/>
      <c r="M107" s="21"/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ht="15.75" x14ac:dyDescent="0.25">
      <c r="A108" s="26">
        <v>2581</v>
      </c>
      <c r="B108" s="2" t="s">
        <v>22</v>
      </c>
      <c r="C108" s="6" t="s">
        <v>23</v>
      </c>
      <c r="D108" s="6" t="s">
        <v>21</v>
      </c>
      <c r="E108" s="6" t="s">
        <v>24</v>
      </c>
      <c r="F108" s="6" t="s">
        <v>16</v>
      </c>
      <c r="G108" s="6">
        <v>2304</v>
      </c>
      <c r="H108" s="21"/>
      <c r="I108" s="21"/>
      <c r="J108" s="21"/>
      <c r="K108" s="6"/>
      <c r="L108" s="6"/>
      <c r="M108" s="21"/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ht="15.75" x14ac:dyDescent="0.25">
      <c r="A109" s="26">
        <v>2589</v>
      </c>
      <c r="B109" s="2" t="s">
        <v>45</v>
      </c>
      <c r="C109" s="6" t="s">
        <v>14</v>
      </c>
      <c r="D109" s="6" t="s">
        <v>15</v>
      </c>
      <c r="E109" s="6" t="s">
        <v>15</v>
      </c>
      <c r="F109" s="6" t="s">
        <v>16</v>
      </c>
      <c r="G109" s="6">
        <v>2304</v>
      </c>
      <c r="H109" s="21"/>
      <c r="I109" s="21"/>
      <c r="J109" s="21"/>
      <c r="K109" s="6"/>
      <c r="L109" s="6"/>
      <c r="M109" s="21"/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ht="15.75" x14ac:dyDescent="0.25">
      <c r="A110" s="26">
        <v>2590</v>
      </c>
      <c r="B110" s="2" t="s">
        <v>30</v>
      </c>
      <c r="C110" s="6" t="s">
        <v>20</v>
      </c>
      <c r="D110" s="6" t="s">
        <v>21</v>
      </c>
      <c r="E110" s="6" t="s">
        <v>15</v>
      </c>
      <c r="F110" s="6" t="s">
        <v>16</v>
      </c>
      <c r="G110" s="6">
        <v>2304</v>
      </c>
      <c r="H110" s="21"/>
      <c r="I110" s="21"/>
      <c r="J110" s="21"/>
      <c r="K110" s="6"/>
      <c r="L110" s="6"/>
      <c r="M110" s="21"/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ht="15.75" x14ac:dyDescent="0.25">
      <c r="A111" s="26">
        <v>2591</v>
      </c>
      <c r="B111" s="2" t="s">
        <v>26</v>
      </c>
      <c r="C111" s="6" t="s">
        <v>27</v>
      </c>
      <c r="D111" s="6" t="s">
        <v>15</v>
      </c>
      <c r="E111" s="6" t="s">
        <v>24</v>
      </c>
      <c r="F111" s="6" t="s">
        <v>16</v>
      </c>
      <c r="G111" s="6">
        <v>2304</v>
      </c>
      <c r="H111" s="21"/>
      <c r="I111" s="21"/>
      <c r="J111" s="21"/>
      <c r="K111" s="6"/>
      <c r="L111" s="6"/>
      <c r="M111" s="21"/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ht="15.75" x14ac:dyDescent="0.25">
      <c r="A112" s="26">
        <v>2592</v>
      </c>
      <c r="B112" s="2" t="s">
        <v>44</v>
      </c>
      <c r="C112" s="6" t="s">
        <v>20</v>
      </c>
      <c r="D112" s="6" t="s">
        <v>21</v>
      </c>
      <c r="E112" s="6" t="s">
        <v>15</v>
      </c>
      <c r="F112" s="6" t="s">
        <v>16</v>
      </c>
      <c r="G112" s="6">
        <v>2304</v>
      </c>
      <c r="H112" s="21"/>
      <c r="I112" s="21"/>
      <c r="J112" s="21"/>
      <c r="K112" s="6"/>
      <c r="L112" s="6"/>
      <c r="M112" s="21"/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ht="15.75" x14ac:dyDescent="0.25">
      <c r="A113" s="26">
        <v>2593</v>
      </c>
      <c r="B113" s="2" t="s">
        <v>44</v>
      </c>
      <c r="C113" s="6" t="s">
        <v>20</v>
      </c>
      <c r="D113" s="6" t="s">
        <v>21</v>
      </c>
      <c r="E113" s="6" t="s">
        <v>15</v>
      </c>
      <c r="F113" s="6" t="s">
        <v>16</v>
      </c>
      <c r="G113" s="6">
        <v>2304</v>
      </c>
      <c r="H113" s="21"/>
      <c r="I113" s="21"/>
      <c r="J113" s="21"/>
      <c r="K113" s="6"/>
      <c r="L113" s="6"/>
      <c r="M113" s="21"/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ht="15.75" x14ac:dyDescent="0.25">
      <c r="A114" s="26">
        <v>2595</v>
      </c>
      <c r="B114" s="2" t="s">
        <v>30</v>
      </c>
      <c r="C114" s="6" t="s">
        <v>20</v>
      </c>
      <c r="D114" s="6" t="s">
        <v>21</v>
      </c>
      <c r="E114" s="6" t="s">
        <v>15</v>
      </c>
      <c r="F114" s="6" t="s">
        <v>16</v>
      </c>
      <c r="G114" s="6">
        <v>2304</v>
      </c>
      <c r="H114" s="21"/>
      <c r="I114" s="21"/>
      <c r="J114" s="21"/>
      <c r="K114" s="6"/>
      <c r="L114" s="6"/>
      <c r="M114" s="21"/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ht="15.75" x14ac:dyDescent="0.25">
      <c r="A115" s="26">
        <v>2598</v>
      </c>
      <c r="B115" s="2" t="s">
        <v>28</v>
      </c>
      <c r="C115" s="6" t="s">
        <v>20</v>
      </c>
      <c r="D115" s="6" t="s">
        <v>21</v>
      </c>
      <c r="E115" s="6" t="s">
        <v>15</v>
      </c>
      <c r="F115" s="6" t="s">
        <v>16</v>
      </c>
      <c r="G115" s="6">
        <v>2304</v>
      </c>
      <c r="H115" s="21"/>
      <c r="I115" s="21"/>
      <c r="J115" s="21"/>
      <c r="K115" s="6"/>
      <c r="L115" s="6"/>
      <c r="M115" s="21"/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ht="15.75" x14ac:dyDescent="0.25">
      <c r="A116" s="26">
        <v>2609</v>
      </c>
      <c r="B116" s="2" t="s">
        <v>19</v>
      </c>
      <c r="C116" s="6" t="s">
        <v>20</v>
      </c>
      <c r="D116" s="6" t="s">
        <v>21</v>
      </c>
      <c r="E116" s="6" t="s">
        <v>15</v>
      </c>
      <c r="F116" s="6" t="s">
        <v>16</v>
      </c>
      <c r="G116" s="6">
        <v>2304</v>
      </c>
      <c r="H116" s="21"/>
      <c r="I116" s="21"/>
      <c r="J116" s="21"/>
      <c r="K116" s="6"/>
      <c r="L116" s="6"/>
      <c r="M116" s="21"/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ht="15.75" x14ac:dyDescent="0.25">
      <c r="A117" s="26">
        <v>2615</v>
      </c>
      <c r="B117" s="2" t="s">
        <v>34</v>
      </c>
      <c r="C117" s="6" t="s">
        <v>14</v>
      </c>
      <c r="D117" s="6" t="s">
        <v>15</v>
      </c>
      <c r="E117" s="6" t="s">
        <v>15</v>
      </c>
      <c r="F117" s="6" t="s">
        <v>16</v>
      </c>
      <c r="G117" s="6">
        <v>2304</v>
      </c>
      <c r="H117" s="21"/>
      <c r="I117" s="21"/>
      <c r="J117" s="21"/>
      <c r="K117" s="6"/>
      <c r="L117" s="6"/>
      <c r="M117" s="21"/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ht="15.75" x14ac:dyDescent="0.25">
      <c r="A118" s="26">
        <v>2618</v>
      </c>
      <c r="B118" s="2" t="s">
        <v>45</v>
      </c>
      <c r="C118" s="6" t="s">
        <v>14</v>
      </c>
      <c r="D118" s="6" t="s">
        <v>15</v>
      </c>
      <c r="E118" s="6" t="s">
        <v>15</v>
      </c>
      <c r="F118" s="6" t="s">
        <v>16</v>
      </c>
      <c r="G118" s="6">
        <v>2304</v>
      </c>
      <c r="H118" s="21"/>
      <c r="I118" s="21"/>
      <c r="J118" s="21"/>
      <c r="K118" s="6"/>
      <c r="L118" s="6"/>
      <c r="M118" s="21"/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ht="15.75" x14ac:dyDescent="0.25">
      <c r="A119" s="26">
        <v>2620</v>
      </c>
      <c r="B119" s="2" t="s">
        <v>28</v>
      </c>
      <c r="C119" s="6" t="s">
        <v>20</v>
      </c>
      <c r="D119" s="6" t="s">
        <v>21</v>
      </c>
      <c r="E119" s="6" t="s">
        <v>15</v>
      </c>
      <c r="F119" s="6" t="s">
        <v>16</v>
      </c>
      <c r="G119" s="6">
        <v>2304</v>
      </c>
      <c r="H119" s="21"/>
      <c r="I119" s="21"/>
      <c r="J119" s="21"/>
      <c r="K119" s="6"/>
      <c r="L119" s="6"/>
      <c r="M119" s="21"/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ht="15.75" x14ac:dyDescent="0.25">
      <c r="A120" s="26">
        <v>2624</v>
      </c>
      <c r="B120" s="2" t="s">
        <v>30</v>
      </c>
      <c r="C120" s="6" t="s">
        <v>20</v>
      </c>
      <c r="D120" s="6" t="s">
        <v>21</v>
      </c>
      <c r="E120" s="6" t="s">
        <v>15</v>
      </c>
      <c r="F120" s="6" t="s">
        <v>16</v>
      </c>
      <c r="G120" s="6">
        <v>2304</v>
      </c>
      <c r="H120" s="21"/>
      <c r="I120" s="21"/>
      <c r="J120" s="21"/>
      <c r="K120" s="6"/>
      <c r="L120" s="6"/>
      <c r="M120" s="21"/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ht="15.75" x14ac:dyDescent="0.25">
      <c r="A121" s="26">
        <v>2626</v>
      </c>
      <c r="B121" s="2" t="s">
        <v>44</v>
      </c>
      <c r="C121" s="6" t="s">
        <v>20</v>
      </c>
      <c r="D121" s="6" t="s">
        <v>21</v>
      </c>
      <c r="E121" s="6" t="s">
        <v>15</v>
      </c>
      <c r="F121" s="6" t="s">
        <v>16</v>
      </c>
      <c r="G121" s="6">
        <v>2304</v>
      </c>
      <c r="H121" s="21"/>
      <c r="I121" s="21"/>
      <c r="J121" s="21"/>
      <c r="K121" s="6"/>
      <c r="L121" s="6"/>
      <c r="M121" s="21"/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ht="15.75" x14ac:dyDescent="0.25">
      <c r="A122" s="22">
        <v>2627</v>
      </c>
      <c r="B122" s="2" t="s">
        <v>17</v>
      </c>
      <c r="C122" s="6" t="s">
        <v>14</v>
      </c>
      <c r="D122" s="6" t="s">
        <v>15</v>
      </c>
      <c r="E122" s="6" t="s">
        <v>15</v>
      </c>
      <c r="F122" s="6" t="s">
        <v>16</v>
      </c>
      <c r="G122" s="6">
        <v>2304</v>
      </c>
      <c r="H122" s="21"/>
      <c r="I122" s="21"/>
      <c r="J122" s="21"/>
      <c r="K122" s="6"/>
      <c r="L122" s="6"/>
      <c r="M122" s="21"/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ht="15.75" x14ac:dyDescent="0.25">
      <c r="A123" s="22">
        <v>2629</v>
      </c>
      <c r="B123" s="2" t="s">
        <v>18</v>
      </c>
      <c r="C123" s="6" t="s">
        <v>14</v>
      </c>
      <c r="D123" s="6" t="s">
        <v>15</v>
      </c>
      <c r="E123" s="6" t="s">
        <v>15</v>
      </c>
      <c r="F123" s="6" t="s">
        <v>16</v>
      </c>
      <c r="G123" s="6">
        <v>2304</v>
      </c>
      <c r="H123" s="21"/>
      <c r="I123" s="21"/>
      <c r="J123" s="21"/>
      <c r="K123" s="6"/>
      <c r="L123" s="6"/>
      <c r="M123" s="21"/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ht="15.75" x14ac:dyDescent="0.25">
      <c r="A124" s="22">
        <v>2630</v>
      </c>
      <c r="B124" s="2" t="s">
        <v>34</v>
      </c>
      <c r="C124" s="6" t="s">
        <v>14</v>
      </c>
      <c r="D124" s="6" t="s">
        <v>15</v>
      </c>
      <c r="E124" s="6" t="s">
        <v>15</v>
      </c>
      <c r="F124" s="6" t="s">
        <v>16</v>
      </c>
      <c r="G124" s="6">
        <v>2304</v>
      </c>
      <c r="H124" s="21"/>
      <c r="I124" s="21"/>
      <c r="J124" s="21"/>
      <c r="K124" s="6"/>
      <c r="L124" s="6"/>
      <c r="M124" s="21"/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ht="15.75" x14ac:dyDescent="0.25">
      <c r="A125" s="22">
        <v>2634</v>
      </c>
      <c r="B125" s="2" t="s">
        <v>19</v>
      </c>
      <c r="C125" s="6" t="s">
        <v>20</v>
      </c>
      <c r="D125" s="6" t="s">
        <v>21</v>
      </c>
      <c r="E125" s="6" t="s">
        <v>15</v>
      </c>
      <c r="F125" s="6" t="s">
        <v>16</v>
      </c>
      <c r="G125" s="6">
        <v>2304</v>
      </c>
      <c r="H125" s="21"/>
      <c r="I125" s="21"/>
      <c r="J125" s="21"/>
      <c r="K125" s="6"/>
      <c r="L125" s="6"/>
      <c r="M125" s="21"/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ht="15.75" x14ac:dyDescent="0.25">
      <c r="A126" s="22">
        <v>2635</v>
      </c>
      <c r="B126" s="2" t="s">
        <v>13</v>
      </c>
      <c r="C126" s="6" t="s">
        <v>14</v>
      </c>
      <c r="D126" s="6" t="s">
        <v>15</v>
      </c>
      <c r="E126" s="6" t="s">
        <v>15</v>
      </c>
      <c r="F126" s="6" t="s">
        <v>16</v>
      </c>
      <c r="G126" s="6">
        <v>2304</v>
      </c>
      <c r="H126" s="21"/>
      <c r="I126" s="21"/>
      <c r="J126" s="21"/>
      <c r="K126" s="6"/>
      <c r="L126" s="6"/>
      <c r="M126" s="21"/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ht="15.75" x14ac:dyDescent="0.25">
      <c r="A127" s="22">
        <v>2638</v>
      </c>
      <c r="B127" s="2" t="s">
        <v>17</v>
      </c>
      <c r="C127" s="6" t="s">
        <v>14</v>
      </c>
      <c r="D127" s="6" t="s">
        <v>15</v>
      </c>
      <c r="E127" s="6" t="s">
        <v>15</v>
      </c>
      <c r="F127" s="6" t="s">
        <v>16</v>
      </c>
      <c r="G127" s="6">
        <v>2304</v>
      </c>
      <c r="H127" s="21"/>
      <c r="I127" s="21"/>
      <c r="J127" s="21"/>
      <c r="K127" s="6"/>
      <c r="L127" s="6"/>
      <c r="M127" s="21"/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ht="15.75" x14ac:dyDescent="0.25">
      <c r="A128" s="22">
        <v>2645</v>
      </c>
      <c r="B128" s="2" t="s">
        <v>34</v>
      </c>
      <c r="C128" s="6" t="s">
        <v>14</v>
      </c>
      <c r="D128" s="6" t="s">
        <v>15</v>
      </c>
      <c r="E128" s="6" t="s">
        <v>15</v>
      </c>
      <c r="F128" s="6" t="s">
        <v>16</v>
      </c>
      <c r="G128" s="6">
        <v>2304</v>
      </c>
      <c r="H128" s="21"/>
      <c r="I128" s="21"/>
      <c r="J128" s="21"/>
      <c r="K128" s="6"/>
      <c r="L128" s="6"/>
      <c r="M128" s="21"/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ht="15.75" x14ac:dyDescent="0.25">
      <c r="A129" s="24">
        <v>2656</v>
      </c>
      <c r="B129" s="2" t="s">
        <v>64</v>
      </c>
      <c r="C129" s="6" t="s">
        <v>20</v>
      </c>
      <c r="D129" s="6" t="s">
        <v>21</v>
      </c>
      <c r="E129" s="6" t="s">
        <v>15</v>
      </c>
      <c r="F129" s="6" t="s">
        <v>16</v>
      </c>
      <c r="G129" s="6">
        <v>2304</v>
      </c>
      <c r="H129" s="21"/>
      <c r="I129" s="21"/>
      <c r="J129" s="21"/>
      <c r="K129" s="6"/>
      <c r="L129" s="6"/>
      <c r="M129" s="21"/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ht="15.75" x14ac:dyDescent="0.25">
      <c r="A130" s="24">
        <v>2662</v>
      </c>
      <c r="B130" s="2" t="s">
        <v>62</v>
      </c>
      <c r="C130" s="6" t="s">
        <v>14</v>
      </c>
      <c r="D130" s="6" t="s">
        <v>15</v>
      </c>
      <c r="E130" s="6" t="s">
        <v>15</v>
      </c>
      <c r="F130" s="6" t="s">
        <v>16</v>
      </c>
      <c r="G130" s="6">
        <v>2304</v>
      </c>
      <c r="H130" s="21"/>
      <c r="I130" s="21"/>
      <c r="J130" s="21"/>
      <c r="K130" s="6"/>
      <c r="L130" s="6"/>
      <c r="M130" s="21"/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ht="15.75" x14ac:dyDescent="0.25">
      <c r="A131" s="24">
        <v>2663</v>
      </c>
      <c r="B131" s="2" t="s">
        <v>63</v>
      </c>
      <c r="C131" s="6" t="s">
        <v>14</v>
      </c>
      <c r="D131" s="6" t="s">
        <v>15</v>
      </c>
      <c r="E131" s="6" t="s">
        <v>15</v>
      </c>
      <c r="F131" s="6" t="s">
        <v>16</v>
      </c>
      <c r="G131" s="6">
        <v>2304</v>
      </c>
      <c r="H131" s="21"/>
      <c r="I131" s="21"/>
      <c r="J131" s="21"/>
      <c r="K131" s="6"/>
      <c r="L131" s="6"/>
      <c r="M131" s="21"/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ht="15.75" x14ac:dyDescent="0.25">
      <c r="A132" s="22">
        <v>2670</v>
      </c>
      <c r="B132" s="2" t="s">
        <v>36</v>
      </c>
      <c r="C132" s="6" t="s">
        <v>23</v>
      </c>
      <c r="D132" s="6" t="s">
        <v>21</v>
      </c>
      <c r="E132" s="6" t="s">
        <v>24</v>
      </c>
      <c r="F132" s="6" t="s">
        <v>16</v>
      </c>
      <c r="G132" s="6">
        <v>2304</v>
      </c>
      <c r="H132" s="21"/>
      <c r="I132" s="21"/>
      <c r="J132" s="21"/>
      <c r="K132" s="6"/>
      <c r="L132" s="6"/>
      <c r="M132" s="21"/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ht="15.75" x14ac:dyDescent="0.25">
      <c r="A133" s="24">
        <v>2671</v>
      </c>
      <c r="B133" s="2" t="s">
        <v>42</v>
      </c>
      <c r="C133" s="6" t="s">
        <v>20</v>
      </c>
      <c r="D133" s="6" t="s">
        <v>21</v>
      </c>
      <c r="E133" s="6" t="s">
        <v>15</v>
      </c>
      <c r="F133" s="6" t="s">
        <v>16</v>
      </c>
      <c r="G133" s="6">
        <v>2304</v>
      </c>
      <c r="H133" s="21"/>
      <c r="I133" s="21"/>
      <c r="J133" s="21"/>
      <c r="K133" s="6"/>
      <c r="L133" s="6"/>
      <c r="M133" s="21"/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ht="15.75" x14ac:dyDescent="0.25">
      <c r="A134" s="24">
        <v>2674</v>
      </c>
      <c r="B134" s="2" t="s">
        <v>62</v>
      </c>
      <c r="C134" s="6" t="s">
        <v>14</v>
      </c>
      <c r="D134" s="6" t="s">
        <v>15</v>
      </c>
      <c r="E134" s="6" t="s">
        <v>15</v>
      </c>
      <c r="F134" s="6" t="s">
        <v>16</v>
      </c>
      <c r="G134" s="6">
        <v>2304</v>
      </c>
      <c r="H134" s="21"/>
      <c r="I134" s="21"/>
      <c r="J134" s="21"/>
      <c r="K134" s="6"/>
      <c r="L134" s="6"/>
      <c r="M134" s="21"/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ht="15.75" x14ac:dyDescent="0.25">
      <c r="A135" s="2">
        <v>2002</v>
      </c>
      <c r="B135" s="2" t="s">
        <v>13</v>
      </c>
      <c r="C135" s="6" t="s">
        <v>14</v>
      </c>
      <c r="D135" s="6" t="s">
        <v>15</v>
      </c>
      <c r="E135" s="6" t="s">
        <v>15</v>
      </c>
      <c r="F135" s="6" t="s">
        <v>37</v>
      </c>
      <c r="G135" s="6">
        <v>2214</v>
      </c>
      <c r="H135" s="6"/>
      <c r="I135" s="6"/>
      <c r="J135" s="6"/>
      <c r="K135" s="6"/>
      <c r="L135" s="6"/>
      <c r="M135" s="6"/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ht="15.75" x14ac:dyDescent="0.25">
      <c r="A136" s="2">
        <v>2003</v>
      </c>
      <c r="B136" s="2" t="s">
        <v>36</v>
      </c>
      <c r="C136" s="6" t="s">
        <v>23</v>
      </c>
      <c r="D136" s="6" t="s">
        <v>21</v>
      </c>
      <c r="E136" s="6" t="s">
        <v>24</v>
      </c>
      <c r="F136" s="6" t="s">
        <v>37</v>
      </c>
      <c r="G136" s="6">
        <v>2214</v>
      </c>
      <c r="H136" s="6"/>
      <c r="I136" s="6"/>
      <c r="J136" s="6"/>
      <c r="K136" s="6"/>
      <c r="L136" s="6"/>
      <c r="M136" s="6"/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ht="15.75" x14ac:dyDescent="0.25">
      <c r="A137" s="2">
        <v>2006</v>
      </c>
      <c r="B137" s="2" t="s">
        <v>30</v>
      </c>
      <c r="C137" s="6" t="s">
        <v>20</v>
      </c>
      <c r="D137" s="6" t="s">
        <v>21</v>
      </c>
      <c r="E137" s="6" t="s">
        <v>15</v>
      </c>
      <c r="F137" s="6" t="s">
        <v>37</v>
      </c>
      <c r="G137" s="6">
        <v>2214</v>
      </c>
      <c r="H137" s="6"/>
      <c r="I137" s="6"/>
      <c r="J137" s="6"/>
      <c r="K137" s="6"/>
      <c r="L137" s="6"/>
      <c r="M137" s="6"/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ht="15.75" x14ac:dyDescent="0.25">
      <c r="A138" s="2">
        <v>2015</v>
      </c>
      <c r="B138" s="2" t="s">
        <v>36</v>
      </c>
      <c r="C138" s="6" t="s">
        <v>23</v>
      </c>
      <c r="D138" s="6" t="s">
        <v>21</v>
      </c>
      <c r="E138" s="6" t="s">
        <v>24</v>
      </c>
      <c r="F138" s="6" t="s">
        <v>37</v>
      </c>
      <c r="G138" s="6">
        <v>2214</v>
      </c>
      <c r="H138" s="6"/>
      <c r="I138" s="6"/>
      <c r="J138" s="6"/>
      <c r="K138" s="6"/>
      <c r="L138" s="6"/>
      <c r="M138" s="6"/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ht="15.75" x14ac:dyDescent="0.25">
      <c r="A139" s="2">
        <v>2017</v>
      </c>
      <c r="B139" s="2" t="s">
        <v>38</v>
      </c>
      <c r="C139" s="6" t="s">
        <v>23</v>
      </c>
      <c r="D139" s="6" t="s">
        <v>21</v>
      </c>
      <c r="E139" s="6" t="s">
        <v>24</v>
      </c>
      <c r="F139" s="6" t="s">
        <v>37</v>
      </c>
      <c r="G139" s="6">
        <v>2214</v>
      </c>
      <c r="H139" s="6"/>
      <c r="I139" s="6"/>
      <c r="J139" s="6"/>
      <c r="K139" s="6"/>
      <c r="L139" s="6"/>
      <c r="M139" s="6"/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ht="15.75" x14ac:dyDescent="0.25">
      <c r="A140" s="2">
        <v>2025</v>
      </c>
      <c r="B140" s="2" t="s">
        <v>38</v>
      </c>
      <c r="C140" s="6" t="s">
        <v>23</v>
      </c>
      <c r="D140" s="6" t="s">
        <v>21</v>
      </c>
      <c r="E140" s="6" t="s">
        <v>24</v>
      </c>
      <c r="F140" s="6" t="s">
        <v>37</v>
      </c>
      <c r="G140" s="6">
        <v>2214</v>
      </c>
      <c r="H140" s="6"/>
      <c r="I140" s="6"/>
      <c r="J140" s="6"/>
      <c r="K140" s="6"/>
      <c r="L140" s="6"/>
      <c r="M140" s="6"/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ht="15.75" x14ac:dyDescent="0.25">
      <c r="A141" s="2">
        <v>2027</v>
      </c>
      <c r="B141" s="2" t="s">
        <v>38</v>
      </c>
      <c r="C141" s="6" t="s">
        <v>23</v>
      </c>
      <c r="D141" s="6" t="s">
        <v>21</v>
      </c>
      <c r="E141" s="6" t="s">
        <v>24</v>
      </c>
      <c r="F141" s="6" t="s">
        <v>37</v>
      </c>
      <c r="G141" s="6">
        <v>2214</v>
      </c>
      <c r="H141" s="6"/>
      <c r="I141" s="6"/>
      <c r="J141" s="6"/>
      <c r="K141" s="6"/>
      <c r="L141" s="6"/>
      <c r="M141" s="6"/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ht="15.75" x14ac:dyDescent="0.25">
      <c r="A142" s="2">
        <v>2029</v>
      </c>
      <c r="B142" s="2" t="s">
        <v>38</v>
      </c>
      <c r="C142" s="6" t="s">
        <v>23</v>
      </c>
      <c r="D142" s="6" t="s">
        <v>21</v>
      </c>
      <c r="E142" s="6" t="s">
        <v>24</v>
      </c>
      <c r="F142" s="6" t="s">
        <v>37</v>
      </c>
      <c r="G142" s="6">
        <v>2214</v>
      </c>
      <c r="H142" s="6"/>
      <c r="I142" s="6"/>
      <c r="J142" s="6"/>
      <c r="K142" s="6"/>
      <c r="L142" s="6"/>
      <c r="M142" s="6"/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ht="15.75" x14ac:dyDescent="0.25">
      <c r="A143" s="2">
        <v>2030</v>
      </c>
      <c r="B143" s="2" t="s">
        <v>36</v>
      </c>
      <c r="C143" s="6" t="s">
        <v>23</v>
      </c>
      <c r="D143" s="6" t="s">
        <v>21</v>
      </c>
      <c r="E143" s="6" t="s">
        <v>24</v>
      </c>
      <c r="F143" s="6" t="s">
        <v>37</v>
      </c>
      <c r="G143" s="6">
        <v>2214</v>
      </c>
      <c r="H143" s="6"/>
      <c r="I143" s="6"/>
      <c r="J143" s="6"/>
      <c r="K143" s="6"/>
      <c r="L143" s="6"/>
      <c r="M143" s="6"/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ht="15.75" x14ac:dyDescent="0.25">
      <c r="A144" s="2">
        <v>2032</v>
      </c>
      <c r="B144" s="2" t="s">
        <v>30</v>
      </c>
      <c r="C144" s="6" t="s">
        <v>20</v>
      </c>
      <c r="D144" s="6" t="s">
        <v>21</v>
      </c>
      <c r="E144" s="6" t="s">
        <v>15</v>
      </c>
      <c r="F144" s="6" t="s">
        <v>37</v>
      </c>
      <c r="G144" s="6">
        <v>2214</v>
      </c>
      <c r="H144" s="6"/>
      <c r="I144" s="6"/>
      <c r="J144" s="6"/>
      <c r="K144" s="6"/>
      <c r="L144" s="6"/>
      <c r="M144" s="6"/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ht="15.75" x14ac:dyDescent="0.25">
      <c r="A145" s="2">
        <v>2101</v>
      </c>
      <c r="B145" s="2" t="s">
        <v>38</v>
      </c>
      <c r="C145" s="6" t="s">
        <v>23</v>
      </c>
      <c r="D145" s="6" t="s">
        <v>21</v>
      </c>
      <c r="E145" s="6" t="s">
        <v>24</v>
      </c>
      <c r="F145" s="6" t="s">
        <v>37</v>
      </c>
      <c r="G145" s="6">
        <v>2214</v>
      </c>
      <c r="H145" s="6"/>
      <c r="I145" s="6"/>
      <c r="J145" s="6"/>
      <c r="K145" s="6"/>
      <c r="L145" s="6"/>
      <c r="M145" s="6"/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ht="15.75" x14ac:dyDescent="0.25">
      <c r="A146" s="2">
        <v>2102</v>
      </c>
      <c r="B146" s="2" t="s">
        <v>28</v>
      </c>
      <c r="C146" s="6" t="s">
        <v>20</v>
      </c>
      <c r="D146" s="6" t="s">
        <v>21</v>
      </c>
      <c r="E146" s="6" t="s">
        <v>15</v>
      </c>
      <c r="F146" s="6" t="s">
        <v>37</v>
      </c>
      <c r="G146" s="6">
        <v>2214</v>
      </c>
      <c r="H146" s="6"/>
      <c r="I146" s="6"/>
      <c r="J146" s="6"/>
      <c r="K146" s="6"/>
      <c r="L146" s="6"/>
      <c r="M146" s="6"/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ht="15.75" x14ac:dyDescent="0.25">
      <c r="A147" s="2">
        <v>2105</v>
      </c>
      <c r="B147" s="2" t="s">
        <v>17</v>
      </c>
      <c r="C147" s="6" t="s">
        <v>14</v>
      </c>
      <c r="D147" s="6" t="s">
        <v>15</v>
      </c>
      <c r="E147" s="6" t="s">
        <v>15</v>
      </c>
      <c r="F147" s="6" t="s">
        <v>37</v>
      </c>
      <c r="G147" s="6">
        <v>2214</v>
      </c>
      <c r="H147" s="6"/>
      <c r="I147" s="6"/>
      <c r="J147" s="6"/>
      <c r="K147" s="6"/>
      <c r="L147" s="6"/>
      <c r="M147" s="6"/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ht="15.75" x14ac:dyDescent="0.25">
      <c r="A148" s="2">
        <v>2108</v>
      </c>
      <c r="B148" s="2" t="s">
        <v>26</v>
      </c>
      <c r="C148" s="6" t="s">
        <v>27</v>
      </c>
      <c r="D148" s="6" t="s">
        <v>15</v>
      </c>
      <c r="E148" s="6" t="s">
        <v>24</v>
      </c>
      <c r="F148" s="6" t="s">
        <v>37</v>
      </c>
      <c r="G148" s="6">
        <v>2214</v>
      </c>
      <c r="H148" s="6"/>
      <c r="I148" s="6"/>
      <c r="J148" s="6"/>
      <c r="K148" s="6"/>
      <c r="L148" s="6"/>
      <c r="M148" s="6"/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ht="15.75" x14ac:dyDescent="0.25">
      <c r="A149" s="2">
        <v>2109</v>
      </c>
      <c r="B149" s="2" t="s">
        <v>22</v>
      </c>
      <c r="C149" s="6" t="s">
        <v>23</v>
      </c>
      <c r="D149" s="6" t="s">
        <v>21</v>
      </c>
      <c r="E149" s="6" t="s">
        <v>24</v>
      </c>
      <c r="F149" s="6" t="s">
        <v>37</v>
      </c>
      <c r="G149" s="6">
        <v>2214</v>
      </c>
      <c r="H149" s="6"/>
      <c r="I149" s="6"/>
      <c r="J149" s="6"/>
      <c r="K149" s="6"/>
      <c r="L149" s="6"/>
      <c r="M149" s="6"/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ht="15.75" x14ac:dyDescent="0.25">
      <c r="A150" s="2">
        <v>2111</v>
      </c>
      <c r="B150" s="2" t="s">
        <v>22</v>
      </c>
      <c r="C150" s="6" t="s">
        <v>23</v>
      </c>
      <c r="D150" s="6" t="s">
        <v>21</v>
      </c>
      <c r="E150" s="6" t="s">
        <v>24</v>
      </c>
      <c r="F150" s="6" t="s">
        <v>37</v>
      </c>
      <c r="G150" s="6">
        <v>2214</v>
      </c>
      <c r="H150" s="6"/>
      <c r="I150" s="6"/>
      <c r="J150" s="6"/>
      <c r="K150" s="6"/>
      <c r="L150" s="6"/>
      <c r="M150" s="6"/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ht="15.75" x14ac:dyDescent="0.25">
      <c r="A151" s="2">
        <v>2113</v>
      </c>
      <c r="B151" s="2" t="s">
        <v>30</v>
      </c>
      <c r="C151" s="6" t="s">
        <v>20</v>
      </c>
      <c r="D151" s="6" t="s">
        <v>21</v>
      </c>
      <c r="E151" s="6" t="s">
        <v>15</v>
      </c>
      <c r="F151" s="6" t="s">
        <v>37</v>
      </c>
      <c r="G151" s="6">
        <v>2214</v>
      </c>
      <c r="H151" s="6"/>
      <c r="I151" s="6"/>
      <c r="J151" s="6"/>
      <c r="K151" s="6"/>
      <c r="L151" s="6"/>
      <c r="M151" s="6"/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ht="15.75" x14ac:dyDescent="0.25">
      <c r="A152" s="2">
        <v>2116</v>
      </c>
      <c r="B152" s="2" t="s">
        <v>30</v>
      </c>
      <c r="C152" s="6" t="s">
        <v>20</v>
      </c>
      <c r="D152" s="6" t="s">
        <v>21</v>
      </c>
      <c r="E152" s="6" t="s">
        <v>15</v>
      </c>
      <c r="F152" s="6" t="s">
        <v>37</v>
      </c>
      <c r="G152" s="6">
        <v>2214</v>
      </c>
      <c r="H152" s="6"/>
      <c r="I152" s="6"/>
      <c r="J152" s="6"/>
      <c r="K152" s="6"/>
      <c r="L152" s="6"/>
      <c r="M152" s="6"/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ht="15.75" x14ac:dyDescent="0.25">
      <c r="A153" s="2">
        <v>2117</v>
      </c>
      <c r="B153" s="2" t="s">
        <v>30</v>
      </c>
      <c r="C153" s="6" t="s">
        <v>20</v>
      </c>
      <c r="D153" s="6" t="s">
        <v>21</v>
      </c>
      <c r="E153" s="6" t="s">
        <v>15</v>
      </c>
      <c r="F153" s="6" t="s">
        <v>37</v>
      </c>
      <c r="G153" s="6">
        <v>2214</v>
      </c>
      <c r="H153" s="6"/>
      <c r="I153" s="6"/>
      <c r="J153" s="6"/>
      <c r="K153" s="6"/>
      <c r="L153" s="6"/>
      <c r="M153" s="6"/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ht="15.75" x14ac:dyDescent="0.25">
      <c r="A154" s="2">
        <v>2120</v>
      </c>
      <c r="B154" s="2" t="s">
        <v>40</v>
      </c>
      <c r="C154" s="6" t="s">
        <v>20</v>
      </c>
      <c r="D154" s="6" t="s">
        <v>21</v>
      </c>
      <c r="E154" s="6" t="s">
        <v>15</v>
      </c>
      <c r="F154" s="6" t="s">
        <v>37</v>
      </c>
      <c r="G154" s="6">
        <v>2214</v>
      </c>
      <c r="H154" s="6"/>
      <c r="I154" s="6"/>
      <c r="J154" s="6"/>
      <c r="K154" s="6"/>
      <c r="L154" s="6"/>
      <c r="M154" s="6"/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ht="15.75" x14ac:dyDescent="0.25">
      <c r="A155" s="2">
        <v>2121</v>
      </c>
      <c r="B155" s="2" t="s">
        <v>22</v>
      </c>
      <c r="C155" s="6" t="s">
        <v>23</v>
      </c>
      <c r="D155" s="6" t="s">
        <v>21</v>
      </c>
      <c r="E155" s="6" t="s">
        <v>24</v>
      </c>
      <c r="F155" s="6" t="s">
        <v>37</v>
      </c>
      <c r="G155" s="6">
        <v>2214</v>
      </c>
      <c r="H155" s="6"/>
      <c r="I155" s="6"/>
      <c r="J155" s="6"/>
      <c r="K155" s="6"/>
      <c r="L155" s="6"/>
      <c r="M155" s="6"/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ht="15.75" x14ac:dyDescent="0.25">
      <c r="A156" s="2">
        <v>2122</v>
      </c>
      <c r="B156" s="2" t="s">
        <v>41</v>
      </c>
      <c r="C156" s="6" t="s">
        <v>14</v>
      </c>
      <c r="D156" s="6" t="s">
        <v>15</v>
      </c>
      <c r="E156" s="6" t="s">
        <v>15</v>
      </c>
      <c r="F156" s="6" t="s">
        <v>37</v>
      </c>
      <c r="G156" s="6">
        <v>2214</v>
      </c>
      <c r="H156" s="6"/>
      <c r="I156" s="6"/>
      <c r="J156" s="6"/>
      <c r="K156" s="6"/>
      <c r="L156" s="6"/>
      <c r="M156" s="6"/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ht="15.75" x14ac:dyDescent="0.25">
      <c r="A157" s="2">
        <v>2123</v>
      </c>
      <c r="B157" s="2" t="s">
        <v>30</v>
      </c>
      <c r="C157" s="6" t="s">
        <v>20</v>
      </c>
      <c r="D157" s="6" t="s">
        <v>21</v>
      </c>
      <c r="E157" s="6" t="s">
        <v>15</v>
      </c>
      <c r="F157" s="6" t="s">
        <v>37</v>
      </c>
      <c r="G157" s="6">
        <v>2214</v>
      </c>
      <c r="H157" s="6"/>
      <c r="I157" s="6"/>
      <c r="J157" s="6"/>
      <c r="K157" s="6"/>
      <c r="L157" s="6"/>
      <c r="M157" s="6"/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ht="15.75" x14ac:dyDescent="0.25">
      <c r="A158" s="2">
        <v>2125</v>
      </c>
      <c r="B158" s="2" t="s">
        <v>22</v>
      </c>
      <c r="C158" s="6" t="s">
        <v>23</v>
      </c>
      <c r="D158" s="6" t="s">
        <v>21</v>
      </c>
      <c r="E158" s="6" t="s">
        <v>24</v>
      </c>
      <c r="F158" s="6" t="s">
        <v>37</v>
      </c>
      <c r="G158" s="6">
        <v>2214</v>
      </c>
      <c r="H158" s="6"/>
      <c r="I158" s="6"/>
      <c r="J158" s="6"/>
      <c r="K158" s="6"/>
      <c r="L158" s="6"/>
      <c r="M158" s="6"/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ht="15.75" x14ac:dyDescent="0.25">
      <c r="A159" s="2">
        <v>2126</v>
      </c>
      <c r="B159" s="2" t="s">
        <v>41</v>
      </c>
      <c r="C159" s="6" t="s">
        <v>14</v>
      </c>
      <c r="D159" s="6" t="s">
        <v>15</v>
      </c>
      <c r="E159" s="6" t="s">
        <v>15</v>
      </c>
      <c r="F159" s="6" t="s">
        <v>37</v>
      </c>
      <c r="G159" s="6">
        <v>2214</v>
      </c>
      <c r="H159" s="6"/>
      <c r="I159" s="6"/>
      <c r="J159" s="6"/>
      <c r="K159" s="6"/>
      <c r="L159" s="6"/>
      <c r="M159" s="6"/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ht="15.75" x14ac:dyDescent="0.25">
      <c r="A160" s="2">
        <v>2129</v>
      </c>
      <c r="B160" s="2" t="s">
        <v>22</v>
      </c>
      <c r="C160" s="6" t="s">
        <v>23</v>
      </c>
      <c r="D160" s="6" t="s">
        <v>21</v>
      </c>
      <c r="E160" s="6" t="s">
        <v>24</v>
      </c>
      <c r="F160" s="6" t="s">
        <v>37</v>
      </c>
      <c r="G160" s="6">
        <v>2214</v>
      </c>
      <c r="H160" s="6"/>
      <c r="I160" s="6"/>
      <c r="J160" s="6"/>
      <c r="K160" s="6"/>
      <c r="L160" s="6"/>
      <c r="M160" s="6"/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ht="15.75" x14ac:dyDescent="0.25">
      <c r="A161" s="2">
        <v>2131</v>
      </c>
      <c r="B161" s="2" t="s">
        <v>26</v>
      </c>
      <c r="C161" s="6" t="s">
        <v>27</v>
      </c>
      <c r="D161" s="6" t="s">
        <v>15</v>
      </c>
      <c r="E161" s="6" t="s">
        <v>24</v>
      </c>
      <c r="F161" s="6" t="s">
        <v>37</v>
      </c>
      <c r="G161" s="6">
        <v>2214</v>
      </c>
      <c r="H161" s="6"/>
      <c r="I161" s="6"/>
      <c r="J161" s="6"/>
      <c r="K161" s="6"/>
      <c r="L161" s="6"/>
      <c r="M161" s="6"/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ht="15.75" x14ac:dyDescent="0.25">
      <c r="A162" s="2">
        <v>2132</v>
      </c>
      <c r="B162" s="2" t="s">
        <v>40</v>
      </c>
      <c r="C162" s="6" t="s">
        <v>20</v>
      </c>
      <c r="D162" s="6" t="s">
        <v>21</v>
      </c>
      <c r="E162" s="6" t="s">
        <v>15</v>
      </c>
      <c r="F162" s="6" t="s">
        <v>37</v>
      </c>
      <c r="G162" s="6">
        <v>2214</v>
      </c>
      <c r="H162" s="6"/>
      <c r="I162" s="6"/>
      <c r="J162" s="6"/>
      <c r="K162" s="6"/>
      <c r="L162" s="6"/>
      <c r="M162" s="6"/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ht="15.75" x14ac:dyDescent="0.25">
      <c r="A163" s="2">
        <v>2205</v>
      </c>
      <c r="B163" s="2" t="s">
        <v>17</v>
      </c>
      <c r="C163" s="6" t="s">
        <v>14</v>
      </c>
      <c r="D163" s="6" t="s">
        <v>15</v>
      </c>
      <c r="E163" s="6" t="s">
        <v>15</v>
      </c>
      <c r="F163" s="6" t="s">
        <v>37</v>
      </c>
      <c r="G163" s="6">
        <v>2214</v>
      </c>
      <c r="H163" s="6"/>
      <c r="I163" s="6"/>
      <c r="J163" s="6"/>
      <c r="K163" s="6"/>
      <c r="L163" s="6"/>
      <c r="M163" s="6"/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ht="15.75" x14ac:dyDescent="0.25">
      <c r="A164" s="2">
        <v>2206</v>
      </c>
      <c r="B164" s="2" t="s">
        <v>17</v>
      </c>
      <c r="C164" s="6" t="s">
        <v>14</v>
      </c>
      <c r="D164" s="6" t="s">
        <v>15</v>
      </c>
      <c r="E164" s="6" t="s">
        <v>15</v>
      </c>
      <c r="F164" s="6" t="s">
        <v>37</v>
      </c>
      <c r="G164" s="6">
        <v>2214</v>
      </c>
      <c r="H164" s="6"/>
      <c r="I164" s="6"/>
      <c r="J164" s="6"/>
      <c r="K164" s="6"/>
      <c r="L164" s="6"/>
      <c r="M164" s="6"/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ht="15.75" x14ac:dyDescent="0.25">
      <c r="A165" s="2">
        <v>2207</v>
      </c>
      <c r="B165" s="2" t="s">
        <v>30</v>
      </c>
      <c r="C165" s="6" t="s">
        <v>20</v>
      </c>
      <c r="D165" s="6" t="s">
        <v>21</v>
      </c>
      <c r="E165" s="6" t="s">
        <v>15</v>
      </c>
      <c r="F165" s="6" t="s">
        <v>37</v>
      </c>
      <c r="G165" s="6">
        <v>2214</v>
      </c>
      <c r="H165" s="6"/>
      <c r="I165" s="6"/>
      <c r="J165" s="6"/>
      <c r="K165" s="6"/>
      <c r="L165" s="6"/>
      <c r="M165" s="6"/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ht="15.75" x14ac:dyDescent="0.25">
      <c r="A166" s="2">
        <v>2208</v>
      </c>
      <c r="B166" s="2" t="s">
        <v>28</v>
      </c>
      <c r="C166" s="6" t="s">
        <v>20</v>
      </c>
      <c r="D166" s="6" t="s">
        <v>21</v>
      </c>
      <c r="E166" s="6" t="s">
        <v>15</v>
      </c>
      <c r="F166" s="6" t="s">
        <v>37</v>
      </c>
      <c r="G166" s="6">
        <v>2214</v>
      </c>
      <c r="H166" s="6"/>
      <c r="I166" s="6"/>
      <c r="J166" s="6"/>
      <c r="K166" s="6"/>
      <c r="L166" s="6"/>
      <c r="M166" s="6"/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ht="15.75" x14ac:dyDescent="0.25">
      <c r="A167" s="2">
        <v>2209</v>
      </c>
      <c r="B167" s="2" t="s">
        <v>28</v>
      </c>
      <c r="C167" s="6" t="s">
        <v>20</v>
      </c>
      <c r="D167" s="6" t="s">
        <v>21</v>
      </c>
      <c r="E167" s="6" t="s">
        <v>15</v>
      </c>
      <c r="F167" s="6" t="s">
        <v>37</v>
      </c>
      <c r="G167" s="6">
        <v>2214</v>
      </c>
      <c r="H167" s="6"/>
      <c r="I167" s="6"/>
      <c r="J167" s="6"/>
      <c r="K167" s="6"/>
      <c r="L167" s="6"/>
      <c r="M167" s="6"/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ht="15.75" x14ac:dyDescent="0.25">
      <c r="A168" s="2">
        <v>2215</v>
      </c>
      <c r="B168" s="2" t="s">
        <v>43</v>
      </c>
      <c r="C168" s="6" t="s">
        <v>27</v>
      </c>
      <c r="D168" s="6" t="s">
        <v>15</v>
      </c>
      <c r="E168" s="6" t="s">
        <v>24</v>
      </c>
      <c r="F168" s="6" t="s">
        <v>37</v>
      </c>
      <c r="G168" s="6">
        <v>2214</v>
      </c>
      <c r="H168" s="6"/>
      <c r="I168" s="6"/>
      <c r="J168" s="6"/>
      <c r="K168" s="6"/>
      <c r="L168" s="6"/>
      <c r="M168" s="6"/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ht="15.75" x14ac:dyDescent="0.25">
      <c r="A169" s="2">
        <v>2217</v>
      </c>
      <c r="B169" s="2" t="s">
        <v>26</v>
      </c>
      <c r="C169" s="6" t="s">
        <v>27</v>
      </c>
      <c r="D169" s="6" t="s">
        <v>15</v>
      </c>
      <c r="E169" s="6" t="s">
        <v>24</v>
      </c>
      <c r="F169" s="6" t="s">
        <v>37</v>
      </c>
      <c r="G169" s="6">
        <v>2214</v>
      </c>
      <c r="H169" s="6"/>
      <c r="I169" s="6"/>
      <c r="J169" s="6"/>
      <c r="K169" s="6"/>
      <c r="L169" s="6"/>
      <c r="M169" s="6"/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ht="15.75" x14ac:dyDescent="0.25">
      <c r="A170" s="2">
        <v>2219</v>
      </c>
      <c r="B170" s="2" t="s">
        <v>38</v>
      </c>
      <c r="C170" s="6" t="s">
        <v>23</v>
      </c>
      <c r="D170" s="6" t="s">
        <v>21</v>
      </c>
      <c r="E170" s="6" t="s">
        <v>24</v>
      </c>
      <c r="F170" s="6" t="s">
        <v>37</v>
      </c>
      <c r="G170" s="6">
        <v>2214</v>
      </c>
      <c r="H170" s="6"/>
      <c r="I170" s="6"/>
      <c r="J170" s="6"/>
      <c r="K170" s="6"/>
      <c r="L170" s="6"/>
      <c r="M170" s="6"/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ht="15.75" x14ac:dyDescent="0.25">
      <c r="A171" s="2">
        <v>2221</v>
      </c>
      <c r="B171" s="2" t="s">
        <v>30</v>
      </c>
      <c r="C171" s="6" t="s">
        <v>20</v>
      </c>
      <c r="D171" s="6" t="s">
        <v>21</v>
      </c>
      <c r="E171" s="6" t="s">
        <v>15</v>
      </c>
      <c r="F171" s="6" t="s">
        <v>37</v>
      </c>
      <c r="G171" s="6">
        <v>2214</v>
      </c>
      <c r="H171" s="6"/>
      <c r="I171" s="6"/>
      <c r="J171" s="6"/>
      <c r="K171" s="6"/>
      <c r="L171" s="6"/>
      <c r="M171" s="6"/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ht="15.75" x14ac:dyDescent="0.25">
      <c r="A172" s="2">
        <v>2222</v>
      </c>
      <c r="B172" s="2" t="s">
        <v>22</v>
      </c>
      <c r="C172" s="6" t="s">
        <v>23</v>
      </c>
      <c r="D172" s="6" t="s">
        <v>21</v>
      </c>
      <c r="E172" s="6" t="s">
        <v>24</v>
      </c>
      <c r="F172" s="6" t="s">
        <v>37</v>
      </c>
      <c r="G172" s="6">
        <v>2214</v>
      </c>
      <c r="H172" s="6"/>
      <c r="I172" s="6"/>
      <c r="J172" s="6"/>
      <c r="K172" s="6"/>
      <c r="L172" s="6"/>
      <c r="M172" s="6"/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ht="15.75" x14ac:dyDescent="0.25">
      <c r="A173" s="2">
        <v>2223</v>
      </c>
      <c r="B173" s="2" t="s">
        <v>43</v>
      </c>
      <c r="C173" s="6" t="s">
        <v>27</v>
      </c>
      <c r="D173" s="6" t="s">
        <v>15</v>
      </c>
      <c r="E173" s="6" t="s">
        <v>24</v>
      </c>
      <c r="F173" s="6" t="s">
        <v>37</v>
      </c>
      <c r="G173" s="6">
        <v>2214</v>
      </c>
      <c r="H173" s="6"/>
      <c r="I173" s="6"/>
      <c r="J173" s="6"/>
      <c r="K173" s="6"/>
      <c r="L173" s="6"/>
      <c r="M173" s="6"/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ht="15.75" x14ac:dyDescent="0.25">
      <c r="A174" s="2">
        <v>2233</v>
      </c>
      <c r="B174" s="2" t="s">
        <v>44</v>
      </c>
      <c r="C174" s="6" t="s">
        <v>20</v>
      </c>
      <c r="D174" s="6" t="s">
        <v>21</v>
      </c>
      <c r="E174" s="6" t="s">
        <v>15</v>
      </c>
      <c r="F174" s="6" t="s">
        <v>37</v>
      </c>
      <c r="G174" s="6">
        <v>2214</v>
      </c>
      <c r="H174" s="6"/>
      <c r="I174" s="6"/>
      <c r="J174" s="6"/>
      <c r="K174" s="6"/>
      <c r="L174" s="6"/>
      <c r="M174" s="6"/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ht="15.75" x14ac:dyDescent="0.25">
      <c r="A175" s="2">
        <v>2236</v>
      </c>
      <c r="B175" s="2" t="s">
        <v>22</v>
      </c>
      <c r="C175" s="6" t="s">
        <v>23</v>
      </c>
      <c r="D175" s="6" t="s">
        <v>21</v>
      </c>
      <c r="E175" s="6" t="s">
        <v>24</v>
      </c>
      <c r="F175" s="6" t="s">
        <v>37</v>
      </c>
      <c r="G175" s="6">
        <v>2214</v>
      </c>
      <c r="H175" s="6"/>
      <c r="I175" s="6"/>
      <c r="J175" s="6"/>
      <c r="K175" s="6"/>
      <c r="L175" s="6"/>
      <c r="M175" s="6"/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ht="15.75" x14ac:dyDescent="0.25">
      <c r="A176" s="2">
        <v>2237</v>
      </c>
      <c r="B176" s="2" t="s">
        <v>36</v>
      </c>
      <c r="C176" s="6" t="s">
        <v>23</v>
      </c>
      <c r="D176" s="6" t="s">
        <v>21</v>
      </c>
      <c r="E176" s="6" t="s">
        <v>24</v>
      </c>
      <c r="F176" s="6" t="s">
        <v>37</v>
      </c>
      <c r="G176" s="6">
        <v>2214</v>
      </c>
      <c r="H176" s="6"/>
      <c r="I176" s="6"/>
      <c r="J176" s="6"/>
      <c r="K176" s="6"/>
      <c r="L176" s="6"/>
      <c r="M176" s="6"/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ht="15.75" x14ac:dyDescent="0.25">
      <c r="A177" s="2">
        <v>2240</v>
      </c>
      <c r="B177" s="2" t="s">
        <v>40</v>
      </c>
      <c r="C177" s="6" t="s">
        <v>20</v>
      </c>
      <c r="D177" s="6" t="s">
        <v>21</v>
      </c>
      <c r="E177" s="6" t="s">
        <v>15</v>
      </c>
      <c r="F177" s="6" t="s">
        <v>37</v>
      </c>
      <c r="G177" s="6">
        <v>2214</v>
      </c>
      <c r="H177" s="6"/>
      <c r="I177" s="6"/>
      <c r="J177" s="6"/>
      <c r="K177" s="6"/>
      <c r="L177" s="6"/>
      <c r="M177" s="6"/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ht="15.75" x14ac:dyDescent="0.25">
      <c r="A178" s="2">
        <v>2241</v>
      </c>
      <c r="B178" s="2" t="s">
        <v>44</v>
      </c>
      <c r="C178" s="6" t="s">
        <v>20</v>
      </c>
      <c r="D178" s="6" t="s">
        <v>21</v>
      </c>
      <c r="E178" s="6" t="s">
        <v>15</v>
      </c>
      <c r="F178" s="6" t="s">
        <v>37</v>
      </c>
      <c r="G178" s="6">
        <v>2214</v>
      </c>
      <c r="H178" s="6"/>
      <c r="I178" s="6"/>
      <c r="J178" s="6"/>
      <c r="K178" s="6"/>
      <c r="L178" s="6"/>
      <c r="M178" s="6"/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ht="15.75" x14ac:dyDescent="0.25">
      <c r="A179" s="2">
        <v>2244</v>
      </c>
      <c r="B179" s="2" t="s">
        <v>42</v>
      </c>
      <c r="C179" s="6" t="s">
        <v>20</v>
      </c>
      <c r="D179" s="6" t="s">
        <v>21</v>
      </c>
      <c r="E179" s="6" t="s">
        <v>15</v>
      </c>
      <c r="F179" s="6" t="s">
        <v>37</v>
      </c>
      <c r="G179" s="6">
        <v>2214</v>
      </c>
      <c r="H179" s="6"/>
      <c r="I179" s="6"/>
      <c r="J179" s="6"/>
      <c r="K179" s="6"/>
      <c r="L179" s="6"/>
      <c r="M179" s="6"/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ht="15.75" x14ac:dyDescent="0.25">
      <c r="A180" s="2">
        <v>2246</v>
      </c>
      <c r="B180" s="2" t="s">
        <v>42</v>
      </c>
      <c r="C180" s="6" t="s">
        <v>20</v>
      </c>
      <c r="D180" s="6" t="s">
        <v>21</v>
      </c>
      <c r="E180" s="6" t="s">
        <v>15</v>
      </c>
      <c r="F180" s="6" t="s">
        <v>37</v>
      </c>
      <c r="G180" s="6">
        <v>2214</v>
      </c>
      <c r="H180" s="6"/>
      <c r="I180" s="6"/>
      <c r="J180" s="6"/>
      <c r="K180" s="6"/>
      <c r="L180" s="6"/>
      <c r="M180" s="6"/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ht="15.75" x14ac:dyDescent="0.25">
      <c r="A181" s="27">
        <v>3501</v>
      </c>
      <c r="B181" s="2" t="s">
        <v>13</v>
      </c>
      <c r="C181" s="6" t="s">
        <v>14</v>
      </c>
      <c r="D181" s="6" t="s">
        <v>15</v>
      </c>
      <c r="E181" s="6" t="s">
        <v>15</v>
      </c>
      <c r="F181" s="6" t="s">
        <v>16</v>
      </c>
      <c r="G181" s="28">
        <v>2404</v>
      </c>
      <c r="H181" s="6"/>
      <c r="I181" s="6"/>
      <c r="J181" s="6"/>
      <c r="K181" s="6"/>
      <c r="L181" s="6"/>
      <c r="M181" s="21"/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ht="15.75" x14ac:dyDescent="0.25">
      <c r="A182" s="27">
        <v>3503</v>
      </c>
      <c r="B182" s="2" t="s">
        <v>18</v>
      </c>
      <c r="C182" s="6" t="s">
        <v>14</v>
      </c>
      <c r="D182" s="6" t="s">
        <v>15</v>
      </c>
      <c r="E182" s="6" t="s">
        <v>15</v>
      </c>
      <c r="F182" s="6" t="s">
        <v>16</v>
      </c>
      <c r="G182" s="28">
        <v>2404</v>
      </c>
      <c r="H182" s="6"/>
      <c r="I182" s="6"/>
      <c r="J182" s="6"/>
      <c r="K182" s="6"/>
      <c r="L182" s="6"/>
      <c r="M182" s="21"/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ht="15.75" x14ac:dyDescent="0.25">
      <c r="A183" s="27">
        <v>3504</v>
      </c>
      <c r="B183" s="2" t="s">
        <v>31</v>
      </c>
      <c r="C183" s="6" t="s">
        <v>20</v>
      </c>
      <c r="D183" s="6" t="s">
        <v>21</v>
      </c>
      <c r="E183" s="6" t="s">
        <v>15</v>
      </c>
      <c r="F183" s="6" t="s">
        <v>16</v>
      </c>
      <c r="G183" s="28">
        <v>2404</v>
      </c>
      <c r="H183" s="6"/>
      <c r="I183" s="6"/>
      <c r="J183" s="6"/>
      <c r="K183" s="6"/>
      <c r="L183" s="6"/>
      <c r="M183" s="21"/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ht="15.75" x14ac:dyDescent="0.25">
      <c r="A184" s="27">
        <v>3505</v>
      </c>
      <c r="B184" s="2" t="s">
        <v>30</v>
      </c>
      <c r="C184" s="6" t="s">
        <v>20</v>
      </c>
      <c r="D184" s="6" t="s">
        <v>21</v>
      </c>
      <c r="E184" s="6" t="s">
        <v>15</v>
      </c>
      <c r="F184" s="6" t="s">
        <v>16</v>
      </c>
      <c r="G184" s="28">
        <v>2404</v>
      </c>
      <c r="H184" s="6"/>
      <c r="I184" s="6"/>
      <c r="J184" s="6"/>
      <c r="K184" s="6"/>
      <c r="L184" s="6"/>
      <c r="M184" s="21"/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ht="15.75" x14ac:dyDescent="0.25">
      <c r="A185" s="27">
        <v>3507</v>
      </c>
      <c r="B185" s="2" t="s">
        <v>13</v>
      </c>
      <c r="C185" s="6" t="s">
        <v>14</v>
      </c>
      <c r="D185" s="6" t="s">
        <v>15</v>
      </c>
      <c r="E185" s="6" t="s">
        <v>15</v>
      </c>
      <c r="F185" s="6" t="s">
        <v>16</v>
      </c>
      <c r="G185" s="28">
        <v>2404</v>
      </c>
      <c r="H185" s="6"/>
      <c r="I185" s="6"/>
      <c r="J185" s="6"/>
      <c r="K185" s="6"/>
      <c r="L185" s="6"/>
      <c r="M185" s="21"/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ht="15.75" x14ac:dyDescent="0.25">
      <c r="A186" s="27">
        <v>3508</v>
      </c>
      <c r="B186" s="2" t="s">
        <v>13</v>
      </c>
      <c r="C186" s="6" t="s">
        <v>14</v>
      </c>
      <c r="D186" s="6" t="s">
        <v>15</v>
      </c>
      <c r="E186" s="6" t="s">
        <v>15</v>
      </c>
      <c r="F186" s="6" t="s">
        <v>16</v>
      </c>
      <c r="G186" s="28">
        <v>2404</v>
      </c>
      <c r="H186" s="6"/>
      <c r="I186" s="6"/>
      <c r="J186" s="6"/>
      <c r="K186" s="6"/>
      <c r="L186" s="6"/>
      <c r="M186" s="21"/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ht="15.75" x14ac:dyDescent="0.25">
      <c r="A187" s="27">
        <v>3509</v>
      </c>
      <c r="B187" s="2" t="s">
        <v>31</v>
      </c>
      <c r="C187" s="6" t="s">
        <v>20</v>
      </c>
      <c r="D187" s="6" t="s">
        <v>21</v>
      </c>
      <c r="E187" s="6" t="s">
        <v>15</v>
      </c>
      <c r="F187" s="6" t="s">
        <v>16</v>
      </c>
      <c r="G187" s="28">
        <v>2404</v>
      </c>
      <c r="H187" s="6"/>
      <c r="I187" s="6"/>
      <c r="J187" s="6"/>
      <c r="K187" s="6"/>
      <c r="L187" s="6"/>
      <c r="M187" s="21"/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ht="15.75" x14ac:dyDescent="0.25">
      <c r="A188" s="27">
        <v>3511</v>
      </c>
      <c r="B188" s="2" t="s">
        <v>17</v>
      </c>
      <c r="C188" s="6" t="s">
        <v>14</v>
      </c>
      <c r="D188" s="6" t="s">
        <v>15</v>
      </c>
      <c r="E188" s="6" t="s">
        <v>15</v>
      </c>
      <c r="F188" s="6" t="s">
        <v>16</v>
      </c>
      <c r="G188" s="28">
        <v>2404</v>
      </c>
      <c r="H188" s="6"/>
      <c r="I188" s="6"/>
      <c r="J188" s="6"/>
      <c r="K188" s="6"/>
      <c r="L188" s="6"/>
      <c r="M188" s="21"/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ht="15.75" x14ac:dyDescent="0.25">
      <c r="A189" s="27">
        <v>3514</v>
      </c>
      <c r="B189" s="2" t="s">
        <v>13</v>
      </c>
      <c r="C189" s="6" t="s">
        <v>14</v>
      </c>
      <c r="D189" s="6" t="s">
        <v>15</v>
      </c>
      <c r="E189" s="6" t="s">
        <v>15</v>
      </c>
      <c r="F189" s="6" t="s">
        <v>16</v>
      </c>
      <c r="G189" s="28">
        <v>2404</v>
      </c>
      <c r="H189" s="6"/>
      <c r="I189" s="6"/>
      <c r="J189" s="6"/>
      <c r="K189" s="6"/>
      <c r="L189" s="6"/>
      <c r="M189" s="21"/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ht="15.75" x14ac:dyDescent="0.25">
      <c r="A190" s="27">
        <v>3517</v>
      </c>
      <c r="B190" s="2" t="s">
        <v>30</v>
      </c>
      <c r="C190" s="6" t="s">
        <v>20</v>
      </c>
      <c r="D190" s="6" t="s">
        <v>21</v>
      </c>
      <c r="E190" s="6" t="s">
        <v>15</v>
      </c>
      <c r="F190" s="6" t="s">
        <v>16</v>
      </c>
      <c r="G190" s="28">
        <v>2404</v>
      </c>
      <c r="H190" s="6"/>
      <c r="I190" s="6"/>
      <c r="J190" s="6"/>
      <c r="K190" s="6"/>
      <c r="L190" s="6"/>
      <c r="M190" s="21"/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ht="15.75" x14ac:dyDescent="0.25">
      <c r="A191" s="27">
        <v>3521</v>
      </c>
      <c r="B191" s="2" t="s">
        <v>17</v>
      </c>
      <c r="C191" s="6" t="s">
        <v>14</v>
      </c>
      <c r="D191" s="6" t="s">
        <v>15</v>
      </c>
      <c r="E191" s="6" t="s">
        <v>15</v>
      </c>
      <c r="F191" s="6" t="s">
        <v>16</v>
      </c>
      <c r="G191" s="28">
        <v>2404</v>
      </c>
      <c r="H191" s="6"/>
      <c r="I191" s="6"/>
      <c r="J191" s="6"/>
      <c r="K191" s="6"/>
      <c r="L191" s="6"/>
      <c r="M191" s="21"/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ht="15.75" x14ac:dyDescent="0.25">
      <c r="A192" s="27">
        <v>3522</v>
      </c>
      <c r="B192" s="2" t="s">
        <v>17</v>
      </c>
      <c r="C192" s="6" t="s">
        <v>14</v>
      </c>
      <c r="D192" s="6" t="s">
        <v>15</v>
      </c>
      <c r="E192" s="6" t="s">
        <v>15</v>
      </c>
      <c r="F192" s="6" t="s">
        <v>16</v>
      </c>
      <c r="G192" s="28">
        <v>2404</v>
      </c>
      <c r="H192" s="6"/>
      <c r="I192" s="6"/>
      <c r="J192" s="6"/>
      <c r="K192" s="6"/>
      <c r="L192" s="6"/>
      <c r="M192" s="21"/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ht="15.75" x14ac:dyDescent="0.25">
      <c r="A193" s="27">
        <v>3545</v>
      </c>
      <c r="B193" s="2" t="s">
        <v>29</v>
      </c>
      <c r="C193" s="6" t="s">
        <v>27</v>
      </c>
      <c r="D193" s="6" t="s">
        <v>15</v>
      </c>
      <c r="E193" s="6" t="s">
        <v>24</v>
      </c>
      <c r="F193" s="6" t="s">
        <v>16</v>
      </c>
      <c r="G193" s="28">
        <v>2404</v>
      </c>
      <c r="H193" s="6"/>
      <c r="I193" s="6"/>
      <c r="J193" s="6"/>
      <c r="K193" s="6"/>
      <c r="L193" s="6"/>
      <c r="M193" s="21"/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ht="15.75" x14ac:dyDescent="0.25">
      <c r="A194" s="27">
        <v>3553</v>
      </c>
      <c r="B194" s="2" t="s">
        <v>25</v>
      </c>
      <c r="C194" s="6" t="s">
        <v>23</v>
      </c>
      <c r="D194" s="6" t="s">
        <v>21</v>
      </c>
      <c r="E194" s="6" t="s">
        <v>24</v>
      </c>
      <c r="F194" s="6" t="s">
        <v>16</v>
      </c>
      <c r="G194" s="28">
        <v>2404</v>
      </c>
      <c r="H194" s="6"/>
      <c r="I194" s="6"/>
      <c r="J194" s="6"/>
      <c r="K194" s="6"/>
      <c r="L194" s="6"/>
      <c r="M194" s="21"/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ht="15.75" x14ac:dyDescent="0.25">
      <c r="A195" s="27">
        <v>3554</v>
      </c>
      <c r="B195" s="2" t="s">
        <v>30</v>
      </c>
      <c r="C195" s="6" t="s">
        <v>20</v>
      </c>
      <c r="D195" s="6" t="s">
        <v>21</v>
      </c>
      <c r="E195" s="6" t="s">
        <v>15</v>
      </c>
      <c r="F195" s="6" t="s">
        <v>16</v>
      </c>
      <c r="G195" s="28">
        <v>2404</v>
      </c>
      <c r="H195" s="6"/>
      <c r="I195" s="6"/>
      <c r="J195" s="6"/>
      <c r="K195" s="6"/>
      <c r="L195" s="6"/>
      <c r="M195" s="21"/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ht="15.75" x14ac:dyDescent="0.25">
      <c r="A196" s="27">
        <v>3557</v>
      </c>
      <c r="B196" s="2" t="s">
        <v>32</v>
      </c>
      <c r="C196" s="6" t="s">
        <v>23</v>
      </c>
      <c r="D196" s="6" t="s">
        <v>21</v>
      </c>
      <c r="E196" s="6" t="s">
        <v>24</v>
      </c>
      <c r="F196" s="6" t="s">
        <v>16</v>
      </c>
      <c r="G196" s="28">
        <v>2404</v>
      </c>
      <c r="H196" s="6"/>
      <c r="I196" s="6"/>
      <c r="J196" s="6"/>
      <c r="K196" s="6"/>
      <c r="L196" s="6"/>
      <c r="M196" s="21"/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ht="15.75" x14ac:dyDescent="0.25">
      <c r="A197" s="27">
        <v>3558</v>
      </c>
      <c r="B197" s="2" t="s">
        <v>17</v>
      </c>
      <c r="C197" s="6" t="s">
        <v>14</v>
      </c>
      <c r="D197" s="6" t="s">
        <v>15</v>
      </c>
      <c r="E197" s="6" t="s">
        <v>15</v>
      </c>
      <c r="F197" s="6" t="s">
        <v>16</v>
      </c>
      <c r="G197" s="28">
        <v>2404</v>
      </c>
      <c r="H197" s="6">
        <v>173</v>
      </c>
      <c r="I197" s="6"/>
      <c r="J197" s="6"/>
      <c r="K197" s="6"/>
      <c r="L197" s="6"/>
      <c r="M197" s="21"/>
      <c r="N197" s="6">
        <v>1</v>
      </c>
      <c r="O197" s="6">
        <v>18.329999999999998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18.329999999999998</v>
      </c>
    </row>
    <row r="198" spans="1:23" ht="15.75" x14ac:dyDescent="0.25">
      <c r="A198" s="27">
        <v>3571</v>
      </c>
      <c r="B198" s="2" t="s">
        <v>31</v>
      </c>
      <c r="C198" s="6" t="s">
        <v>20</v>
      </c>
      <c r="D198" s="6" t="s">
        <v>21</v>
      </c>
      <c r="E198" s="6" t="s">
        <v>15</v>
      </c>
      <c r="F198" s="6" t="s">
        <v>16</v>
      </c>
      <c r="G198" s="28">
        <v>2404</v>
      </c>
      <c r="H198" s="6"/>
      <c r="I198" s="6"/>
      <c r="J198" s="6"/>
      <c r="K198" s="6"/>
      <c r="L198" s="6"/>
      <c r="M198" s="21"/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ht="15.75" x14ac:dyDescent="0.25">
      <c r="A199" s="27">
        <v>3579</v>
      </c>
      <c r="B199" s="2" t="s">
        <v>35</v>
      </c>
      <c r="C199" s="6" t="s">
        <v>20</v>
      </c>
      <c r="D199" s="6" t="s">
        <v>21</v>
      </c>
      <c r="E199" s="6" t="s">
        <v>15</v>
      </c>
      <c r="F199" s="6" t="s">
        <v>16</v>
      </c>
      <c r="G199" s="28">
        <v>2404</v>
      </c>
      <c r="H199" s="6">
        <v>176</v>
      </c>
      <c r="I199" s="6"/>
      <c r="J199" s="6"/>
      <c r="K199" s="6"/>
      <c r="L199" s="6"/>
      <c r="M199" s="21"/>
      <c r="N199" s="6">
        <v>1</v>
      </c>
      <c r="O199" s="6">
        <v>14.1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14.1</v>
      </c>
    </row>
    <row r="200" spans="1:23" ht="15.75" x14ac:dyDescent="0.25">
      <c r="A200" s="27">
        <v>3580</v>
      </c>
      <c r="B200" s="2" t="s">
        <v>35</v>
      </c>
      <c r="C200" s="6" t="s">
        <v>20</v>
      </c>
      <c r="D200" s="6" t="s">
        <v>21</v>
      </c>
      <c r="E200" s="6" t="s">
        <v>15</v>
      </c>
      <c r="F200" s="6" t="s">
        <v>16</v>
      </c>
      <c r="G200" s="28">
        <v>2404</v>
      </c>
      <c r="H200" s="6"/>
      <c r="I200" s="6"/>
      <c r="J200" s="6"/>
      <c r="K200" s="6"/>
      <c r="L200" s="6"/>
      <c r="M200" s="21"/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ht="15.75" x14ac:dyDescent="0.25">
      <c r="A201" s="27">
        <v>3581</v>
      </c>
      <c r="B201" s="2" t="s">
        <v>31</v>
      </c>
      <c r="C201" s="6" t="s">
        <v>20</v>
      </c>
      <c r="D201" s="6" t="s">
        <v>21</v>
      </c>
      <c r="E201" s="6" t="s">
        <v>15</v>
      </c>
      <c r="F201" s="6" t="s">
        <v>16</v>
      </c>
      <c r="G201" s="28">
        <v>2404</v>
      </c>
      <c r="H201" s="6"/>
      <c r="I201" s="6"/>
      <c r="J201" s="6"/>
      <c r="K201" s="6"/>
      <c r="L201" s="6"/>
      <c r="M201" s="21"/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ht="15.75" x14ac:dyDescent="0.25">
      <c r="A202" s="27">
        <v>3593</v>
      </c>
      <c r="B202" s="2" t="s">
        <v>65</v>
      </c>
      <c r="C202" s="6" t="s">
        <v>23</v>
      </c>
      <c r="D202" s="6" t="s">
        <v>21</v>
      </c>
      <c r="E202" s="6" t="s">
        <v>24</v>
      </c>
      <c r="F202" s="6" t="s">
        <v>16</v>
      </c>
      <c r="G202" s="28">
        <v>2404</v>
      </c>
      <c r="H202" s="6"/>
      <c r="I202" s="6"/>
      <c r="J202" s="6"/>
      <c r="K202" s="6"/>
      <c r="L202" s="6"/>
      <c r="M202" s="21"/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ht="15.75" x14ac:dyDescent="0.25">
      <c r="A203" s="27">
        <v>3617</v>
      </c>
      <c r="B203" s="2" t="s">
        <v>35</v>
      </c>
      <c r="C203" s="6" t="s">
        <v>20</v>
      </c>
      <c r="D203" s="6" t="s">
        <v>21</v>
      </c>
      <c r="E203" s="6" t="s">
        <v>15</v>
      </c>
      <c r="F203" s="6" t="s">
        <v>16</v>
      </c>
      <c r="G203" s="28">
        <v>2404</v>
      </c>
      <c r="H203" s="6"/>
      <c r="I203" s="6"/>
      <c r="J203" s="6"/>
      <c r="K203" s="6"/>
      <c r="L203" s="6"/>
      <c r="M203" s="21"/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ht="15.75" x14ac:dyDescent="0.25">
      <c r="A204" s="27">
        <v>3623</v>
      </c>
      <c r="B204" s="2" t="s">
        <v>30</v>
      </c>
      <c r="C204" s="6" t="s">
        <v>20</v>
      </c>
      <c r="D204" s="6" t="s">
        <v>21</v>
      </c>
      <c r="E204" s="6" t="s">
        <v>15</v>
      </c>
      <c r="F204" s="6" t="s">
        <v>16</v>
      </c>
      <c r="G204" s="28">
        <v>2404</v>
      </c>
      <c r="H204" s="6"/>
      <c r="I204" s="6"/>
      <c r="J204" s="6"/>
      <c r="K204" s="6"/>
      <c r="L204" s="6"/>
      <c r="M204" s="21"/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ht="15.75" x14ac:dyDescent="0.25">
      <c r="A205" s="27">
        <v>3636</v>
      </c>
      <c r="B205" s="2" t="s">
        <v>26</v>
      </c>
      <c r="C205" s="6" t="s">
        <v>27</v>
      </c>
      <c r="D205" s="6" t="s">
        <v>15</v>
      </c>
      <c r="E205" s="6" t="s">
        <v>24</v>
      </c>
      <c r="F205" s="6" t="s">
        <v>16</v>
      </c>
      <c r="G205" s="28">
        <v>2404</v>
      </c>
      <c r="H205" s="6"/>
      <c r="I205" s="6"/>
      <c r="J205" s="6"/>
      <c r="K205" s="6"/>
      <c r="L205" s="6"/>
      <c r="M205" s="21"/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ht="15.75" x14ac:dyDescent="0.25">
      <c r="A206" s="27">
        <v>3639</v>
      </c>
      <c r="B206" s="2" t="s">
        <v>34</v>
      </c>
      <c r="C206" s="6" t="s">
        <v>14</v>
      </c>
      <c r="D206" s="6" t="s">
        <v>15</v>
      </c>
      <c r="E206" s="6" t="s">
        <v>15</v>
      </c>
      <c r="F206" s="6" t="s">
        <v>16</v>
      </c>
      <c r="G206" s="28">
        <v>2404</v>
      </c>
      <c r="H206" s="6"/>
      <c r="I206" s="6"/>
      <c r="J206" s="6"/>
      <c r="K206" s="6"/>
      <c r="L206" s="6"/>
      <c r="M206" s="21"/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ht="15.75" x14ac:dyDescent="0.25">
      <c r="A207" s="6">
        <v>3649</v>
      </c>
      <c r="B207" s="2" t="s">
        <v>35</v>
      </c>
      <c r="C207" s="6" t="s">
        <v>20</v>
      </c>
      <c r="D207" s="6" t="s">
        <v>21</v>
      </c>
      <c r="E207" s="6" t="s">
        <v>15</v>
      </c>
      <c r="F207" s="6" t="s">
        <v>16</v>
      </c>
      <c r="G207" s="28">
        <v>2404</v>
      </c>
      <c r="H207" s="6"/>
      <c r="I207" s="6"/>
      <c r="J207" s="6"/>
      <c r="K207" s="6"/>
      <c r="L207" s="6"/>
      <c r="M207" s="21"/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ht="15.75" x14ac:dyDescent="0.25">
      <c r="A208" s="6">
        <v>3662</v>
      </c>
      <c r="B208" s="2" t="s">
        <v>22</v>
      </c>
      <c r="C208" s="6" t="s">
        <v>23</v>
      </c>
      <c r="D208" s="6" t="s">
        <v>21</v>
      </c>
      <c r="E208" s="6" t="s">
        <v>24</v>
      </c>
      <c r="F208" s="6" t="s">
        <v>16</v>
      </c>
      <c r="G208" s="28">
        <v>2404</v>
      </c>
      <c r="H208" s="6">
        <v>187</v>
      </c>
      <c r="I208" s="6"/>
      <c r="J208" s="6"/>
      <c r="K208" s="6"/>
      <c r="L208" s="6"/>
      <c r="M208" s="21"/>
      <c r="N208" s="6">
        <v>1</v>
      </c>
      <c r="O208" s="6">
        <v>14.1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14.1</v>
      </c>
    </row>
    <row r="209" spans="1:23" ht="15.75" x14ac:dyDescent="0.25">
      <c r="A209" s="6">
        <v>3677</v>
      </c>
      <c r="B209" s="2" t="s">
        <v>33</v>
      </c>
      <c r="C209" s="6" t="s">
        <v>27</v>
      </c>
      <c r="D209" s="6" t="s">
        <v>15</v>
      </c>
      <c r="E209" s="6" t="s">
        <v>24</v>
      </c>
      <c r="F209" s="6" t="s">
        <v>16</v>
      </c>
      <c r="G209" s="28">
        <v>2404</v>
      </c>
      <c r="H209" s="6">
        <v>176</v>
      </c>
      <c r="I209" s="6"/>
      <c r="J209" s="6"/>
      <c r="K209" s="6"/>
      <c r="L209" s="6"/>
      <c r="M209" s="21"/>
      <c r="N209" s="6">
        <v>1</v>
      </c>
      <c r="O209" s="6">
        <v>15.51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15.51</v>
      </c>
    </row>
    <row r="210" spans="1:23" ht="15.75" x14ac:dyDescent="0.25">
      <c r="A210" s="6">
        <v>3683</v>
      </c>
      <c r="B210" s="2" t="s">
        <v>33</v>
      </c>
      <c r="C210" s="6" t="s">
        <v>27</v>
      </c>
      <c r="D210" s="6" t="s">
        <v>15</v>
      </c>
      <c r="E210" s="6" t="s">
        <v>24</v>
      </c>
      <c r="F210" s="6" t="s">
        <v>16</v>
      </c>
      <c r="G210" s="28">
        <v>2404</v>
      </c>
      <c r="H210" s="6"/>
      <c r="I210" s="6"/>
      <c r="J210" s="6"/>
      <c r="K210" s="6"/>
      <c r="L210" s="6"/>
      <c r="M210" s="21"/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ht="15.75" x14ac:dyDescent="0.25">
      <c r="A211" s="6">
        <v>3523</v>
      </c>
      <c r="B211" s="2" t="s">
        <v>42</v>
      </c>
      <c r="C211" s="6" t="s">
        <v>20</v>
      </c>
      <c r="D211" s="6" t="s">
        <v>21</v>
      </c>
      <c r="E211" s="6" t="s">
        <v>15</v>
      </c>
      <c r="F211" s="6" t="s">
        <v>16</v>
      </c>
      <c r="G211" s="28">
        <v>2404</v>
      </c>
      <c r="H211" s="6"/>
      <c r="I211" s="6"/>
      <c r="J211" s="6"/>
      <c r="K211" s="6"/>
      <c r="L211" s="6"/>
      <c r="M211" s="21"/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ht="15.75" x14ac:dyDescent="0.25">
      <c r="A212" s="6">
        <v>3534</v>
      </c>
      <c r="B212" s="2" t="s">
        <v>42</v>
      </c>
      <c r="C212" s="6" t="s">
        <v>20</v>
      </c>
      <c r="D212" s="6" t="s">
        <v>21</v>
      </c>
      <c r="E212" s="6" t="s">
        <v>15</v>
      </c>
      <c r="F212" s="6" t="s">
        <v>16</v>
      </c>
      <c r="G212" s="28">
        <v>2404</v>
      </c>
      <c r="H212" s="6"/>
      <c r="I212" s="6"/>
      <c r="J212" s="6"/>
      <c r="K212" s="6"/>
      <c r="L212" s="6"/>
      <c r="M212" s="21"/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ht="15.75" x14ac:dyDescent="0.25">
      <c r="A213" s="6">
        <v>3538</v>
      </c>
      <c r="B213" s="2" t="s">
        <v>13</v>
      </c>
      <c r="C213" s="6" t="s">
        <v>14</v>
      </c>
      <c r="D213" s="6" t="s">
        <v>15</v>
      </c>
      <c r="E213" s="6" t="s">
        <v>15</v>
      </c>
      <c r="F213" s="6" t="s">
        <v>16</v>
      </c>
      <c r="G213" s="28">
        <v>2404</v>
      </c>
      <c r="H213" s="6"/>
      <c r="I213" s="6"/>
      <c r="J213" s="6"/>
      <c r="K213" s="6"/>
      <c r="L213" s="6"/>
      <c r="M213" s="21"/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ht="15.75" x14ac:dyDescent="0.25">
      <c r="A214" s="6">
        <v>3542</v>
      </c>
      <c r="B214" s="2" t="s">
        <v>17</v>
      </c>
      <c r="C214" s="6" t="s">
        <v>14</v>
      </c>
      <c r="D214" s="6" t="s">
        <v>15</v>
      </c>
      <c r="E214" s="6" t="s">
        <v>15</v>
      </c>
      <c r="F214" s="6" t="s">
        <v>16</v>
      </c>
      <c r="G214" s="28">
        <v>2404</v>
      </c>
      <c r="H214" s="6"/>
      <c r="I214" s="6"/>
      <c r="J214" s="6"/>
      <c r="K214" s="6"/>
      <c r="L214" s="6"/>
      <c r="M214" s="21"/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ht="15.75" x14ac:dyDescent="0.25">
      <c r="A215" s="6">
        <v>3546</v>
      </c>
      <c r="B215" s="2" t="s">
        <v>25</v>
      </c>
      <c r="C215" s="6" t="s">
        <v>23</v>
      </c>
      <c r="D215" s="6" t="s">
        <v>21</v>
      </c>
      <c r="E215" s="6" t="s">
        <v>24</v>
      </c>
      <c r="F215" s="6" t="s">
        <v>16</v>
      </c>
      <c r="G215" s="28">
        <v>2404</v>
      </c>
      <c r="H215" s="6"/>
      <c r="I215" s="6"/>
      <c r="J215" s="6"/>
      <c r="K215" s="6"/>
      <c r="L215" s="6"/>
      <c r="M215" s="21"/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ht="15.75" x14ac:dyDescent="0.25">
      <c r="A216" s="6">
        <v>3559</v>
      </c>
      <c r="B216" s="2" t="s">
        <v>31</v>
      </c>
      <c r="C216" s="6" t="s">
        <v>20</v>
      </c>
      <c r="D216" s="6" t="s">
        <v>21</v>
      </c>
      <c r="E216" s="6" t="s">
        <v>15</v>
      </c>
      <c r="F216" s="6" t="s">
        <v>16</v>
      </c>
      <c r="G216" s="28">
        <v>2404</v>
      </c>
      <c r="H216" s="6"/>
      <c r="I216" s="6"/>
      <c r="J216" s="6"/>
      <c r="K216" s="6"/>
      <c r="L216" s="6"/>
      <c r="M216" s="21"/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ht="15.75" x14ac:dyDescent="0.25">
      <c r="A217" s="6">
        <v>3568</v>
      </c>
      <c r="B217" s="2" t="s">
        <v>29</v>
      </c>
      <c r="C217" s="6" t="s">
        <v>27</v>
      </c>
      <c r="D217" s="6" t="s">
        <v>15</v>
      </c>
      <c r="E217" s="6" t="s">
        <v>24</v>
      </c>
      <c r="F217" s="6" t="s">
        <v>16</v>
      </c>
      <c r="G217" s="28">
        <v>2404</v>
      </c>
      <c r="H217" s="6">
        <v>178</v>
      </c>
      <c r="I217" s="6">
        <v>197</v>
      </c>
      <c r="J217" s="6"/>
      <c r="K217" s="6"/>
      <c r="L217" s="6"/>
      <c r="M217" s="21"/>
      <c r="N217" s="6">
        <v>1</v>
      </c>
      <c r="O217" s="6">
        <v>18.329999999999998</v>
      </c>
      <c r="P217" s="6">
        <v>1</v>
      </c>
      <c r="Q217" s="6">
        <v>79.492500000000007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97.822500000000005</v>
      </c>
    </row>
    <row r="218" spans="1:23" ht="15.75" x14ac:dyDescent="0.25">
      <c r="A218" s="6">
        <v>3570</v>
      </c>
      <c r="B218" s="2" t="s">
        <v>32</v>
      </c>
      <c r="C218" s="6" t="s">
        <v>23</v>
      </c>
      <c r="D218" s="6" t="s">
        <v>21</v>
      </c>
      <c r="E218" s="6" t="s">
        <v>24</v>
      </c>
      <c r="F218" s="6" t="s">
        <v>16</v>
      </c>
      <c r="G218" s="28">
        <v>2404</v>
      </c>
      <c r="H218" s="6"/>
      <c r="I218" s="6"/>
      <c r="J218" s="6"/>
      <c r="K218" s="6"/>
      <c r="L218" s="6"/>
      <c r="M218" s="21"/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ht="15.75" x14ac:dyDescent="0.25">
      <c r="A219" s="6">
        <v>3575</v>
      </c>
      <c r="B219" s="2" t="s">
        <v>29</v>
      </c>
      <c r="C219" s="6" t="s">
        <v>27</v>
      </c>
      <c r="D219" s="6" t="s">
        <v>15</v>
      </c>
      <c r="E219" s="6" t="s">
        <v>24</v>
      </c>
      <c r="F219" s="6" t="s">
        <v>16</v>
      </c>
      <c r="G219" s="28">
        <v>2404</v>
      </c>
      <c r="H219" s="6"/>
      <c r="I219" s="6"/>
      <c r="J219" s="6"/>
      <c r="K219" s="6"/>
      <c r="L219" s="6"/>
      <c r="M219" s="21"/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ht="15.75" x14ac:dyDescent="0.25">
      <c r="A220" s="6">
        <v>3584</v>
      </c>
      <c r="B220" s="2" t="s">
        <v>31</v>
      </c>
      <c r="C220" s="6" t="s">
        <v>20</v>
      </c>
      <c r="D220" s="6" t="s">
        <v>21</v>
      </c>
      <c r="E220" s="6" t="s">
        <v>15</v>
      </c>
      <c r="F220" s="6" t="s">
        <v>16</v>
      </c>
      <c r="G220" s="28">
        <v>2404</v>
      </c>
      <c r="H220" s="6"/>
      <c r="I220" s="6"/>
      <c r="J220" s="6"/>
      <c r="K220" s="6"/>
      <c r="L220" s="6"/>
      <c r="M220" s="21"/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ht="15.75" x14ac:dyDescent="0.25">
      <c r="A221" s="6">
        <v>3586</v>
      </c>
      <c r="B221" s="2" t="s">
        <v>29</v>
      </c>
      <c r="C221" s="6" t="s">
        <v>27</v>
      </c>
      <c r="D221" s="6" t="s">
        <v>15</v>
      </c>
      <c r="E221" s="6" t="s">
        <v>24</v>
      </c>
      <c r="F221" s="6" t="s">
        <v>16</v>
      </c>
      <c r="G221" s="28">
        <v>2404</v>
      </c>
      <c r="H221" s="6"/>
      <c r="I221" s="6"/>
      <c r="J221" s="6"/>
      <c r="K221" s="6"/>
      <c r="L221" s="6"/>
      <c r="M221" s="21"/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ht="15.75" x14ac:dyDescent="0.25">
      <c r="A222" s="6">
        <v>3587</v>
      </c>
      <c r="B222" s="2" t="s">
        <v>26</v>
      </c>
      <c r="C222" s="6" t="s">
        <v>27</v>
      </c>
      <c r="D222" s="6" t="s">
        <v>15</v>
      </c>
      <c r="E222" s="6" t="s">
        <v>24</v>
      </c>
      <c r="F222" s="6" t="s">
        <v>16</v>
      </c>
      <c r="G222" s="28">
        <v>2404</v>
      </c>
      <c r="H222" s="6">
        <v>176</v>
      </c>
      <c r="I222" s="6"/>
      <c r="J222" s="6"/>
      <c r="K222" s="6"/>
      <c r="L222" s="6"/>
      <c r="M222" s="21"/>
      <c r="N222" s="6">
        <v>1</v>
      </c>
      <c r="O222" s="6">
        <v>18.329999999999998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18.329999999999998</v>
      </c>
    </row>
    <row r="223" spans="1:23" ht="15.75" x14ac:dyDescent="0.25">
      <c r="A223" s="6">
        <v>3588</v>
      </c>
      <c r="B223" s="2" t="s">
        <v>29</v>
      </c>
      <c r="C223" s="6" t="s">
        <v>27</v>
      </c>
      <c r="D223" s="6" t="s">
        <v>15</v>
      </c>
      <c r="E223" s="6" t="s">
        <v>24</v>
      </c>
      <c r="F223" s="6" t="s">
        <v>16</v>
      </c>
      <c r="G223" s="28">
        <v>2404</v>
      </c>
      <c r="H223" s="6"/>
      <c r="I223" s="6"/>
      <c r="J223" s="6"/>
      <c r="K223" s="6"/>
      <c r="L223" s="6"/>
      <c r="M223" s="21"/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ht="15.75" x14ac:dyDescent="0.25">
      <c r="A224" s="6">
        <v>3591</v>
      </c>
      <c r="B224" s="2" t="s">
        <v>13</v>
      </c>
      <c r="C224" s="6" t="s">
        <v>14</v>
      </c>
      <c r="D224" s="6" t="s">
        <v>15</v>
      </c>
      <c r="E224" s="6" t="s">
        <v>15</v>
      </c>
      <c r="F224" s="6" t="s">
        <v>16</v>
      </c>
      <c r="G224" s="28">
        <v>2404</v>
      </c>
      <c r="H224" s="6"/>
      <c r="I224" s="6"/>
      <c r="J224" s="6"/>
      <c r="K224" s="6"/>
      <c r="L224" s="6"/>
      <c r="M224" s="21"/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ht="15.75" x14ac:dyDescent="0.25">
      <c r="A225" s="6">
        <v>3598</v>
      </c>
      <c r="B225" s="2" t="s">
        <v>26</v>
      </c>
      <c r="C225" s="6" t="s">
        <v>27</v>
      </c>
      <c r="D225" s="6" t="s">
        <v>15</v>
      </c>
      <c r="E225" s="6" t="s">
        <v>24</v>
      </c>
      <c r="F225" s="6" t="s">
        <v>16</v>
      </c>
      <c r="G225" s="28">
        <v>2404</v>
      </c>
      <c r="H225" s="6">
        <v>176</v>
      </c>
      <c r="I225" s="6"/>
      <c r="J225" s="6"/>
      <c r="K225" s="6"/>
      <c r="L225" s="6"/>
      <c r="M225" s="21"/>
      <c r="N225" s="6">
        <v>1</v>
      </c>
      <c r="O225" s="6">
        <v>16.920000000000002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16.920000000000002</v>
      </c>
    </row>
    <row r="226" spans="1:23" ht="15.75" x14ac:dyDescent="0.25">
      <c r="A226" s="6">
        <v>3599</v>
      </c>
      <c r="B226" s="2" t="s">
        <v>31</v>
      </c>
      <c r="C226" s="6" t="s">
        <v>20</v>
      </c>
      <c r="D226" s="6" t="s">
        <v>21</v>
      </c>
      <c r="E226" s="6" t="s">
        <v>15</v>
      </c>
      <c r="F226" s="6" t="s">
        <v>16</v>
      </c>
      <c r="G226" s="28">
        <v>2404</v>
      </c>
      <c r="H226" s="6"/>
      <c r="I226" s="6"/>
      <c r="J226" s="6"/>
      <c r="K226" s="6"/>
      <c r="L226" s="6"/>
      <c r="M226" s="21"/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ht="15.75" x14ac:dyDescent="0.25">
      <c r="A227" s="6">
        <v>3602</v>
      </c>
      <c r="B227" s="2" t="s">
        <v>26</v>
      </c>
      <c r="C227" s="6" t="s">
        <v>27</v>
      </c>
      <c r="D227" s="6" t="s">
        <v>15</v>
      </c>
      <c r="E227" s="6" t="s">
        <v>24</v>
      </c>
      <c r="F227" s="6" t="s">
        <v>16</v>
      </c>
      <c r="G227" s="28">
        <v>2404</v>
      </c>
      <c r="H227" s="6">
        <v>166</v>
      </c>
      <c r="I227" s="6">
        <v>169</v>
      </c>
      <c r="J227" s="6"/>
      <c r="K227" s="6"/>
      <c r="L227" s="6"/>
      <c r="M227" s="21"/>
      <c r="N227" s="6">
        <v>1</v>
      </c>
      <c r="O227" s="6">
        <v>15.51</v>
      </c>
      <c r="P227" s="6">
        <v>1</v>
      </c>
      <c r="Q227" s="6">
        <v>58.294499999999999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73.804500000000004</v>
      </c>
    </row>
    <row r="228" spans="1:23" ht="15.75" x14ac:dyDescent="0.25">
      <c r="A228" s="6">
        <v>3603</v>
      </c>
      <c r="B228" s="2" t="s">
        <v>30</v>
      </c>
      <c r="C228" s="6" t="s">
        <v>20</v>
      </c>
      <c r="D228" s="6" t="s">
        <v>21</v>
      </c>
      <c r="E228" s="6" t="s">
        <v>15</v>
      </c>
      <c r="F228" s="6" t="s">
        <v>16</v>
      </c>
      <c r="G228" s="28">
        <v>2404</v>
      </c>
      <c r="H228" s="6"/>
      <c r="I228" s="6"/>
      <c r="J228" s="6"/>
      <c r="K228" s="6"/>
      <c r="L228" s="6"/>
      <c r="M228" s="21"/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ht="15.75" x14ac:dyDescent="0.25">
      <c r="A229" s="6">
        <v>3607</v>
      </c>
      <c r="B229" s="2" t="s">
        <v>30</v>
      </c>
      <c r="C229" s="6" t="s">
        <v>20</v>
      </c>
      <c r="D229" s="6" t="s">
        <v>21</v>
      </c>
      <c r="E229" s="6" t="s">
        <v>15</v>
      </c>
      <c r="F229" s="6" t="s">
        <v>16</v>
      </c>
      <c r="G229" s="28">
        <v>2404</v>
      </c>
      <c r="H229" s="6">
        <v>180</v>
      </c>
      <c r="I229" s="6"/>
      <c r="J229" s="6"/>
      <c r="K229" s="6"/>
      <c r="L229" s="6"/>
      <c r="M229" s="21"/>
      <c r="N229" s="6">
        <v>1</v>
      </c>
      <c r="O229" s="6">
        <v>16.920000000000002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16.920000000000002</v>
      </c>
    </row>
    <row r="230" spans="1:23" ht="15.75" x14ac:dyDescent="0.25">
      <c r="A230" s="6">
        <v>3608</v>
      </c>
      <c r="B230" s="2" t="s">
        <v>31</v>
      </c>
      <c r="C230" s="6" t="s">
        <v>20</v>
      </c>
      <c r="D230" s="6" t="s">
        <v>21</v>
      </c>
      <c r="E230" s="6" t="s">
        <v>15</v>
      </c>
      <c r="F230" s="6" t="s">
        <v>16</v>
      </c>
      <c r="G230" s="28">
        <v>2404</v>
      </c>
      <c r="H230" s="6"/>
      <c r="I230" s="6"/>
      <c r="J230" s="6"/>
      <c r="K230" s="6"/>
      <c r="L230" s="6"/>
      <c r="M230" s="21"/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ht="15.75" x14ac:dyDescent="0.25">
      <c r="A231" s="6">
        <v>3609</v>
      </c>
      <c r="B231" s="2" t="s">
        <v>42</v>
      </c>
      <c r="C231" s="6" t="s">
        <v>20</v>
      </c>
      <c r="D231" s="6" t="s">
        <v>21</v>
      </c>
      <c r="E231" s="6" t="s">
        <v>15</v>
      </c>
      <c r="F231" s="6" t="s">
        <v>16</v>
      </c>
      <c r="G231" s="28">
        <v>2404</v>
      </c>
      <c r="H231" s="6"/>
      <c r="I231" s="6"/>
      <c r="J231" s="6"/>
      <c r="K231" s="6"/>
      <c r="L231" s="6"/>
      <c r="M231" s="21"/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ht="15.75" x14ac:dyDescent="0.25">
      <c r="A232" s="6">
        <v>3610</v>
      </c>
      <c r="B232" s="2" t="s">
        <v>22</v>
      </c>
      <c r="C232" s="6" t="s">
        <v>23</v>
      </c>
      <c r="D232" s="6" t="s">
        <v>21</v>
      </c>
      <c r="E232" s="6" t="s">
        <v>24</v>
      </c>
      <c r="F232" s="6" t="s">
        <v>16</v>
      </c>
      <c r="G232" s="28">
        <v>2404</v>
      </c>
      <c r="H232" s="6">
        <v>180</v>
      </c>
      <c r="I232" s="6"/>
      <c r="J232" s="6"/>
      <c r="K232" s="6"/>
      <c r="L232" s="6"/>
      <c r="M232" s="21"/>
      <c r="N232" s="6">
        <v>1</v>
      </c>
      <c r="O232" s="6">
        <v>15.51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15.51</v>
      </c>
    </row>
    <row r="233" spans="1:23" ht="15.75" x14ac:dyDescent="0.25">
      <c r="A233" s="6">
        <v>3613</v>
      </c>
      <c r="B233" s="2" t="s">
        <v>32</v>
      </c>
      <c r="C233" s="6" t="s">
        <v>23</v>
      </c>
      <c r="D233" s="6" t="s">
        <v>21</v>
      </c>
      <c r="E233" s="6" t="s">
        <v>24</v>
      </c>
      <c r="F233" s="6" t="s">
        <v>16</v>
      </c>
      <c r="G233" s="28">
        <v>2404</v>
      </c>
      <c r="H233" s="6">
        <v>132</v>
      </c>
      <c r="I233" s="6"/>
      <c r="J233" s="6"/>
      <c r="K233" s="6">
        <v>133</v>
      </c>
      <c r="L233" s="6"/>
      <c r="M233" s="21"/>
      <c r="N233" s="6">
        <v>1</v>
      </c>
      <c r="O233" s="6">
        <v>9.8699999999999992</v>
      </c>
      <c r="P233" s="6">
        <v>0</v>
      </c>
      <c r="Q233" s="6">
        <v>0</v>
      </c>
      <c r="R233" s="6">
        <v>0</v>
      </c>
      <c r="S233" s="6">
        <v>0</v>
      </c>
      <c r="T233" s="6">
        <v>1</v>
      </c>
      <c r="U233" s="6">
        <v>0</v>
      </c>
      <c r="V233" s="6">
        <v>0</v>
      </c>
      <c r="W233" s="6">
        <v>9.8699999999999992</v>
      </c>
    </row>
    <row r="234" spans="1:23" ht="15.75" x14ac:dyDescent="0.25">
      <c r="A234" s="6">
        <v>3629</v>
      </c>
      <c r="B234" s="2" t="s">
        <v>33</v>
      </c>
      <c r="C234" s="6" t="s">
        <v>27</v>
      </c>
      <c r="D234" s="6" t="s">
        <v>15</v>
      </c>
      <c r="E234" s="6" t="s">
        <v>24</v>
      </c>
      <c r="F234" s="6" t="s">
        <v>16</v>
      </c>
      <c r="G234" s="28">
        <v>2404</v>
      </c>
      <c r="H234" s="6"/>
      <c r="I234" s="6"/>
      <c r="J234" s="6"/>
      <c r="K234" s="6"/>
      <c r="L234" s="6"/>
      <c r="M234" s="21"/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ht="15.75" x14ac:dyDescent="0.25">
      <c r="A235" s="6">
        <v>3642</v>
      </c>
      <c r="B235" s="2" t="s">
        <v>29</v>
      </c>
      <c r="C235" s="6" t="s">
        <v>27</v>
      </c>
      <c r="D235" s="6" t="s">
        <v>15</v>
      </c>
      <c r="E235" s="6" t="s">
        <v>24</v>
      </c>
      <c r="F235" s="6" t="s">
        <v>16</v>
      </c>
      <c r="G235" s="28">
        <v>2404</v>
      </c>
      <c r="H235" s="6"/>
      <c r="I235" s="6"/>
      <c r="J235" s="6"/>
      <c r="K235" s="6"/>
      <c r="L235" s="6"/>
      <c r="M235" s="21"/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ht="15.75" x14ac:dyDescent="0.25">
      <c r="A236" s="6">
        <v>3651</v>
      </c>
      <c r="B236" s="2" t="s">
        <v>42</v>
      </c>
      <c r="C236" s="6" t="s">
        <v>20</v>
      </c>
      <c r="D236" s="6" t="s">
        <v>21</v>
      </c>
      <c r="E236" s="6" t="s">
        <v>15</v>
      </c>
      <c r="F236" s="6" t="s">
        <v>16</v>
      </c>
      <c r="G236" s="28">
        <v>2404</v>
      </c>
      <c r="H236" s="6"/>
      <c r="I236" s="6"/>
      <c r="J236" s="6"/>
      <c r="K236" s="6"/>
      <c r="L236" s="6"/>
      <c r="M236" s="21"/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ht="15.75" x14ac:dyDescent="0.25">
      <c r="A237" s="6">
        <v>3653</v>
      </c>
      <c r="B237" s="2" t="s">
        <v>42</v>
      </c>
      <c r="C237" s="6" t="s">
        <v>20</v>
      </c>
      <c r="D237" s="6" t="s">
        <v>21</v>
      </c>
      <c r="E237" s="6" t="s">
        <v>15</v>
      </c>
      <c r="F237" s="6" t="s">
        <v>16</v>
      </c>
      <c r="G237" s="28">
        <v>2404</v>
      </c>
      <c r="H237" s="6">
        <v>183</v>
      </c>
      <c r="I237" s="6"/>
      <c r="J237" s="6"/>
      <c r="K237" s="6"/>
      <c r="L237" s="6"/>
      <c r="M237" s="21"/>
      <c r="N237" s="6">
        <v>1</v>
      </c>
      <c r="O237" s="6">
        <v>16.920000000000002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16.920000000000002</v>
      </c>
    </row>
    <row r="238" spans="1:23" ht="15.75" x14ac:dyDescent="0.25">
      <c r="A238" s="6">
        <v>3655</v>
      </c>
      <c r="B238" s="2" t="s">
        <v>42</v>
      </c>
      <c r="C238" s="6" t="s">
        <v>20</v>
      </c>
      <c r="D238" s="6" t="s">
        <v>21</v>
      </c>
      <c r="E238" s="6" t="s">
        <v>15</v>
      </c>
      <c r="F238" s="6" t="s">
        <v>16</v>
      </c>
      <c r="G238" s="28">
        <v>2404</v>
      </c>
      <c r="H238" s="6"/>
      <c r="I238" s="6"/>
      <c r="J238" s="6"/>
      <c r="K238" s="6"/>
      <c r="L238" s="6"/>
      <c r="M238" s="21"/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ht="15.75" x14ac:dyDescent="0.25">
      <c r="A239" s="6">
        <v>3660</v>
      </c>
      <c r="B239" s="2" t="s">
        <v>22</v>
      </c>
      <c r="C239" s="6" t="s">
        <v>23</v>
      </c>
      <c r="D239" s="6" t="s">
        <v>21</v>
      </c>
      <c r="E239" s="6" t="s">
        <v>24</v>
      </c>
      <c r="F239" s="6" t="s">
        <v>16</v>
      </c>
      <c r="G239" s="28">
        <v>2404</v>
      </c>
      <c r="H239" s="6">
        <v>173</v>
      </c>
      <c r="I239" s="6"/>
      <c r="J239" s="6"/>
      <c r="K239" s="6"/>
      <c r="L239" s="6"/>
      <c r="M239" s="21"/>
      <c r="N239" s="6">
        <v>1</v>
      </c>
      <c r="O239" s="6">
        <v>14.1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14.1</v>
      </c>
    </row>
    <row r="240" spans="1:23" ht="15.75" x14ac:dyDescent="0.25">
      <c r="A240" s="6">
        <v>3678</v>
      </c>
      <c r="B240" s="2" t="s">
        <v>42</v>
      </c>
      <c r="C240" s="6" t="s">
        <v>20</v>
      </c>
      <c r="D240" s="6" t="s">
        <v>21</v>
      </c>
      <c r="E240" s="6" t="s">
        <v>15</v>
      </c>
      <c r="F240" s="6" t="s">
        <v>16</v>
      </c>
      <c r="G240" s="28">
        <v>2404</v>
      </c>
      <c r="H240" s="6"/>
      <c r="I240" s="6"/>
      <c r="J240" s="6"/>
      <c r="K240" s="6"/>
      <c r="L240" s="6"/>
      <c r="M240" s="21"/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C795-D5CC-463B-9D35-BFDC2C7ED79A}">
  <dimension ref="A1:Z230"/>
  <sheetViews>
    <sheetView topLeftCell="I1" workbookViewId="0">
      <selection activeCell="I1" sqref="A1:XFD1048576"/>
    </sheetView>
  </sheetViews>
  <sheetFormatPr defaultRowHeight="15" x14ac:dyDescent="0.25"/>
  <sheetData>
    <row r="1" spans="1:25" ht="15.75" x14ac:dyDescent="0.25">
      <c r="A1" s="2" t="s">
        <v>0</v>
      </c>
      <c r="B1" s="3" t="s">
        <v>48</v>
      </c>
      <c r="C1" s="3" t="s">
        <v>2</v>
      </c>
      <c r="D1" s="3" t="s">
        <v>8</v>
      </c>
      <c r="E1" s="3" t="s">
        <v>7</v>
      </c>
      <c r="F1" s="3" t="s">
        <v>49</v>
      </c>
      <c r="G1" s="3" t="s">
        <v>50</v>
      </c>
      <c r="H1" s="3" t="s">
        <v>93</v>
      </c>
      <c r="I1" s="29" t="s">
        <v>94</v>
      </c>
      <c r="J1" s="29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101</v>
      </c>
      <c r="Q1" s="2" t="s">
        <v>102</v>
      </c>
      <c r="R1" s="2" t="s">
        <v>103</v>
      </c>
      <c r="S1" s="3" t="s">
        <v>104</v>
      </c>
      <c r="T1" s="2" t="s">
        <v>105</v>
      </c>
    </row>
    <row r="2" spans="1:25" ht="15.75" x14ac:dyDescent="0.25">
      <c r="A2" s="2">
        <v>2002</v>
      </c>
      <c r="B2" s="2" t="s">
        <v>14</v>
      </c>
      <c r="C2" s="2" t="s">
        <v>13</v>
      </c>
      <c r="D2" s="2">
        <v>2214</v>
      </c>
      <c r="E2" s="2" t="s">
        <v>37</v>
      </c>
      <c r="F2" s="2" t="s">
        <v>15</v>
      </c>
      <c r="G2" s="2" t="s">
        <v>15</v>
      </c>
      <c r="H2" s="3">
        <v>223</v>
      </c>
      <c r="I2" s="29">
        <v>285</v>
      </c>
      <c r="J2" s="29">
        <v>348</v>
      </c>
      <c r="K2" s="3">
        <v>513</v>
      </c>
      <c r="L2" s="31">
        <v>665</v>
      </c>
      <c r="M2" s="31">
        <v>1.0303</v>
      </c>
      <c r="N2" s="31">
        <v>1.42045</v>
      </c>
      <c r="O2" s="31">
        <v>1.68337</v>
      </c>
      <c r="P2" s="31">
        <v>2.2564899999999999</v>
      </c>
      <c r="Q2" s="31">
        <v>1.8764000000000001</v>
      </c>
      <c r="R2" s="31">
        <v>1.81558</v>
      </c>
      <c r="S2" s="31">
        <v>203</v>
      </c>
      <c r="T2" s="31">
        <v>263</v>
      </c>
    </row>
    <row r="3" spans="1:25" ht="15.75" x14ac:dyDescent="0.25">
      <c r="A3" s="2">
        <v>2105</v>
      </c>
      <c r="B3" s="2" t="s">
        <v>14</v>
      </c>
      <c r="C3" s="2" t="s">
        <v>17</v>
      </c>
      <c r="D3" s="2">
        <v>2214</v>
      </c>
      <c r="E3" s="2" t="s">
        <v>37</v>
      </c>
      <c r="F3" s="2" t="s">
        <v>15</v>
      </c>
      <c r="G3" s="2" t="s">
        <v>15</v>
      </c>
      <c r="H3" s="3">
        <v>275</v>
      </c>
      <c r="I3" s="29">
        <v>337</v>
      </c>
      <c r="J3" s="29">
        <v>405</v>
      </c>
      <c r="K3" s="3">
        <v>560</v>
      </c>
      <c r="L3" s="31">
        <v>680</v>
      </c>
      <c r="M3" s="31">
        <v>1.03409</v>
      </c>
      <c r="N3" s="31">
        <v>1.4772700000000001</v>
      </c>
      <c r="O3" s="31">
        <v>1.72244</v>
      </c>
      <c r="P3" s="31">
        <v>2.4269500000000002</v>
      </c>
      <c r="Q3" s="31">
        <v>1.95844</v>
      </c>
      <c r="R3" s="31">
        <v>1.8692</v>
      </c>
      <c r="S3" s="31">
        <v>175</v>
      </c>
      <c r="T3" s="31">
        <v>235</v>
      </c>
    </row>
    <row r="4" spans="1:25" ht="15.75" x14ac:dyDescent="0.25">
      <c r="A4" s="2">
        <v>2107</v>
      </c>
      <c r="B4" s="2" t="s">
        <v>27</v>
      </c>
      <c r="C4" s="2" t="s">
        <v>26</v>
      </c>
      <c r="D4" s="2">
        <v>2214</v>
      </c>
      <c r="E4" s="2" t="s">
        <v>37</v>
      </c>
      <c r="F4" s="2" t="s">
        <v>15</v>
      </c>
      <c r="G4" s="2" t="s">
        <v>24</v>
      </c>
      <c r="H4" s="3">
        <v>264</v>
      </c>
      <c r="I4" s="29">
        <v>325</v>
      </c>
      <c r="J4" s="29">
        <v>427</v>
      </c>
      <c r="K4" s="3">
        <v>571</v>
      </c>
      <c r="L4" s="31">
        <v>717</v>
      </c>
      <c r="M4" s="31">
        <v>1.0303</v>
      </c>
      <c r="N4" s="31">
        <v>1.8594999999999999</v>
      </c>
      <c r="O4" s="31">
        <v>1.92747</v>
      </c>
      <c r="P4" s="31">
        <v>3.6363599999999998</v>
      </c>
      <c r="Q4" s="31">
        <v>2.2350599999999998</v>
      </c>
      <c r="R4" s="31">
        <v>1.9681500000000001</v>
      </c>
      <c r="S4" s="31">
        <v>175</v>
      </c>
      <c r="T4" s="31">
        <v>235</v>
      </c>
    </row>
    <row r="5" spans="1:25" ht="15.75" x14ac:dyDescent="0.25">
      <c r="A5" s="2">
        <v>2108</v>
      </c>
      <c r="B5" s="2" t="s">
        <v>27</v>
      </c>
      <c r="C5" s="2" t="s">
        <v>26</v>
      </c>
      <c r="D5" s="2">
        <v>2214</v>
      </c>
      <c r="E5" s="2" t="s">
        <v>37</v>
      </c>
      <c r="F5" s="2" t="s">
        <v>15</v>
      </c>
      <c r="G5" s="2" t="s">
        <v>24</v>
      </c>
      <c r="H5" s="3">
        <v>275</v>
      </c>
      <c r="I5" s="29">
        <v>341</v>
      </c>
      <c r="J5" s="29">
        <v>357</v>
      </c>
      <c r="K5" s="3">
        <v>592</v>
      </c>
      <c r="L5" s="31">
        <v>715</v>
      </c>
      <c r="M5" s="31">
        <v>1.0984799999999999</v>
      </c>
      <c r="N5" s="31">
        <v>0.92974999999999997</v>
      </c>
      <c r="O5" s="31">
        <v>1.8723399999999999</v>
      </c>
      <c r="P5" s="31">
        <v>0.56818000000000002</v>
      </c>
      <c r="Q5" s="31">
        <v>2.1376599999999999</v>
      </c>
      <c r="R5" s="31">
        <v>2.4366099999999999</v>
      </c>
      <c r="S5" s="31">
        <v>175</v>
      </c>
      <c r="T5" s="31">
        <v>235</v>
      </c>
    </row>
    <row r="6" spans="1:25" ht="15.75" x14ac:dyDescent="0.25">
      <c r="A6" s="2">
        <v>2122</v>
      </c>
      <c r="B6" s="2" t="s">
        <v>14</v>
      </c>
      <c r="C6" s="2" t="s">
        <v>41</v>
      </c>
      <c r="D6" s="2">
        <v>2214</v>
      </c>
      <c r="E6" s="2" t="s">
        <v>37</v>
      </c>
      <c r="F6" s="2" t="s">
        <v>15</v>
      </c>
      <c r="G6" s="2" t="s">
        <v>15</v>
      </c>
      <c r="H6" s="3">
        <v>265</v>
      </c>
      <c r="I6" s="29">
        <v>316</v>
      </c>
      <c r="J6" s="29">
        <v>400</v>
      </c>
      <c r="K6" s="3">
        <v>565</v>
      </c>
      <c r="L6" s="31">
        <v>668</v>
      </c>
      <c r="M6" s="31">
        <v>0.85985</v>
      </c>
      <c r="N6" s="31">
        <v>1.5444199999999999</v>
      </c>
      <c r="O6" s="31">
        <v>1.7176</v>
      </c>
      <c r="P6" s="31">
        <v>3.0113599999999998</v>
      </c>
      <c r="Q6" s="31">
        <v>2.0116900000000002</v>
      </c>
      <c r="R6" s="31">
        <v>1.8212699999999999</v>
      </c>
      <c r="S6" s="31">
        <v>175</v>
      </c>
      <c r="T6" s="31">
        <v>235</v>
      </c>
    </row>
    <row r="7" spans="1:25" ht="15.75" x14ac:dyDescent="0.25">
      <c r="A7" s="2">
        <v>2126</v>
      </c>
      <c r="B7" s="2" t="s">
        <v>14</v>
      </c>
      <c r="C7" s="2" t="s">
        <v>41</v>
      </c>
      <c r="D7" s="2">
        <v>2214</v>
      </c>
      <c r="E7" s="2" t="s">
        <v>37</v>
      </c>
      <c r="F7" s="2" t="s">
        <v>15</v>
      </c>
      <c r="G7" s="2" t="s">
        <v>15</v>
      </c>
      <c r="H7" s="3">
        <v>316</v>
      </c>
      <c r="I7" s="29">
        <v>362</v>
      </c>
      <c r="J7" s="29">
        <v>385</v>
      </c>
      <c r="K7" s="3">
        <v>602</v>
      </c>
      <c r="L7" s="31">
        <v>732</v>
      </c>
      <c r="M7" s="31">
        <v>0.76893999999999996</v>
      </c>
      <c r="N7" s="31">
        <v>0.79029000000000005</v>
      </c>
      <c r="O7" s="31">
        <v>1.7707900000000001</v>
      </c>
      <c r="P7" s="31">
        <v>0.83604000000000001</v>
      </c>
      <c r="Q7" s="31">
        <v>2.11429</v>
      </c>
      <c r="R7" s="31">
        <v>2.3577599999999999</v>
      </c>
      <c r="S7" s="31">
        <v>175</v>
      </c>
      <c r="T7" s="31">
        <v>235</v>
      </c>
    </row>
    <row r="8" spans="1:25" ht="15.75" x14ac:dyDescent="0.25">
      <c r="A8" s="2">
        <v>2131</v>
      </c>
      <c r="B8" s="2" t="s">
        <v>27</v>
      </c>
      <c r="C8" s="2" t="s">
        <v>26</v>
      </c>
      <c r="D8" s="2">
        <v>2214</v>
      </c>
      <c r="E8" s="2" t="s">
        <v>37</v>
      </c>
      <c r="F8" s="2" t="s">
        <v>15</v>
      </c>
      <c r="G8" s="2" t="s">
        <v>24</v>
      </c>
      <c r="H8" s="3">
        <v>276</v>
      </c>
      <c r="I8" s="29">
        <v>345</v>
      </c>
      <c r="J8" s="29">
        <v>411</v>
      </c>
      <c r="K8" s="3">
        <v>578</v>
      </c>
      <c r="L8" s="31">
        <v>688</v>
      </c>
      <c r="M8" s="31">
        <v>1.14394</v>
      </c>
      <c r="N8" s="31">
        <v>1.53409</v>
      </c>
      <c r="O8" s="31">
        <v>1.75532</v>
      </c>
      <c r="P8" s="31">
        <v>2.3701300000000001</v>
      </c>
      <c r="Q8" s="31">
        <v>1.9649399999999999</v>
      </c>
      <c r="R8" s="31">
        <v>1.8877600000000001</v>
      </c>
      <c r="S8" s="31">
        <v>175</v>
      </c>
      <c r="T8" s="31">
        <v>235</v>
      </c>
    </row>
    <row r="9" spans="1:25" ht="15.75" x14ac:dyDescent="0.25">
      <c r="A9" s="2">
        <v>2201</v>
      </c>
      <c r="B9" s="2" t="s">
        <v>14</v>
      </c>
      <c r="C9" s="2" t="s">
        <v>41</v>
      </c>
      <c r="D9" s="2">
        <v>2214</v>
      </c>
      <c r="E9" s="2" t="s">
        <v>37</v>
      </c>
      <c r="F9" s="2" t="s">
        <v>15</v>
      </c>
      <c r="G9" s="2" t="s">
        <v>15</v>
      </c>
      <c r="H9" s="3">
        <v>275</v>
      </c>
      <c r="I9" s="29">
        <v>319</v>
      </c>
      <c r="J9" s="29">
        <v>377</v>
      </c>
      <c r="K9" s="3">
        <v>558</v>
      </c>
      <c r="L9" s="31">
        <v>705</v>
      </c>
      <c r="M9" s="31">
        <v>0.71970000000000001</v>
      </c>
      <c r="N9" s="31">
        <v>1.1570199999999999</v>
      </c>
      <c r="O9" s="31">
        <v>1.82785</v>
      </c>
      <c r="P9" s="31">
        <v>2.09416</v>
      </c>
      <c r="Q9" s="31">
        <v>2.2077900000000001</v>
      </c>
      <c r="R9" s="31">
        <v>2.2294399999999999</v>
      </c>
      <c r="S9" s="31">
        <v>175</v>
      </c>
      <c r="T9" s="31">
        <v>235</v>
      </c>
    </row>
    <row r="10" spans="1:25" ht="15.75" x14ac:dyDescent="0.25">
      <c r="A10" s="2">
        <v>2202</v>
      </c>
      <c r="B10" s="2" t="s">
        <v>14</v>
      </c>
      <c r="C10" s="2" t="s">
        <v>13</v>
      </c>
      <c r="D10" s="2">
        <v>2214</v>
      </c>
      <c r="E10" s="2" t="s">
        <v>37</v>
      </c>
      <c r="F10" s="2" t="s">
        <v>15</v>
      </c>
      <c r="G10" s="2" t="s">
        <v>15</v>
      </c>
      <c r="H10" s="3">
        <v>229</v>
      </c>
      <c r="I10" s="29">
        <v>246</v>
      </c>
      <c r="J10" s="29">
        <v>339</v>
      </c>
      <c r="K10" s="3">
        <v>425</v>
      </c>
      <c r="L10" s="31">
        <v>566</v>
      </c>
      <c r="M10" s="31">
        <v>0.29166999999999998</v>
      </c>
      <c r="N10" s="31">
        <v>1.2551699999999999</v>
      </c>
      <c r="O10" s="31">
        <v>1.28241</v>
      </c>
      <c r="P10" s="31">
        <v>3.3198099999999999</v>
      </c>
      <c r="Q10" s="31">
        <v>1.57524</v>
      </c>
      <c r="R10" s="31">
        <v>1.2961</v>
      </c>
      <c r="S10" s="31">
        <v>203</v>
      </c>
      <c r="T10" s="31">
        <v>263</v>
      </c>
    </row>
    <row r="11" spans="1:25" ht="15.75" x14ac:dyDescent="0.25">
      <c r="A11" s="2">
        <v>2205</v>
      </c>
      <c r="B11" s="2" t="s">
        <v>14</v>
      </c>
      <c r="C11" s="2" t="s">
        <v>17</v>
      </c>
      <c r="D11" s="2">
        <v>2214</v>
      </c>
      <c r="E11" s="2" t="s">
        <v>37</v>
      </c>
      <c r="F11" s="2" t="s">
        <v>15</v>
      </c>
      <c r="G11" s="2" t="s">
        <v>15</v>
      </c>
      <c r="H11" s="3">
        <v>305</v>
      </c>
      <c r="I11" s="29">
        <v>347</v>
      </c>
      <c r="J11" s="29">
        <v>334</v>
      </c>
      <c r="K11" s="3">
        <v>599</v>
      </c>
      <c r="L11" s="31">
        <v>721</v>
      </c>
      <c r="M11" s="31">
        <v>0.69696999999999998</v>
      </c>
      <c r="N11" s="31">
        <v>0.32540999999999998</v>
      </c>
      <c r="O11" s="31">
        <v>1.76692</v>
      </c>
      <c r="P11" s="31">
        <v>-0.47077999999999998</v>
      </c>
      <c r="Q11" s="31">
        <v>2.1337700000000002</v>
      </c>
      <c r="R11" s="31">
        <v>2.6298699999999999</v>
      </c>
      <c r="S11" s="31">
        <v>175</v>
      </c>
      <c r="T11" s="31">
        <v>235</v>
      </c>
    </row>
    <row r="12" spans="1:25" ht="15.75" x14ac:dyDescent="0.25">
      <c r="A12" s="2">
        <v>2206</v>
      </c>
      <c r="B12" s="2" t="s">
        <v>14</v>
      </c>
      <c r="C12" s="2" t="s">
        <v>17</v>
      </c>
      <c r="D12" s="2">
        <v>2214</v>
      </c>
      <c r="E12" s="2" t="s">
        <v>37</v>
      </c>
      <c r="F12" s="2" t="s">
        <v>15</v>
      </c>
      <c r="G12" s="2" t="s">
        <v>15</v>
      </c>
      <c r="H12" s="3">
        <v>325</v>
      </c>
      <c r="I12" s="29">
        <v>339</v>
      </c>
      <c r="J12" s="29">
        <v>398</v>
      </c>
      <c r="K12" s="3">
        <v>599</v>
      </c>
      <c r="L12" s="31">
        <v>728</v>
      </c>
      <c r="M12" s="31">
        <v>0.24621000000000001</v>
      </c>
      <c r="N12" s="31">
        <v>0.83677999999999997</v>
      </c>
      <c r="O12" s="31">
        <v>1.7166300000000001</v>
      </c>
      <c r="P12" s="31">
        <v>2.1022699999999999</v>
      </c>
      <c r="Q12" s="31">
        <v>2.22078</v>
      </c>
      <c r="R12" s="31">
        <v>2.24335</v>
      </c>
      <c r="S12" s="31">
        <v>175</v>
      </c>
      <c r="T12" s="31">
        <v>235</v>
      </c>
    </row>
    <row r="13" spans="1:25" ht="15.75" x14ac:dyDescent="0.25">
      <c r="A13" s="2">
        <v>2211</v>
      </c>
      <c r="B13" s="2" t="s">
        <v>14</v>
      </c>
      <c r="C13" s="2" t="s">
        <v>13</v>
      </c>
      <c r="D13" s="2">
        <v>2214</v>
      </c>
      <c r="E13" s="2" t="s">
        <v>37</v>
      </c>
      <c r="F13" s="2" t="s">
        <v>15</v>
      </c>
      <c r="G13" s="2" t="s">
        <v>15</v>
      </c>
      <c r="H13" s="3">
        <v>273</v>
      </c>
      <c r="I13" s="29">
        <v>301</v>
      </c>
      <c r="J13" s="29">
        <v>379</v>
      </c>
      <c r="K13" s="3">
        <v>554</v>
      </c>
      <c r="L13" s="31">
        <v>695</v>
      </c>
      <c r="M13" s="31">
        <v>0.47727000000000003</v>
      </c>
      <c r="N13" s="31">
        <v>1.2035100000000001</v>
      </c>
      <c r="O13" s="31">
        <v>1.79691</v>
      </c>
      <c r="P13" s="31">
        <v>2.7597399999999999</v>
      </c>
      <c r="Q13" s="31">
        <v>2.2493500000000002</v>
      </c>
      <c r="R13" s="31">
        <v>2.1521300000000001</v>
      </c>
      <c r="S13" s="31">
        <v>175</v>
      </c>
      <c r="T13" s="31">
        <v>235</v>
      </c>
    </row>
    <row r="14" spans="1:25" ht="15.75" x14ac:dyDescent="0.25">
      <c r="A14" s="2">
        <v>2215</v>
      </c>
      <c r="B14" s="2" t="s">
        <v>27</v>
      </c>
      <c r="C14" s="2" t="s">
        <v>43</v>
      </c>
      <c r="D14" s="2">
        <v>2214</v>
      </c>
      <c r="E14" s="2" t="s">
        <v>37</v>
      </c>
      <c r="F14" s="2" t="s">
        <v>15</v>
      </c>
      <c r="G14" s="2" t="s">
        <v>24</v>
      </c>
      <c r="H14" s="3">
        <v>295</v>
      </c>
      <c r="I14" s="29">
        <v>328</v>
      </c>
      <c r="J14" s="29">
        <v>377</v>
      </c>
      <c r="K14" s="3">
        <v>552</v>
      </c>
      <c r="L14" s="31">
        <v>710</v>
      </c>
      <c r="M14" s="31">
        <v>0.53408999999999995</v>
      </c>
      <c r="N14" s="31">
        <v>0.92974999999999997</v>
      </c>
      <c r="O14" s="31">
        <v>1.76596</v>
      </c>
      <c r="P14" s="31">
        <v>1.7776000000000001</v>
      </c>
      <c r="Q14" s="31">
        <v>2.18831</v>
      </c>
      <c r="R14" s="31">
        <v>2.26654</v>
      </c>
      <c r="S14" s="31">
        <v>175</v>
      </c>
      <c r="T14" s="31">
        <v>235</v>
      </c>
    </row>
    <row r="15" spans="1:25" ht="15.75" x14ac:dyDescent="0.25">
      <c r="A15" s="2">
        <v>2217</v>
      </c>
      <c r="B15" s="2" t="s">
        <v>27</v>
      </c>
      <c r="C15" s="2" t="s">
        <v>26</v>
      </c>
      <c r="D15" s="2">
        <v>2214</v>
      </c>
      <c r="E15" s="2" t="s">
        <v>37</v>
      </c>
      <c r="F15" s="2" t="s">
        <v>15</v>
      </c>
      <c r="G15" s="2" t="s">
        <v>24</v>
      </c>
      <c r="H15" s="3">
        <v>289</v>
      </c>
      <c r="I15" s="29">
        <v>325</v>
      </c>
      <c r="J15" s="29">
        <v>323</v>
      </c>
      <c r="K15" s="3">
        <v>575</v>
      </c>
      <c r="L15" s="31">
        <v>678</v>
      </c>
      <c r="M15" s="31">
        <v>0.59091000000000005</v>
      </c>
      <c r="N15" s="31">
        <v>0.38740000000000002</v>
      </c>
      <c r="O15" s="31">
        <v>1.6547400000000001</v>
      </c>
      <c r="P15" s="31">
        <v>-4.87E-2</v>
      </c>
      <c r="Q15" s="31">
        <v>2.0194800000000002</v>
      </c>
      <c r="R15" s="31">
        <v>2.4134199999999999</v>
      </c>
      <c r="S15" s="31">
        <v>175</v>
      </c>
      <c r="T15" s="31">
        <v>235</v>
      </c>
    </row>
    <row r="16" spans="1:25" ht="15.75" x14ac:dyDescent="0.25">
      <c r="A16" s="2">
        <v>2223</v>
      </c>
      <c r="B16" s="2" t="s">
        <v>27</v>
      </c>
      <c r="C16" s="2" t="s">
        <v>43</v>
      </c>
      <c r="D16" s="2">
        <v>2214</v>
      </c>
      <c r="E16" s="2" t="s">
        <v>37</v>
      </c>
      <c r="F16" s="2" t="s">
        <v>15</v>
      </c>
      <c r="G16" s="2" t="s">
        <v>24</v>
      </c>
      <c r="H16" s="3">
        <v>248</v>
      </c>
      <c r="I16" s="29">
        <v>268</v>
      </c>
      <c r="J16" s="29">
        <v>391</v>
      </c>
      <c r="K16" s="3">
        <v>501</v>
      </c>
      <c r="L16" s="31">
        <v>650</v>
      </c>
      <c r="M16" s="31">
        <v>0.33333000000000002</v>
      </c>
      <c r="N16" s="31">
        <v>1.6218999999999999</v>
      </c>
      <c r="O16" s="31">
        <v>1.52955</v>
      </c>
      <c r="P16" s="31">
        <v>4.3831199999999999</v>
      </c>
      <c r="Q16" s="31">
        <v>1.8831199999999999</v>
      </c>
      <c r="R16" s="31">
        <v>1.48312</v>
      </c>
      <c r="S16" s="31">
        <v>203</v>
      </c>
      <c r="T16" s="31">
        <v>263</v>
      </c>
      <c r="U16">
        <f>AVERAGE(H2:H16)</f>
        <v>275.53333333333336</v>
      </c>
      <c r="V16">
        <f t="shared" ref="V16:X16" si="0">AVERAGE(I2:I16)</f>
        <v>318.93333333333334</v>
      </c>
      <c r="W16">
        <f t="shared" si="0"/>
        <v>376.73333333333335</v>
      </c>
      <c r="X16">
        <f t="shared" si="0"/>
        <v>556.26666666666665</v>
      </c>
      <c r="Y16">
        <f>AVERAGE(L2:L16)</f>
        <v>687.86666666666667</v>
      </c>
    </row>
    <row r="17" spans="1:25" ht="15.75" x14ac:dyDescent="0.25">
      <c r="A17" s="2">
        <v>2003</v>
      </c>
      <c r="B17" s="2" t="s">
        <v>23</v>
      </c>
      <c r="C17" s="2" t="s">
        <v>36</v>
      </c>
      <c r="D17" s="2">
        <v>2214</v>
      </c>
      <c r="E17" s="2" t="s">
        <v>37</v>
      </c>
      <c r="F17" s="2" t="s">
        <v>21</v>
      </c>
      <c r="G17" s="2" t="s">
        <v>24</v>
      </c>
      <c r="H17" s="3">
        <v>215</v>
      </c>
      <c r="I17" s="29">
        <v>256</v>
      </c>
      <c r="J17" s="29">
        <v>324</v>
      </c>
      <c r="K17" s="3">
        <v>473</v>
      </c>
      <c r="L17" s="31">
        <v>651</v>
      </c>
      <c r="M17" s="31">
        <v>0.67803000000000002</v>
      </c>
      <c r="N17" s="31">
        <v>1.2344999999999999</v>
      </c>
      <c r="O17" s="31">
        <v>1.6591800000000001</v>
      </c>
      <c r="P17" s="31">
        <v>2.4269500000000002</v>
      </c>
      <c r="Q17" s="31">
        <v>1.9491700000000001</v>
      </c>
      <c r="R17" s="31">
        <v>1.87273</v>
      </c>
      <c r="S17" s="31">
        <v>203</v>
      </c>
      <c r="T17" s="31">
        <v>263</v>
      </c>
    </row>
    <row r="18" spans="1:25" ht="15.75" x14ac:dyDescent="0.25">
      <c r="A18" s="2">
        <v>2006</v>
      </c>
      <c r="B18" s="2" t="s">
        <v>20</v>
      </c>
      <c r="C18" s="2" t="s">
        <v>30</v>
      </c>
      <c r="D18" s="2">
        <v>2214</v>
      </c>
      <c r="E18" s="2" t="s">
        <v>37</v>
      </c>
      <c r="F18" s="2" t="s">
        <v>21</v>
      </c>
      <c r="G18" s="2" t="s">
        <v>15</v>
      </c>
      <c r="H18" s="3">
        <v>283</v>
      </c>
      <c r="I18" s="29">
        <v>338</v>
      </c>
      <c r="J18" s="29">
        <v>392</v>
      </c>
      <c r="K18" s="3">
        <v>545</v>
      </c>
      <c r="L18" s="31">
        <v>634</v>
      </c>
      <c r="M18" s="31">
        <v>0.92044999999999999</v>
      </c>
      <c r="N18" s="31">
        <v>1.23967</v>
      </c>
      <c r="O18" s="31">
        <v>1.4942</v>
      </c>
      <c r="P18" s="31">
        <v>1.9237</v>
      </c>
      <c r="Q18" s="31">
        <v>1.6909099999999999</v>
      </c>
      <c r="R18" s="31">
        <v>1.6465700000000001</v>
      </c>
      <c r="S18" s="31">
        <v>175</v>
      </c>
      <c r="T18" s="31">
        <v>235</v>
      </c>
      <c r="U18">
        <f>AVERAGE(H17:H55)</f>
        <v>255.15384615384616</v>
      </c>
      <c r="V18">
        <f t="shared" ref="V18:Y18" si="1">AVERAGE(I17:I55)</f>
        <v>294.97435897435895</v>
      </c>
      <c r="W18">
        <f t="shared" si="1"/>
        <v>365.28205128205127</v>
      </c>
      <c r="X18">
        <f t="shared" si="1"/>
        <v>522.51282051282055</v>
      </c>
      <c r="Y18">
        <f t="shared" si="1"/>
        <v>655.56410256410254</v>
      </c>
    </row>
    <row r="19" spans="1:25" ht="15.75" x14ac:dyDescent="0.25">
      <c r="A19" s="2">
        <v>2015</v>
      </c>
      <c r="B19" s="2" t="s">
        <v>23</v>
      </c>
      <c r="C19" s="2" t="s">
        <v>36</v>
      </c>
      <c r="D19" s="2">
        <v>2214</v>
      </c>
      <c r="E19" s="2" t="s">
        <v>37</v>
      </c>
      <c r="F19" s="2" t="s">
        <v>21</v>
      </c>
      <c r="G19" s="2" t="s">
        <v>24</v>
      </c>
      <c r="H19" s="3">
        <v>261</v>
      </c>
      <c r="I19" s="29">
        <v>303</v>
      </c>
      <c r="J19" s="29">
        <v>362</v>
      </c>
      <c r="K19" s="3">
        <v>553</v>
      </c>
      <c r="L19" s="31">
        <v>703</v>
      </c>
      <c r="M19" s="31">
        <v>0.69318000000000002</v>
      </c>
      <c r="N19" s="31">
        <v>1.1415299999999999</v>
      </c>
      <c r="O19" s="31">
        <v>1.6781900000000001</v>
      </c>
      <c r="P19" s="31">
        <v>2.1022699999999999</v>
      </c>
      <c r="Q19" s="31">
        <v>1.96932</v>
      </c>
      <c r="R19" s="31">
        <v>1.9480500000000001</v>
      </c>
      <c r="S19" s="31">
        <v>203</v>
      </c>
      <c r="T19" s="31">
        <v>263</v>
      </c>
    </row>
    <row r="20" spans="1:25" ht="15.75" x14ac:dyDescent="0.25">
      <c r="A20" s="2">
        <v>2017</v>
      </c>
      <c r="B20" s="2" t="s">
        <v>23</v>
      </c>
      <c r="C20" s="2" t="s">
        <v>38</v>
      </c>
      <c r="D20" s="2">
        <v>2214</v>
      </c>
      <c r="E20" s="2" t="s">
        <v>37</v>
      </c>
      <c r="F20" s="2" t="s">
        <v>21</v>
      </c>
      <c r="G20" s="2" t="s">
        <v>24</v>
      </c>
      <c r="H20" s="3">
        <v>239</v>
      </c>
      <c r="I20" s="29">
        <v>295</v>
      </c>
      <c r="J20" s="29">
        <v>290</v>
      </c>
      <c r="K20" s="3">
        <v>403</v>
      </c>
      <c r="L20" s="31">
        <v>579</v>
      </c>
      <c r="M20" s="31">
        <v>0.92423999999999995</v>
      </c>
      <c r="N20" s="31">
        <v>0.57850999999999997</v>
      </c>
      <c r="O20" s="31">
        <v>1.29278</v>
      </c>
      <c r="P20" s="31">
        <v>-0.16234000000000001</v>
      </c>
      <c r="Q20" s="31">
        <v>1.4016999999999999</v>
      </c>
      <c r="R20" s="31">
        <v>1.65195</v>
      </c>
      <c r="S20" s="31">
        <v>203</v>
      </c>
      <c r="T20" s="31">
        <v>263</v>
      </c>
    </row>
    <row r="21" spans="1:25" ht="15.75" x14ac:dyDescent="0.25">
      <c r="A21" s="2">
        <v>2021</v>
      </c>
      <c r="B21" s="2" t="s">
        <v>23</v>
      </c>
      <c r="C21" s="2" t="s">
        <v>36</v>
      </c>
      <c r="D21" s="2">
        <v>2214</v>
      </c>
      <c r="E21" s="2" t="s">
        <v>37</v>
      </c>
      <c r="F21" s="2" t="s">
        <v>21</v>
      </c>
      <c r="G21" s="2" t="s">
        <v>24</v>
      </c>
      <c r="H21" s="3">
        <v>253</v>
      </c>
      <c r="I21" s="29">
        <v>282</v>
      </c>
      <c r="J21" s="29">
        <v>365</v>
      </c>
      <c r="K21" s="3">
        <v>569</v>
      </c>
      <c r="L21" s="31">
        <v>699</v>
      </c>
      <c r="M21" s="31">
        <v>0.48485</v>
      </c>
      <c r="N21" s="31">
        <v>1.2809900000000001</v>
      </c>
      <c r="O21" s="31">
        <v>1.6980599999999999</v>
      </c>
      <c r="P21" s="31">
        <v>2.9870100000000002</v>
      </c>
      <c r="Q21" s="31">
        <v>2.0566499999999999</v>
      </c>
      <c r="R21" s="31">
        <v>1.9077900000000001</v>
      </c>
      <c r="S21" s="31">
        <v>203</v>
      </c>
      <c r="T21" s="31">
        <v>263</v>
      </c>
    </row>
    <row r="22" spans="1:25" ht="15.75" x14ac:dyDescent="0.25">
      <c r="A22" s="2">
        <v>2025</v>
      </c>
      <c r="B22" s="2" t="s">
        <v>23</v>
      </c>
      <c r="C22" s="2" t="s">
        <v>38</v>
      </c>
      <c r="D22" s="2">
        <v>2214</v>
      </c>
      <c r="E22" s="2" t="s">
        <v>37</v>
      </c>
      <c r="F22" s="2" t="s">
        <v>21</v>
      </c>
      <c r="G22" s="2" t="s">
        <v>24</v>
      </c>
      <c r="H22" s="3">
        <v>256</v>
      </c>
      <c r="I22" s="29">
        <v>314</v>
      </c>
      <c r="J22" s="29">
        <v>355</v>
      </c>
      <c r="K22" s="3">
        <v>550</v>
      </c>
      <c r="L22" s="31">
        <v>745</v>
      </c>
      <c r="M22" s="31">
        <v>0.96591000000000005</v>
      </c>
      <c r="N22" s="31">
        <v>1.1260300000000001</v>
      </c>
      <c r="O22" s="31">
        <v>1.8562000000000001</v>
      </c>
      <c r="P22" s="31">
        <v>1.46916</v>
      </c>
      <c r="Q22" s="31">
        <v>2.1193499999999998</v>
      </c>
      <c r="R22" s="31">
        <v>2.2233800000000001</v>
      </c>
      <c r="S22" s="31">
        <v>203</v>
      </c>
      <c r="T22" s="31">
        <v>263</v>
      </c>
    </row>
    <row r="23" spans="1:25" ht="15.75" x14ac:dyDescent="0.25">
      <c r="A23" s="2">
        <v>2027</v>
      </c>
      <c r="B23" s="2" t="s">
        <v>23</v>
      </c>
      <c r="C23" s="2" t="s">
        <v>38</v>
      </c>
      <c r="D23" s="2">
        <v>2214</v>
      </c>
      <c r="E23" s="2" t="s">
        <v>37</v>
      </c>
      <c r="F23" s="2" t="s">
        <v>21</v>
      </c>
      <c r="G23" s="2" t="s">
        <v>24</v>
      </c>
      <c r="H23" s="3">
        <v>222</v>
      </c>
      <c r="I23" s="29">
        <v>272</v>
      </c>
      <c r="J23" s="29">
        <v>315</v>
      </c>
      <c r="K23" s="3">
        <v>473</v>
      </c>
      <c r="L23" s="31">
        <v>604</v>
      </c>
      <c r="M23" s="31">
        <v>0.83333000000000002</v>
      </c>
      <c r="N23" s="31">
        <v>1.05888</v>
      </c>
      <c r="O23" s="31">
        <v>1.4543699999999999</v>
      </c>
      <c r="P23" s="31">
        <v>1.5422100000000001</v>
      </c>
      <c r="Q23" s="31">
        <v>1.6379300000000001</v>
      </c>
      <c r="R23" s="31">
        <v>1.6532500000000001</v>
      </c>
      <c r="S23" s="31">
        <v>203</v>
      </c>
      <c r="T23" s="31">
        <v>263</v>
      </c>
    </row>
    <row r="24" spans="1:25" ht="15.75" x14ac:dyDescent="0.25">
      <c r="A24" s="2">
        <v>2029</v>
      </c>
      <c r="B24" s="2" t="s">
        <v>23</v>
      </c>
      <c r="C24" s="2" t="s">
        <v>38</v>
      </c>
      <c r="D24" s="2">
        <v>2214</v>
      </c>
      <c r="E24" s="2" t="s">
        <v>37</v>
      </c>
      <c r="F24" s="2" t="s">
        <v>21</v>
      </c>
      <c r="G24" s="2" t="s">
        <v>24</v>
      </c>
      <c r="H24" s="3">
        <v>222</v>
      </c>
      <c r="I24" s="29">
        <v>271</v>
      </c>
      <c r="J24" s="29">
        <v>334</v>
      </c>
      <c r="K24" s="3">
        <v>524</v>
      </c>
      <c r="L24" s="31">
        <v>675</v>
      </c>
      <c r="M24" s="31">
        <v>0.81061000000000005</v>
      </c>
      <c r="N24" s="31">
        <v>1.2655000000000001</v>
      </c>
      <c r="O24" s="31">
        <v>1.7205299999999999</v>
      </c>
      <c r="P24" s="31">
        <v>2.2402600000000001</v>
      </c>
      <c r="Q24" s="31">
        <v>1.9894799999999999</v>
      </c>
      <c r="R24" s="31">
        <v>1.9493499999999999</v>
      </c>
      <c r="S24" s="31">
        <v>203</v>
      </c>
      <c r="T24" s="31">
        <v>263</v>
      </c>
    </row>
    <row r="25" spans="1:25" ht="15.75" x14ac:dyDescent="0.25">
      <c r="A25" s="2">
        <v>2030</v>
      </c>
      <c r="B25" s="2" t="s">
        <v>23</v>
      </c>
      <c r="C25" s="2" t="s">
        <v>36</v>
      </c>
      <c r="D25" s="2">
        <v>2214</v>
      </c>
      <c r="E25" s="2" t="s">
        <v>37</v>
      </c>
      <c r="F25" s="2" t="s">
        <v>21</v>
      </c>
      <c r="G25" s="2" t="s">
        <v>24</v>
      </c>
      <c r="H25" s="3">
        <v>213</v>
      </c>
      <c r="I25" s="29">
        <v>256</v>
      </c>
      <c r="J25" s="29">
        <v>327</v>
      </c>
      <c r="K25" s="3">
        <v>507</v>
      </c>
      <c r="L25" s="31">
        <v>665</v>
      </c>
      <c r="M25" s="31">
        <v>0.71211999999999998</v>
      </c>
      <c r="N25" s="31">
        <v>1.29132</v>
      </c>
      <c r="O25" s="31">
        <v>1.71967</v>
      </c>
      <c r="P25" s="31">
        <v>2.53247</v>
      </c>
      <c r="Q25" s="31">
        <v>2.0174699999999999</v>
      </c>
      <c r="R25" s="31">
        <v>1.93506</v>
      </c>
      <c r="S25" s="31">
        <v>203</v>
      </c>
      <c r="T25" s="31">
        <v>263</v>
      </c>
    </row>
    <row r="26" spans="1:25" ht="15.75" x14ac:dyDescent="0.25">
      <c r="A26" s="2">
        <v>2032</v>
      </c>
      <c r="B26" s="2" t="s">
        <v>20</v>
      </c>
      <c r="C26" s="2" t="s">
        <v>30</v>
      </c>
      <c r="D26" s="2">
        <v>2214</v>
      </c>
      <c r="E26" s="2" t="s">
        <v>37</v>
      </c>
      <c r="F26" s="2" t="s">
        <v>21</v>
      </c>
      <c r="G26" s="2" t="s">
        <v>15</v>
      </c>
      <c r="H26" s="3">
        <v>205</v>
      </c>
      <c r="I26" s="29">
        <v>268</v>
      </c>
      <c r="J26" s="29">
        <v>370</v>
      </c>
      <c r="K26" s="3">
        <v>503</v>
      </c>
      <c r="L26" s="31">
        <v>643</v>
      </c>
      <c r="M26" s="31">
        <v>1.0416700000000001</v>
      </c>
      <c r="N26" s="31">
        <v>1.8801699999999999</v>
      </c>
      <c r="O26" s="31">
        <v>1.6669499999999999</v>
      </c>
      <c r="P26" s="31">
        <v>3.6769500000000002</v>
      </c>
      <c r="Q26" s="31">
        <v>1.8517699999999999</v>
      </c>
      <c r="R26" s="31">
        <v>1.5597399999999999</v>
      </c>
      <c r="S26" s="31">
        <v>203</v>
      </c>
      <c r="T26" s="31">
        <v>263</v>
      </c>
    </row>
    <row r="27" spans="1:25" ht="15.75" x14ac:dyDescent="0.25">
      <c r="A27" s="2">
        <v>2101</v>
      </c>
      <c r="B27" s="2" t="s">
        <v>23</v>
      </c>
      <c r="C27" s="2" t="s">
        <v>38</v>
      </c>
      <c r="D27" s="2">
        <v>2214</v>
      </c>
      <c r="E27" s="2" t="s">
        <v>37</v>
      </c>
      <c r="F27" s="2" t="s">
        <v>21</v>
      </c>
      <c r="G27" s="2" t="s">
        <v>24</v>
      </c>
      <c r="H27" s="3">
        <v>255</v>
      </c>
      <c r="I27" s="29">
        <v>283</v>
      </c>
      <c r="J27" s="29">
        <v>383</v>
      </c>
      <c r="K27" s="3">
        <v>533</v>
      </c>
      <c r="L27" s="31">
        <v>662</v>
      </c>
      <c r="M27" s="31">
        <v>0.46590999999999999</v>
      </c>
      <c r="N27" s="31">
        <v>1.4617800000000001</v>
      </c>
      <c r="O27" s="31">
        <v>1.5502899999999999</v>
      </c>
      <c r="P27" s="31">
        <v>3.59578</v>
      </c>
      <c r="Q27" s="31">
        <v>1.8708</v>
      </c>
      <c r="R27" s="31">
        <v>1.5948100000000001</v>
      </c>
      <c r="S27" s="31">
        <v>203</v>
      </c>
      <c r="T27" s="31">
        <v>263</v>
      </c>
    </row>
    <row r="28" spans="1:25" ht="15.75" x14ac:dyDescent="0.25">
      <c r="A28" s="2">
        <v>2102</v>
      </c>
      <c r="B28" s="2" t="s">
        <v>20</v>
      </c>
      <c r="C28" s="2" t="s">
        <v>28</v>
      </c>
      <c r="D28" s="2">
        <v>2214</v>
      </c>
      <c r="E28" s="2" t="s">
        <v>37</v>
      </c>
      <c r="F28" s="2" t="s">
        <v>21</v>
      </c>
      <c r="G28" s="2" t="s">
        <v>15</v>
      </c>
      <c r="H28" s="3">
        <v>280</v>
      </c>
      <c r="I28" s="29">
        <v>330</v>
      </c>
      <c r="J28" s="29">
        <v>379</v>
      </c>
      <c r="K28" s="3">
        <v>588</v>
      </c>
      <c r="L28" s="31">
        <v>714</v>
      </c>
      <c r="M28" s="31">
        <v>0.84091000000000005</v>
      </c>
      <c r="N28" s="31">
        <v>1.12087</v>
      </c>
      <c r="O28" s="31">
        <v>1.8472</v>
      </c>
      <c r="P28" s="31">
        <v>1.72078</v>
      </c>
      <c r="Q28" s="31">
        <v>2.1922100000000002</v>
      </c>
      <c r="R28" s="31">
        <v>2.282</v>
      </c>
      <c r="S28" s="31">
        <v>175</v>
      </c>
      <c r="T28" s="31">
        <v>235</v>
      </c>
    </row>
    <row r="29" spans="1:25" ht="15.75" x14ac:dyDescent="0.25">
      <c r="A29" s="2">
        <v>2109</v>
      </c>
      <c r="B29" s="2" t="s">
        <v>23</v>
      </c>
      <c r="C29" s="2" t="s">
        <v>22</v>
      </c>
      <c r="D29" s="2">
        <v>2214</v>
      </c>
      <c r="E29" s="2" t="s">
        <v>37</v>
      </c>
      <c r="F29" s="2" t="s">
        <v>21</v>
      </c>
      <c r="G29" s="2" t="s">
        <v>24</v>
      </c>
      <c r="H29" s="3">
        <v>248</v>
      </c>
      <c r="I29" s="29">
        <v>289</v>
      </c>
      <c r="J29" s="29">
        <v>390</v>
      </c>
      <c r="K29" s="3">
        <v>540</v>
      </c>
      <c r="L29" s="31">
        <v>611</v>
      </c>
      <c r="M29" s="31">
        <v>0.68561000000000005</v>
      </c>
      <c r="N29" s="31">
        <v>1.6064000000000001</v>
      </c>
      <c r="O29" s="31">
        <v>1.5444899999999999</v>
      </c>
      <c r="P29" s="31">
        <v>3.5795499999999998</v>
      </c>
      <c r="Q29" s="31">
        <v>1.8389599999999999</v>
      </c>
      <c r="R29" s="31">
        <v>1.50742</v>
      </c>
      <c r="S29" s="31">
        <v>175</v>
      </c>
      <c r="T29" s="31">
        <v>235</v>
      </c>
    </row>
    <row r="30" spans="1:25" ht="15.75" x14ac:dyDescent="0.25">
      <c r="A30" s="2">
        <v>2111</v>
      </c>
      <c r="B30" s="2" t="s">
        <v>23</v>
      </c>
      <c r="C30" s="2" t="s">
        <v>22</v>
      </c>
      <c r="D30" s="2">
        <v>2214</v>
      </c>
      <c r="E30" s="2" t="s">
        <v>37</v>
      </c>
      <c r="F30" s="2" t="s">
        <v>21</v>
      </c>
      <c r="G30" s="2" t="s">
        <v>24</v>
      </c>
      <c r="H30" s="3">
        <v>258</v>
      </c>
      <c r="I30" s="29">
        <v>297</v>
      </c>
      <c r="J30" s="29">
        <v>373</v>
      </c>
      <c r="K30" s="3">
        <v>547</v>
      </c>
      <c r="L30" s="31">
        <v>638</v>
      </c>
      <c r="M30" s="31">
        <v>0.65151999999999999</v>
      </c>
      <c r="N30" s="31">
        <v>1.30165</v>
      </c>
      <c r="O30" s="31">
        <v>1.61412</v>
      </c>
      <c r="P30" s="31">
        <v>2.6948099999999999</v>
      </c>
      <c r="Q30" s="31">
        <v>1.9441600000000001</v>
      </c>
      <c r="R30" s="31">
        <v>1.80118</v>
      </c>
      <c r="S30" s="31">
        <v>175</v>
      </c>
      <c r="T30" s="31">
        <v>235</v>
      </c>
    </row>
    <row r="31" spans="1:25" ht="15.75" x14ac:dyDescent="0.25">
      <c r="A31" s="2">
        <v>2113</v>
      </c>
      <c r="B31" s="2" t="s">
        <v>20</v>
      </c>
      <c r="C31" s="2" t="s">
        <v>30</v>
      </c>
      <c r="D31" s="2">
        <v>2214</v>
      </c>
      <c r="E31" s="2" t="s">
        <v>37</v>
      </c>
      <c r="F31" s="2" t="s">
        <v>21</v>
      </c>
      <c r="G31" s="2" t="s">
        <v>15</v>
      </c>
      <c r="H31" s="3">
        <v>267</v>
      </c>
      <c r="I31" s="29">
        <v>311</v>
      </c>
      <c r="J31" s="29">
        <v>349</v>
      </c>
      <c r="K31" s="3">
        <v>501</v>
      </c>
      <c r="L31" s="31">
        <v>655</v>
      </c>
      <c r="M31" s="31">
        <v>0.72348000000000001</v>
      </c>
      <c r="N31" s="31">
        <v>0.92974999999999997</v>
      </c>
      <c r="O31" s="31">
        <v>1.4725200000000001</v>
      </c>
      <c r="P31" s="31">
        <v>1.37175</v>
      </c>
      <c r="Q31" s="31">
        <v>1.69391</v>
      </c>
      <c r="R31" s="31">
        <v>1.7454499999999999</v>
      </c>
      <c r="S31" s="31">
        <v>203</v>
      </c>
      <c r="T31" s="31">
        <v>263</v>
      </c>
    </row>
    <row r="32" spans="1:25" ht="15.75" x14ac:dyDescent="0.25">
      <c r="A32" s="2">
        <v>2116</v>
      </c>
      <c r="B32" s="2" t="s">
        <v>20</v>
      </c>
      <c r="C32" s="2" t="s">
        <v>30</v>
      </c>
      <c r="D32" s="2">
        <v>2214</v>
      </c>
      <c r="E32" s="2" t="s">
        <v>37</v>
      </c>
      <c r="F32" s="2" t="s">
        <v>21</v>
      </c>
      <c r="G32" s="2" t="s">
        <v>15</v>
      </c>
      <c r="H32" s="3">
        <v>267</v>
      </c>
      <c r="I32" s="29">
        <v>311</v>
      </c>
      <c r="J32" s="29">
        <v>374</v>
      </c>
      <c r="K32" s="3">
        <v>495</v>
      </c>
      <c r="L32" s="31">
        <v>562</v>
      </c>
      <c r="M32" s="31">
        <v>0.73863999999999996</v>
      </c>
      <c r="N32" s="31">
        <v>1.21384</v>
      </c>
      <c r="O32" s="31">
        <v>1.2543500000000001</v>
      </c>
      <c r="P32" s="31">
        <v>2.2321399999999998</v>
      </c>
      <c r="Q32" s="31">
        <v>1.4311700000000001</v>
      </c>
      <c r="R32" s="31">
        <v>1.2786</v>
      </c>
      <c r="S32" s="31">
        <v>175</v>
      </c>
      <c r="T32" s="31">
        <v>235</v>
      </c>
    </row>
    <row r="33" spans="1:20" ht="15.75" x14ac:dyDescent="0.25">
      <c r="A33" s="2">
        <v>2117</v>
      </c>
      <c r="B33" s="2" t="s">
        <v>20</v>
      </c>
      <c r="C33" s="2" t="s">
        <v>30</v>
      </c>
      <c r="D33" s="2">
        <v>2214</v>
      </c>
      <c r="E33" s="2" t="s">
        <v>37</v>
      </c>
      <c r="F33" s="2" t="s">
        <v>21</v>
      </c>
      <c r="G33" s="2" t="s">
        <v>15</v>
      </c>
      <c r="H33" s="3">
        <v>267</v>
      </c>
      <c r="I33" s="29">
        <v>303</v>
      </c>
      <c r="J33" s="29">
        <v>399</v>
      </c>
      <c r="K33" s="3">
        <v>525</v>
      </c>
      <c r="L33" s="31">
        <v>642</v>
      </c>
      <c r="M33" s="31">
        <v>0.60226999999999997</v>
      </c>
      <c r="N33" s="31">
        <v>1.4927699999999999</v>
      </c>
      <c r="O33" s="31">
        <v>1.5947800000000001</v>
      </c>
      <c r="P33" s="31">
        <v>3.40097</v>
      </c>
      <c r="Q33" s="31">
        <v>1.93506</v>
      </c>
      <c r="R33" s="31">
        <v>1.65584</v>
      </c>
      <c r="S33" s="31">
        <v>175</v>
      </c>
      <c r="T33" s="31">
        <v>235</v>
      </c>
    </row>
    <row r="34" spans="1:20" ht="15.75" x14ac:dyDescent="0.25">
      <c r="A34" s="2">
        <v>2120</v>
      </c>
      <c r="B34" s="2" t="s">
        <v>20</v>
      </c>
      <c r="C34" s="2" t="s">
        <v>40</v>
      </c>
      <c r="D34" s="2">
        <v>2214</v>
      </c>
      <c r="E34" s="2" t="s">
        <v>37</v>
      </c>
      <c r="F34" s="2" t="s">
        <v>21</v>
      </c>
      <c r="G34" s="2" t="s">
        <v>24</v>
      </c>
      <c r="H34" s="3">
        <v>252</v>
      </c>
      <c r="I34" s="29">
        <v>295</v>
      </c>
      <c r="J34" s="29">
        <v>405</v>
      </c>
      <c r="K34" s="3">
        <v>531</v>
      </c>
      <c r="L34" s="31">
        <v>670</v>
      </c>
      <c r="M34" s="31">
        <v>0.71970000000000001</v>
      </c>
      <c r="N34" s="31">
        <v>1.7406999999999999</v>
      </c>
      <c r="O34" s="31">
        <v>1.5917699999999999</v>
      </c>
      <c r="P34" s="31">
        <v>3.9285700000000001</v>
      </c>
      <c r="Q34" s="31">
        <v>1.8495299999999999</v>
      </c>
      <c r="R34" s="31">
        <v>1.51688</v>
      </c>
      <c r="S34" s="31">
        <v>203</v>
      </c>
      <c r="T34" s="31">
        <v>263</v>
      </c>
    </row>
    <row r="35" spans="1:20" ht="15.75" x14ac:dyDescent="0.25">
      <c r="A35" s="2">
        <v>2121</v>
      </c>
      <c r="B35" s="2" t="s">
        <v>23</v>
      </c>
      <c r="C35" s="2" t="s">
        <v>22</v>
      </c>
      <c r="D35" s="2">
        <v>2214</v>
      </c>
      <c r="E35" s="2" t="s">
        <v>37</v>
      </c>
      <c r="F35" s="2" t="s">
        <v>21</v>
      </c>
      <c r="G35" s="2" t="s">
        <v>24</v>
      </c>
      <c r="H35" s="3">
        <v>269</v>
      </c>
      <c r="I35" s="29">
        <v>324</v>
      </c>
      <c r="J35" s="29">
        <v>399</v>
      </c>
      <c r="K35" s="3">
        <v>564</v>
      </c>
      <c r="L35" s="31">
        <v>685</v>
      </c>
      <c r="M35" s="31">
        <v>0.91666999999999998</v>
      </c>
      <c r="N35" s="31">
        <v>1.47211</v>
      </c>
      <c r="O35" s="31">
        <v>1.76983</v>
      </c>
      <c r="P35" s="31">
        <v>2.6623399999999999</v>
      </c>
      <c r="Q35" s="31">
        <v>2.0623399999999998</v>
      </c>
      <c r="R35" s="31">
        <v>1.9480500000000001</v>
      </c>
      <c r="S35" s="31">
        <v>175</v>
      </c>
      <c r="T35" s="31">
        <v>235</v>
      </c>
    </row>
    <row r="36" spans="1:20" ht="15.75" x14ac:dyDescent="0.25">
      <c r="A36" s="2">
        <v>2123</v>
      </c>
      <c r="B36" s="2" t="s">
        <v>20</v>
      </c>
      <c r="C36" s="2" t="s">
        <v>30</v>
      </c>
      <c r="D36" s="2">
        <v>2214</v>
      </c>
      <c r="E36" s="2" t="s">
        <v>37</v>
      </c>
      <c r="F36" s="2" t="s">
        <v>21</v>
      </c>
      <c r="G36" s="2" t="s">
        <v>15</v>
      </c>
      <c r="H36" s="3">
        <v>265</v>
      </c>
      <c r="I36" s="29">
        <v>313</v>
      </c>
      <c r="J36" s="29">
        <v>387</v>
      </c>
      <c r="K36" s="3">
        <v>503</v>
      </c>
      <c r="L36" s="31">
        <v>668</v>
      </c>
      <c r="M36" s="31">
        <v>0.81061000000000005</v>
      </c>
      <c r="N36" s="31">
        <v>1.39463</v>
      </c>
      <c r="O36" s="31">
        <v>1.5356000000000001</v>
      </c>
      <c r="P36" s="31">
        <v>2.6461000000000001</v>
      </c>
      <c r="Q36" s="31">
        <v>1.7498899999999999</v>
      </c>
      <c r="R36" s="31">
        <v>1.60649</v>
      </c>
      <c r="S36" s="31">
        <v>203</v>
      </c>
      <c r="T36" s="31">
        <v>263</v>
      </c>
    </row>
    <row r="37" spans="1:20" ht="15.75" x14ac:dyDescent="0.25">
      <c r="A37" s="2">
        <v>2125</v>
      </c>
      <c r="B37" s="2" t="s">
        <v>23</v>
      </c>
      <c r="C37" s="2" t="s">
        <v>22</v>
      </c>
      <c r="D37" s="2">
        <v>2214</v>
      </c>
      <c r="E37" s="2" t="s">
        <v>37</v>
      </c>
      <c r="F37" s="2" t="s">
        <v>21</v>
      </c>
      <c r="G37" s="2" t="s">
        <v>24</v>
      </c>
      <c r="H37" s="3">
        <v>271</v>
      </c>
      <c r="I37" s="29">
        <v>320</v>
      </c>
      <c r="J37" s="29">
        <v>380</v>
      </c>
      <c r="K37" s="3">
        <v>536</v>
      </c>
      <c r="L37" s="31">
        <v>645</v>
      </c>
      <c r="M37" s="31">
        <v>0.82196999999999998</v>
      </c>
      <c r="N37" s="31">
        <v>1.23967</v>
      </c>
      <c r="O37" s="31">
        <v>1.5938099999999999</v>
      </c>
      <c r="P37" s="31">
        <v>2.1347399999999999</v>
      </c>
      <c r="Q37" s="31">
        <v>1.8584400000000001</v>
      </c>
      <c r="R37" s="31">
        <v>1.8058099999999999</v>
      </c>
      <c r="S37" s="31">
        <v>175</v>
      </c>
      <c r="T37" s="31">
        <v>235</v>
      </c>
    </row>
    <row r="38" spans="1:20" ht="15.75" x14ac:dyDescent="0.25">
      <c r="A38" s="2">
        <v>2129</v>
      </c>
      <c r="B38" s="2" t="s">
        <v>23</v>
      </c>
      <c r="C38" s="2" t="s">
        <v>22</v>
      </c>
      <c r="D38" s="2">
        <v>2214</v>
      </c>
      <c r="E38" s="2" t="s">
        <v>37</v>
      </c>
      <c r="F38" s="2" t="s">
        <v>21</v>
      </c>
      <c r="G38" s="2" t="s">
        <v>24</v>
      </c>
      <c r="H38" s="3">
        <v>268</v>
      </c>
      <c r="I38" s="29">
        <v>313</v>
      </c>
      <c r="J38" s="29">
        <v>384</v>
      </c>
      <c r="K38" s="3">
        <v>557</v>
      </c>
      <c r="L38" s="31">
        <v>678</v>
      </c>
      <c r="M38" s="31">
        <v>0.74241999999999997</v>
      </c>
      <c r="N38" s="31">
        <v>1.3119799999999999</v>
      </c>
      <c r="O38" s="31">
        <v>1.7456499999999999</v>
      </c>
      <c r="P38" s="31">
        <v>2.53247</v>
      </c>
      <c r="Q38" s="31">
        <v>2.08961</v>
      </c>
      <c r="R38" s="31">
        <v>2.0052599999999998</v>
      </c>
      <c r="S38" s="31">
        <v>175</v>
      </c>
      <c r="T38" s="31">
        <v>235</v>
      </c>
    </row>
    <row r="39" spans="1:20" ht="15.75" x14ac:dyDescent="0.25">
      <c r="A39" s="2">
        <v>2132</v>
      </c>
      <c r="B39" s="2" t="s">
        <v>20</v>
      </c>
      <c r="C39" s="2" t="s">
        <v>40</v>
      </c>
      <c r="D39" s="2">
        <v>2214</v>
      </c>
      <c r="E39" s="2" t="s">
        <v>37</v>
      </c>
      <c r="F39" s="2" t="s">
        <v>21</v>
      </c>
      <c r="G39" s="2" t="s">
        <v>24</v>
      </c>
      <c r="H39" s="3">
        <v>268</v>
      </c>
      <c r="I39" s="29">
        <v>303</v>
      </c>
      <c r="J39" s="29">
        <v>379</v>
      </c>
      <c r="K39" s="3">
        <v>528</v>
      </c>
      <c r="L39" s="31">
        <v>666</v>
      </c>
      <c r="M39" s="31">
        <v>0.57955000000000001</v>
      </c>
      <c r="N39" s="31">
        <v>1.26033</v>
      </c>
      <c r="O39" s="31">
        <v>1.514</v>
      </c>
      <c r="P39" s="31">
        <v>2.71916</v>
      </c>
      <c r="Q39" s="31">
        <v>1.7901899999999999</v>
      </c>
      <c r="R39" s="31">
        <v>1.6415599999999999</v>
      </c>
      <c r="S39" s="31">
        <v>203</v>
      </c>
      <c r="T39" s="31">
        <v>263</v>
      </c>
    </row>
    <row r="40" spans="1:20" ht="15.75" x14ac:dyDescent="0.25">
      <c r="A40" s="2">
        <v>2141</v>
      </c>
      <c r="B40" s="2" t="s">
        <v>20</v>
      </c>
      <c r="C40" s="2" t="s">
        <v>42</v>
      </c>
      <c r="D40" s="2">
        <v>2214</v>
      </c>
      <c r="E40" s="2" t="s">
        <v>37</v>
      </c>
      <c r="F40" s="2" t="s">
        <v>21</v>
      </c>
      <c r="G40" s="2" t="s">
        <v>15</v>
      </c>
      <c r="H40" s="3">
        <v>232</v>
      </c>
      <c r="I40" s="29">
        <v>285</v>
      </c>
      <c r="J40" s="29">
        <v>370</v>
      </c>
      <c r="K40" s="3">
        <v>508</v>
      </c>
      <c r="L40" s="31">
        <v>646</v>
      </c>
      <c r="M40" s="31">
        <v>0.87878999999999996</v>
      </c>
      <c r="N40" s="31">
        <v>1.56508</v>
      </c>
      <c r="O40" s="31">
        <v>1.5736300000000001</v>
      </c>
      <c r="P40" s="31">
        <v>3.0357099999999999</v>
      </c>
      <c r="Q40" s="31">
        <v>1.7789999999999999</v>
      </c>
      <c r="R40" s="31">
        <v>1.57792</v>
      </c>
      <c r="S40" s="31">
        <v>203</v>
      </c>
      <c r="T40" s="31">
        <v>263</v>
      </c>
    </row>
    <row r="41" spans="1:20" ht="15.75" x14ac:dyDescent="0.25">
      <c r="A41" s="2">
        <v>2207</v>
      </c>
      <c r="B41" s="2" t="s">
        <v>20</v>
      </c>
      <c r="C41" s="2" t="s">
        <v>30</v>
      </c>
      <c r="D41" s="2">
        <v>2214</v>
      </c>
      <c r="E41" s="2" t="s">
        <v>37</v>
      </c>
      <c r="F41" s="2" t="s">
        <v>21</v>
      </c>
      <c r="G41" s="2" t="s">
        <v>15</v>
      </c>
      <c r="H41" s="3">
        <v>265</v>
      </c>
      <c r="I41" s="29">
        <v>320</v>
      </c>
      <c r="J41" s="29">
        <v>317</v>
      </c>
      <c r="K41" s="3">
        <v>551</v>
      </c>
      <c r="L41" s="31">
        <v>680</v>
      </c>
      <c r="M41" s="31">
        <v>0.90151999999999999</v>
      </c>
      <c r="N41" s="31">
        <v>0.58367999999999998</v>
      </c>
      <c r="O41" s="31">
        <v>1.7620899999999999</v>
      </c>
      <c r="P41" s="31">
        <v>-9.74E-2</v>
      </c>
      <c r="Q41" s="31">
        <v>2.05714</v>
      </c>
      <c r="R41" s="31">
        <v>2.46753</v>
      </c>
      <c r="S41" s="31">
        <v>175</v>
      </c>
      <c r="T41" s="31">
        <v>235</v>
      </c>
    </row>
    <row r="42" spans="1:20" ht="15.75" x14ac:dyDescent="0.25">
      <c r="A42" s="2">
        <v>2208</v>
      </c>
      <c r="B42" s="2" t="s">
        <v>20</v>
      </c>
      <c r="C42" s="2" t="s">
        <v>28</v>
      </c>
      <c r="D42" s="2">
        <v>2214</v>
      </c>
      <c r="E42" s="2" t="s">
        <v>37</v>
      </c>
      <c r="F42" s="2" t="s">
        <v>21</v>
      </c>
      <c r="G42" s="2" t="s">
        <v>15</v>
      </c>
      <c r="H42" s="3">
        <v>232</v>
      </c>
      <c r="I42" s="29">
        <v>279</v>
      </c>
      <c r="J42" s="29">
        <v>400</v>
      </c>
      <c r="K42" s="3">
        <v>523</v>
      </c>
      <c r="L42" s="31">
        <v>565</v>
      </c>
      <c r="M42" s="31">
        <v>0.78788000000000002</v>
      </c>
      <c r="N42" s="31">
        <v>1.91116</v>
      </c>
      <c r="O42" s="31">
        <v>1.4177900000000001</v>
      </c>
      <c r="P42" s="31">
        <v>4.3181799999999999</v>
      </c>
      <c r="Q42" s="31">
        <v>1.6337699999999999</v>
      </c>
      <c r="R42" s="31">
        <v>1.1224499999999999</v>
      </c>
      <c r="S42" s="31">
        <v>175</v>
      </c>
      <c r="T42" s="31">
        <v>235</v>
      </c>
    </row>
    <row r="43" spans="1:20" ht="15.75" x14ac:dyDescent="0.25">
      <c r="A43" s="2">
        <v>2209</v>
      </c>
      <c r="B43" s="2" t="s">
        <v>20</v>
      </c>
      <c r="C43" s="2" t="s">
        <v>28</v>
      </c>
      <c r="D43" s="2">
        <v>2214</v>
      </c>
      <c r="E43" s="2" t="s">
        <v>37</v>
      </c>
      <c r="F43" s="2" t="s">
        <v>21</v>
      </c>
      <c r="G43" s="2" t="s">
        <v>15</v>
      </c>
      <c r="H43" s="3">
        <v>246</v>
      </c>
      <c r="I43" s="29">
        <v>279</v>
      </c>
      <c r="J43" s="29">
        <v>349</v>
      </c>
      <c r="K43" s="3">
        <v>521</v>
      </c>
      <c r="L43" s="31">
        <v>645</v>
      </c>
      <c r="M43" s="31">
        <v>0.54923999999999995</v>
      </c>
      <c r="N43" s="31">
        <v>1.16736</v>
      </c>
      <c r="O43" s="31">
        <v>1.69923</v>
      </c>
      <c r="P43" s="31">
        <v>2.4918800000000001</v>
      </c>
      <c r="Q43" s="31">
        <v>2.0935100000000002</v>
      </c>
      <c r="R43" s="31">
        <v>2.01763</v>
      </c>
      <c r="S43" s="31">
        <v>175</v>
      </c>
      <c r="T43" s="31">
        <v>235</v>
      </c>
    </row>
    <row r="44" spans="1:20" ht="15.75" x14ac:dyDescent="0.25">
      <c r="A44" s="2">
        <v>2221</v>
      </c>
      <c r="B44" s="2" t="s">
        <v>20</v>
      </c>
      <c r="C44" s="2" t="s">
        <v>30</v>
      </c>
      <c r="D44" s="2">
        <v>2214</v>
      </c>
      <c r="E44" s="2" t="s">
        <v>37</v>
      </c>
      <c r="F44" s="2" t="s">
        <v>21</v>
      </c>
      <c r="G44" s="2" t="s">
        <v>15</v>
      </c>
      <c r="H44" s="3">
        <v>264</v>
      </c>
      <c r="I44" s="29">
        <v>286</v>
      </c>
      <c r="J44" s="29">
        <v>397</v>
      </c>
      <c r="K44" s="3">
        <v>497</v>
      </c>
      <c r="L44" s="31">
        <v>672</v>
      </c>
      <c r="M44" s="31">
        <v>0.37879000000000002</v>
      </c>
      <c r="N44" s="31">
        <v>1.5185999999999999</v>
      </c>
      <c r="O44" s="31">
        <v>1.55375</v>
      </c>
      <c r="P44" s="31">
        <v>3.9610400000000001</v>
      </c>
      <c r="Q44" s="31">
        <v>1.90103</v>
      </c>
      <c r="R44" s="31">
        <v>1.5714300000000001</v>
      </c>
      <c r="S44" s="31">
        <v>203</v>
      </c>
      <c r="T44" s="31">
        <v>263</v>
      </c>
    </row>
    <row r="45" spans="1:20" ht="15.75" x14ac:dyDescent="0.25">
      <c r="A45" s="2">
        <v>2222</v>
      </c>
      <c r="B45" s="2" t="s">
        <v>23</v>
      </c>
      <c r="C45" s="2" t="s">
        <v>22</v>
      </c>
      <c r="D45" s="2">
        <v>2214</v>
      </c>
      <c r="E45" s="2" t="s">
        <v>37</v>
      </c>
      <c r="F45" s="2" t="s">
        <v>21</v>
      </c>
      <c r="G45" s="2" t="s">
        <v>24</v>
      </c>
      <c r="H45" s="3">
        <v>304</v>
      </c>
      <c r="I45" s="29">
        <v>322</v>
      </c>
      <c r="J45" s="29">
        <v>431</v>
      </c>
      <c r="K45" s="3">
        <v>601</v>
      </c>
      <c r="L45" s="31">
        <v>690</v>
      </c>
      <c r="M45" s="31">
        <v>0.29924000000000001</v>
      </c>
      <c r="N45" s="31">
        <v>1.44628</v>
      </c>
      <c r="O45" s="31">
        <v>1.6440999999999999</v>
      </c>
      <c r="P45" s="31">
        <v>3.90422</v>
      </c>
      <c r="Q45" s="31">
        <v>2.1051899999999999</v>
      </c>
      <c r="R45" s="31">
        <v>1.7625200000000001</v>
      </c>
      <c r="S45" s="31">
        <v>175</v>
      </c>
      <c r="T45" s="31">
        <v>235</v>
      </c>
    </row>
    <row r="46" spans="1:20" ht="15.75" x14ac:dyDescent="0.25">
      <c r="A46" s="2">
        <v>2227</v>
      </c>
      <c r="B46" s="2" t="s">
        <v>23</v>
      </c>
      <c r="C46" s="2" t="s">
        <v>22</v>
      </c>
      <c r="D46" s="2">
        <v>2214</v>
      </c>
      <c r="E46" s="2" t="s">
        <v>37</v>
      </c>
      <c r="F46" s="2" t="s">
        <v>21</v>
      </c>
      <c r="G46" s="2" t="s">
        <v>24</v>
      </c>
      <c r="H46" s="3">
        <v>263</v>
      </c>
      <c r="I46" s="29">
        <v>279</v>
      </c>
      <c r="J46" s="29">
        <v>347</v>
      </c>
      <c r="K46" s="3">
        <v>465</v>
      </c>
      <c r="L46" s="31">
        <v>607</v>
      </c>
      <c r="M46" s="31">
        <v>0.27651999999999999</v>
      </c>
      <c r="N46" s="31">
        <v>0.95557999999999998</v>
      </c>
      <c r="O46" s="31">
        <v>1.30833</v>
      </c>
      <c r="P46" s="31">
        <v>2.4107099999999999</v>
      </c>
      <c r="Q46" s="31">
        <v>1.6133</v>
      </c>
      <c r="R46" s="31">
        <v>1.4857100000000001</v>
      </c>
      <c r="S46" s="31">
        <v>203</v>
      </c>
      <c r="T46" s="31">
        <v>263</v>
      </c>
    </row>
    <row r="47" spans="1:20" ht="15.75" x14ac:dyDescent="0.25">
      <c r="A47" s="2">
        <v>2233</v>
      </c>
      <c r="B47" s="2" t="s">
        <v>20</v>
      </c>
      <c r="C47" s="2" t="s">
        <v>44</v>
      </c>
      <c r="D47" s="2">
        <v>2214</v>
      </c>
      <c r="E47" s="2" t="s">
        <v>37</v>
      </c>
      <c r="F47" s="2" t="s">
        <v>21</v>
      </c>
      <c r="G47" s="2" t="s">
        <v>15</v>
      </c>
      <c r="H47" s="3">
        <v>255</v>
      </c>
      <c r="I47" s="29">
        <v>308</v>
      </c>
      <c r="J47" s="29">
        <v>354</v>
      </c>
      <c r="K47" s="3">
        <v>518</v>
      </c>
      <c r="L47" s="31">
        <v>635</v>
      </c>
      <c r="M47" s="31">
        <v>0.88636000000000004</v>
      </c>
      <c r="N47" s="31">
        <v>1.1312</v>
      </c>
      <c r="O47" s="31">
        <v>1.44573</v>
      </c>
      <c r="P47" s="31">
        <v>1.65584</v>
      </c>
      <c r="Q47" s="31">
        <v>1.6110599999999999</v>
      </c>
      <c r="R47" s="31">
        <v>1.6039000000000001</v>
      </c>
      <c r="S47" s="31">
        <v>203</v>
      </c>
      <c r="T47" s="31">
        <v>263</v>
      </c>
    </row>
    <row r="48" spans="1:20" ht="15.75" x14ac:dyDescent="0.25">
      <c r="A48" s="2">
        <v>2235</v>
      </c>
      <c r="B48" s="2" t="s">
        <v>20</v>
      </c>
      <c r="C48" s="2" t="s">
        <v>44</v>
      </c>
      <c r="D48" s="2">
        <v>2214</v>
      </c>
      <c r="E48" s="2" t="s">
        <v>37</v>
      </c>
      <c r="F48" s="2" t="s">
        <v>21</v>
      </c>
      <c r="G48" s="2" t="s">
        <v>15</v>
      </c>
      <c r="H48" s="3">
        <v>261</v>
      </c>
      <c r="I48" s="29">
        <v>269</v>
      </c>
      <c r="J48" s="29">
        <v>406</v>
      </c>
      <c r="K48" s="3">
        <v>518</v>
      </c>
      <c r="L48" s="31">
        <v>663</v>
      </c>
      <c r="M48" s="31">
        <v>0.13258</v>
      </c>
      <c r="N48" s="31">
        <v>1.65289</v>
      </c>
      <c r="O48" s="31">
        <v>1.5286900000000001</v>
      </c>
      <c r="P48" s="31">
        <v>4.9107099999999999</v>
      </c>
      <c r="Q48" s="31">
        <v>1.94133</v>
      </c>
      <c r="R48" s="31">
        <v>1.4662299999999999</v>
      </c>
      <c r="S48" s="31">
        <v>203</v>
      </c>
      <c r="T48" s="31">
        <v>263</v>
      </c>
    </row>
    <row r="49" spans="1:20" ht="15.75" x14ac:dyDescent="0.25">
      <c r="A49" s="2">
        <v>2236</v>
      </c>
      <c r="B49" s="2" t="s">
        <v>23</v>
      </c>
      <c r="C49" s="2" t="s">
        <v>22</v>
      </c>
      <c r="D49" s="2">
        <v>2214</v>
      </c>
      <c r="E49" s="2" t="s">
        <v>37</v>
      </c>
      <c r="F49" s="2" t="s">
        <v>21</v>
      </c>
      <c r="G49" s="2" t="s">
        <v>24</v>
      </c>
      <c r="H49" s="3">
        <v>279</v>
      </c>
      <c r="I49" s="29">
        <v>318</v>
      </c>
      <c r="J49" s="29">
        <v>377</v>
      </c>
      <c r="K49" s="3">
        <v>569</v>
      </c>
      <c r="L49" s="31">
        <v>683</v>
      </c>
      <c r="M49" s="31">
        <v>0.64015</v>
      </c>
      <c r="N49" s="31">
        <v>1.1156999999999999</v>
      </c>
      <c r="O49" s="31">
        <v>1.7185699999999999</v>
      </c>
      <c r="P49" s="31">
        <v>2.1347399999999999</v>
      </c>
      <c r="Q49" s="31">
        <v>2.0883099999999999</v>
      </c>
      <c r="R49" s="31">
        <v>2.0794700000000002</v>
      </c>
      <c r="S49" s="31">
        <v>175</v>
      </c>
      <c r="T49" s="31">
        <v>235</v>
      </c>
    </row>
    <row r="50" spans="1:20" ht="15.75" x14ac:dyDescent="0.25">
      <c r="A50" s="2">
        <v>2237</v>
      </c>
      <c r="B50" s="2" t="s">
        <v>23</v>
      </c>
      <c r="C50" s="2" t="s">
        <v>36</v>
      </c>
      <c r="D50" s="2">
        <v>2214</v>
      </c>
      <c r="E50" s="2" t="s">
        <v>37</v>
      </c>
      <c r="F50" s="2" t="s">
        <v>21</v>
      </c>
      <c r="G50" s="2" t="s">
        <v>24</v>
      </c>
      <c r="H50" s="3">
        <v>275</v>
      </c>
      <c r="I50" s="29">
        <v>303</v>
      </c>
      <c r="J50" s="29">
        <v>353</v>
      </c>
      <c r="K50" s="3">
        <v>525</v>
      </c>
      <c r="L50" s="31">
        <v>669</v>
      </c>
      <c r="M50" s="31">
        <v>0.47727000000000003</v>
      </c>
      <c r="N50" s="31">
        <v>0.89359999999999995</v>
      </c>
      <c r="O50" s="31">
        <v>1.49844</v>
      </c>
      <c r="P50" s="31">
        <v>1.7857099999999999</v>
      </c>
      <c r="Q50" s="31">
        <v>1.80027</v>
      </c>
      <c r="R50" s="31">
        <v>1.8026</v>
      </c>
      <c r="S50" s="31">
        <v>203</v>
      </c>
      <c r="T50" s="31">
        <v>263</v>
      </c>
    </row>
    <row r="51" spans="1:20" ht="15.75" x14ac:dyDescent="0.25">
      <c r="A51" s="2">
        <v>2238</v>
      </c>
      <c r="B51" s="2" t="s">
        <v>20</v>
      </c>
      <c r="C51" s="2" t="s">
        <v>28</v>
      </c>
      <c r="D51" s="2">
        <v>2214</v>
      </c>
      <c r="E51" s="2" t="s">
        <v>37</v>
      </c>
      <c r="F51" s="2" t="s">
        <v>21</v>
      </c>
      <c r="G51" s="2" t="s">
        <v>15</v>
      </c>
      <c r="H51" s="3">
        <v>277</v>
      </c>
      <c r="I51" s="29">
        <v>302</v>
      </c>
      <c r="J51" s="29">
        <v>375</v>
      </c>
      <c r="K51" s="3">
        <v>533</v>
      </c>
      <c r="L51" s="31">
        <v>689</v>
      </c>
      <c r="M51" s="31">
        <v>0.41288000000000002</v>
      </c>
      <c r="N51" s="31">
        <v>1.1105400000000001</v>
      </c>
      <c r="O51" s="31">
        <v>1.56671</v>
      </c>
      <c r="P51" s="31">
        <v>2.6055199999999998</v>
      </c>
      <c r="Q51" s="31">
        <v>1.9077500000000001</v>
      </c>
      <c r="R51" s="31">
        <v>1.7961</v>
      </c>
      <c r="S51" s="31">
        <v>203</v>
      </c>
      <c r="T51" s="31">
        <v>263</v>
      </c>
    </row>
    <row r="52" spans="1:20" ht="15.75" x14ac:dyDescent="0.25">
      <c r="A52" s="2">
        <v>2240</v>
      </c>
      <c r="B52" s="2" t="s">
        <v>20</v>
      </c>
      <c r="C52" s="2" t="s">
        <v>40</v>
      </c>
      <c r="D52" s="2">
        <v>2214</v>
      </c>
      <c r="E52" s="2" t="s">
        <v>37</v>
      </c>
      <c r="F52" s="2" t="s">
        <v>21</v>
      </c>
      <c r="G52" s="2" t="s">
        <v>24</v>
      </c>
      <c r="H52" s="3">
        <v>252</v>
      </c>
      <c r="I52" s="29">
        <v>274</v>
      </c>
      <c r="J52" s="29">
        <v>283</v>
      </c>
      <c r="K52" s="3">
        <v>503</v>
      </c>
      <c r="L52" s="31">
        <v>674</v>
      </c>
      <c r="M52" s="31">
        <v>0.37120999999999998</v>
      </c>
      <c r="N52" s="31">
        <v>0.35124</v>
      </c>
      <c r="O52" s="31">
        <v>1.6047400000000001</v>
      </c>
      <c r="P52" s="31">
        <v>0.30843999999999999</v>
      </c>
      <c r="Q52" s="31">
        <v>1.96932</v>
      </c>
      <c r="R52" s="31">
        <v>2.2350599999999998</v>
      </c>
      <c r="S52" s="31">
        <v>203</v>
      </c>
      <c r="T52" s="31">
        <v>263</v>
      </c>
    </row>
    <row r="53" spans="1:20" ht="15.75" x14ac:dyDescent="0.25">
      <c r="A53" s="2">
        <v>2244</v>
      </c>
      <c r="B53" s="2" t="s">
        <v>20</v>
      </c>
      <c r="C53" s="2" t="s">
        <v>42</v>
      </c>
      <c r="D53" s="2">
        <v>2214</v>
      </c>
      <c r="E53" s="2" t="s">
        <v>37</v>
      </c>
      <c r="F53" s="2" t="s">
        <v>21</v>
      </c>
      <c r="G53" s="2" t="s">
        <v>15</v>
      </c>
      <c r="H53" s="3">
        <v>234</v>
      </c>
      <c r="I53" s="29">
        <v>270</v>
      </c>
      <c r="J53" s="29">
        <v>337</v>
      </c>
      <c r="K53" s="3">
        <v>526</v>
      </c>
      <c r="L53" s="31">
        <v>672</v>
      </c>
      <c r="M53" s="31">
        <v>0.60226999999999997</v>
      </c>
      <c r="N53" s="31">
        <v>1.1776899999999999</v>
      </c>
      <c r="O53" s="31">
        <v>1.6669499999999999</v>
      </c>
      <c r="P53" s="31">
        <v>2.4107099999999999</v>
      </c>
      <c r="Q53" s="31">
        <v>1.9816400000000001</v>
      </c>
      <c r="R53" s="31">
        <v>1.91299</v>
      </c>
      <c r="S53" s="31">
        <v>203</v>
      </c>
      <c r="T53" s="31">
        <v>263</v>
      </c>
    </row>
    <row r="54" spans="1:20" ht="15.75" x14ac:dyDescent="0.25">
      <c r="A54" s="2">
        <v>2245</v>
      </c>
      <c r="B54" s="2" t="s">
        <v>20</v>
      </c>
      <c r="C54" s="2" t="s">
        <v>42</v>
      </c>
      <c r="D54" s="2">
        <v>2214</v>
      </c>
      <c r="E54" s="2" t="s">
        <v>37</v>
      </c>
      <c r="F54" s="2" t="s">
        <v>21</v>
      </c>
      <c r="G54" s="2" t="s">
        <v>15</v>
      </c>
      <c r="H54" s="3">
        <v>229</v>
      </c>
      <c r="I54" s="29">
        <v>227</v>
      </c>
      <c r="J54" s="29">
        <v>403</v>
      </c>
      <c r="K54" s="3">
        <v>408</v>
      </c>
      <c r="L54" s="31">
        <v>607</v>
      </c>
      <c r="M54" s="31">
        <v>-2.273E-2</v>
      </c>
      <c r="N54" s="31">
        <v>1.9834700000000001</v>
      </c>
      <c r="O54" s="31">
        <v>1.4379500000000001</v>
      </c>
      <c r="P54" s="31">
        <v>6.28247</v>
      </c>
      <c r="Q54" s="31">
        <v>1.86968</v>
      </c>
      <c r="R54" s="31">
        <v>1.16364</v>
      </c>
      <c r="S54" s="31">
        <v>203</v>
      </c>
      <c r="T54" s="31">
        <v>263</v>
      </c>
    </row>
    <row r="55" spans="1:20" ht="15.75" x14ac:dyDescent="0.25">
      <c r="A55" s="2">
        <v>2246</v>
      </c>
      <c r="B55" s="2" t="s">
        <v>20</v>
      </c>
      <c r="C55" s="2" t="s">
        <v>42</v>
      </c>
      <c r="D55" s="2">
        <v>2214</v>
      </c>
      <c r="E55" s="2" t="s">
        <v>37</v>
      </c>
      <c r="F55" s="2" t="s">
        <v>21</v>
      </c>
      <c r="G55" s="2" t="s">
        <v>15</v>
      </c>
      <c r="H55" s="3">
        <v>279</v>
      </c>
      <c r="I55" s="29">
        <v>336</v>
      </c>
      <c r="J55" s="29">
        <v>332</v>
      </c>
      <c r="K55" s="3">
        <v>564</v>
      </c>
      <c r="L55" s="31">
        <v>676</v>
      </c>
      <c r="M55" s="31">
        <v>0.94696999999999998</v>
      </c>
      <c r="N55" s="31">
        <v>0.60433999999999999</v>
      </c>
      <c r="O55" s="31">
        <v>1.6876199999999999</v>
      </c>
      <c r="P55" s="31">
        <v>-0.12987000000000001</v>
      </c>
      <c r="Q55" s="31">
        <v>1.94156</v>
      </c>
      <c r="R55" s="31">
        <v>2.3361200000000002</v>
      </c>
      <c r="S55" s="31">
        <v>175</v>
      </c>
      <c r="T55" s="31">
        <v>235</v>
      </c>
    </row>
    <row r="56" spans="1:20" ht="18.75" x14ac:dyDescent="0.3">
      <c r="A56" s="30">
        <v>2505</v>
      </c>
      <c r="B56" s="2" t="s">
        <v>14</v>
      </c>
      <c r="C56" s="2" t="s">
        <v>13</v>
      </c>
      <c r="D56" s="2">
        <v>2304</v>
      </c>
      <c r="E56" s="2" t="s">
        <v>16</v>
      </c>
      <c r="F56" s="3" t="s">
        <v>15</v>
      </c>
      <c r="G56" s="3" t="s">
        <v>15</v>
      </c>
      <c r="H56" s="3">
        <v>173</v>
      </c>
      <c r="I56" s="29">
        <v>250</v>
      </c>
      <c r="J56" s="29">
        <v>287</v>
      </c>
      <c r="K56" s="3">
        <v>539</v>
      </c>
      <c r="L56" s="31">
        <v>599</v>
      </c>
      <c r="M56" s="31">
        <v>1.29545</v>
      </c>
      <c r="N56" s="31">
        <v>1.2964899999999999</v>
      </c>
      <c r="O56" s="31">
        <v>1.27654</v>
      </c>
      <c r="P56" s="31">
        <v>1.2987</v>
      </c>
      <c r="Q56" s="31">
        <v>1.2724</v>
      </c>
      <c r="R56" s="31">
        <v>1.2694000000000001</v>
      </c>
      <c r="S56" s="31">
        <v>274</v>
      </c>
      <c r="T56" s="31">
        <v>334</v>
      </c>
    </row>
    <row r="57" spans="1:20" ht="18.75" x14ac:dyDescent="0.3">
      <c r="A57" s="30">
        <v>2510</v>
      </c>
      <c r="B57" s="2" t="s">
        <v>14</v>
      </c>
      <c r="C57" s="2" t="s">
        <v>17</v>
      </c>
      <c r="D57" s="2">
        <v>2304</v>
      </c>
      <c r="E57" s="2" t="s">
        <v>16</v>
      </c>
      <c r="F57" s="3" t="s">
        <v>15</v>
      </c>
      <c r="G57" s="3" t="s">
        <v>15</v>
      </c>
      <c r="H57" s="3">
        <v>177</v>
      </c>
      <c r="I57" s="29">
        <v>229</v>
      </c>
      <c r="J57" s="29">
        <v>298</v>
      </c>
      <c r="K57" s="3">
        <v>560</v>
      </c>
      <c r="L57" s="31">
        <v>657</v>
      </c>
      <c r="M57" s="31">
        <v>0.86363999999999996</v>
      </c>
      <c r="N57" s="31">
        <v>1.3688</v>
      </c>
      <c r="O57" s="31">
        <v>1.4357599999999999</v>
      </c>
      <c r="P57" s="31">
        <v>2.4512999999999998</v>
      </c>
      <c r="Q57" s="31">
        <v>1.56105</v>
      </c>
      <c r="R57" s="31">
        <v>1.4597199999999999</v>
      </c>
      <c r="S57" s="31">
        <v>274</v>
      </c>
      <c r="T57" s="31">
        <v>334</v>
      </c>
    </row>
    <row r="58" spans="1:20" ht="18.75" x14ac:dyDescent="0.3">
      <c r="A58" s="30">
        <v>2517</v>
      </c>
      <c r="B58" s="2" t="s">
        <v>14</v>
      </c>
      <c r="C58" s="2" t="s">
        <v>18</v>
      </c>
      <c r="D58" s="2">
        <v>2304</v>
      </c>
      <c r="E58" s="2" t="s">
        <v>16</v>
      </c>
      <c r="F58" s="3" t="s">
        <v>15</v>
      </c>
      <c r="G58" s="3" t="s">
        <v>15</v>
      </c>
      <c r="H58" s="3">
        <v>234</v>
      </c>
      <c r="I58" s="29">
        <v>315</v>
      </c>
      <c r="J58" s="29">
        <v>377</v>
      </c>
      <c r="K58" s="3">
        <v>646</v>
      </c>
      <c r="L58" s="31">
        <v>744</v>
      </c>
      <c r="M58" s="31">
        <v>1.35606</v>
      </c>
      <c r="N58" s="31">
        <v>1.62707</v>
      </c>
      <c r="O58" s="31">
        <v>1.82633</v>
      </c>
      <c r="P58" s="31">
        <v>2.2077900000000001</v>
      </c>
      <c r="Q58" s="31">
        <v>1.9551700000000001</v>
      </c>
      <c r="R58" s="31">
        <v>1.9181299999999999</v>
      </c>
      <c r="S58" s="31">
        <v>219</v>
      </c>
      <c r="T58" s="31">
        <v>279</v>
      </c>
    </row>
    <row r="59" spans="1:20" ht="18.75" x14ac:dyDescent="0.3">
      <c r="A59" s="30">
        <v>2523</v>
      </c>
      <c r="B59" s="2" t="s">
        <v>14</v>
      </c>
      <c r="C59" s="2" t="s">
        <v>17</v>
      </c>
      <c r="D59" s="2">
        <v>2304</v>
      </c>
      <c r="E59" s="2" t="s">
        <v>16</v>
      </c>
      <c r="F59" s="3" t="s">
        <v>15</v>
      </c>
      <c r="G59" s="3" t="s">
        <v>15</v>
      </c>
      <c r="H59" s="3">
        <v>241</v>
      </c>
      <c r="I59" s="29">
        <v>293</v>
      </c>
      <c r="J59" s="29">
        <v>364</v>
      </c>
      <c r="K59" s="3">
        <v>631</v>
      </c>
      <c r="L59" s="31">
        <v>712</v>
      </c>
      <c r="M59" s="31">
        <v>0.86363999999999996</v>
      </c>
      <c r="N59" s="31">
        <v>1.39463</v>
      </c>
      <c r="O59" s="31">
        <v>1.6878500000000001</v>
      </c>
      <c r="P59" s="31">
        <v>2.53247</v>
      </c>
      <c r="Q59" s="31">
        <v>1.9136599999999999</v>
      </c>
      <c r="R59" s="31">
        <v>1.82294</v>
      </c>
      <c r="S59" s="31">
        <v>219</v>
      </c>
      <c r="T59" s="31">
        <v>279</v>
      </c>
    </row>
    <row r="60" spans="1:20" ht="18.75" x14ac:dyDescent="0.3">
      <c r="A60" s="30">
        <v>2534</v>
      </c>
      <c r="B60" s="2" t="s">
        <v>14</v>
      </c>
      <c r="C60" s="2" t="s">
        <v>45</v>
      </c>
      <c r="D60" s="2">
        <v>2304</v>
      </c>
      <c r="E60" s="2" t="s">
        <v>16</v>
      </c>
      <c r="F60" s="3" t="s">
        <v>15</v>
      </c>
      <c r="G60" s="3" t="s">
        <v>15</v>
      </c>
      <c r="H60" s="3">
        <v>216</v>
      </c>
      <c r="I60" s="29">
        <v>272</v>
      </c>
      <c r="J60" s="29">
        <v>330</v>
      </c>
      <c r="K60" s="3">
        <v>590</v>
      </c>
      <c r="L60" s="31">
        <v>629</v>
      </c>
      <c r="M60" s="31">
        <v>0.93561000000000005</v>
      </c>
      <c r="N60" s="31">
        <v>1.2964899999999999</v>
      </c>
      <c r="O60" s="31">
        <v>1.4801200000000001</v>
      </c>
      <c r="P60" s="31">
        <v>2.0698099999999999</v>
      </c>
      <c r="Q60" s="31">
        <v>1.62931</v>
      </c>
      <c r="R60" s="31">
        <v>1.56473</v>
      </c>
      <c r="S60" s="31">
        <v>219</v>
      </c>
      <c r="T60" s="31">
        <v>279</v>
      </c>
    </row>
    <row r="61" spans="1:20" ht="18.75" x14ac:dyDescent="0.3">
      <c r="A61" s="30">
        <v>2548</v>
      </c>
      <c r="B61" s="2" t="s">
        <v>14</v>
      </c>
      <c r="C61" s="2" t="s">
        <v>13</v>
      </c>
      <c r="D61" s="2">
        <v>2304</v>
      </c>
      <c r="E61" s="2" t="s">
        <v>16</v>
      </c>
      <c r="F61" s="3" t="s">
        <v>15</v>
      </c>
      <c r="G61" s="3" t="s">
        <v>15</v>
      </c>
      <c r="H61" s="3">
        <v>200</v>
      </c>
      <c r="I61" s="29">
        <v>262</v>
      </c>
      <c r="J61" s="29">
        <v>336</v>
      </c>
      <c r="K61" s="3">
        <v>642</v>
      </c>
      <c r="L61" s="31">
        <v>696</v>
      </c>
      <c r="M61" s="31">
        <v>1.0265200000000001</v>
      </c>
      <c r="N61" s="31">
        <v>1.5444199999999999</v>
      </c>
      <c r="O61" s="31">
        <v>1.77664</v>
      </c>
      <c r="P61" s="31">
        <v>2.65422</v>
      </c>
      <c r="Q61" s="31">
        <v>1.9821500000000001</v>
      </c>
      <c r="R61" s="31">
        <v>1.8836299999999999</v>
      </c>
      <c r="S61" s="31">
        <v>219</v>
      </c>
      <c r="T61" s="31">
        <v>279</v>
      </c>
    </row>
    <row r="62" spans="1:20" ht="18.75" x14ac:dyDescent="0.3">
      <c r="A62" s="30">
        <v>2555</v>
      </c>
      <c r="B62" s="2" t="s">
        <v>27</v>
      </c>
      <c r="C62" s="2" t="s">
        <v>26</v>
      </c>
      <c r="D62" s="2">
        <v>2304</v>
      </c>
      <c r="E62" s="2" t="s">
        <v>16</v>
      </c>
      <c r="F62" s="3" t="s">
        <v>15</v>
      </c>
      <c r="G62" s="3" t="s">
        <v>24</v>
      </c>
      <c r="H62" s="3">
        <v>157</v>
      </c>
      <c r="I62" s="29">
        <v>208</v>
      </c>
      <c r="J62" s="29">
        <v>269</v>
      </c>
      <c r="K62" s="3">
        <v>561</v>
      </c>
      <c r="L62" s="31">
        <v>696</v>
      </c>
      <c r="M62" s="31">
        <v>0.85606000000000004</v>
      </c>
      <c r="N62" s="31">
        <v>1.27583</v>
      </c>
      <c r="O62" s="31">
        <v>1.6140399999999999</v>
      </c>
      <c r="P62" s="31">
        <v>2.1753200000000001</v>
      </c>
      <c r="Q62" s="31">
        <v>1.78003</v>
      </c>
      <c r="R62" s="31">
        <v>1.7350300000000001</v>
      </c>
      <c r="S62" s="31">
        <v>274</v>
      </c>
      <c r="T62" s="31">
        <v>334</v>
      </c>
    </row>
    <row r="63" spans="1:20" ht="18.75" x14ac:dyDescent="0.3">
      <c r="A63" s="30">
        <v>2558</v>
      </c>
      <c r="B63" s="2" t="s">
        <v>14</v>
      </c>
      <c r="C63" s="2" t="s">
        <v>18</v>
      </c>
      <c r="D63" s="2">
        <v>2304</v>
      </c>
      <c r="E63" s="2" t="s">
        <v>16</v>
      </c>
      <c r="F63" s="3" t="s">
        <v>15</v>
      </c>
      <c r="G63" s="3" t="s">
        <v>15</v>
      </c>
      <c r="H63" s="3">
        <v>200</v>
      </c>
      <c r="I63" s="29">
        <v>233</v>
      </c>
      <c r="J63" s="29">
        <v>284</v>
      </c>
      <c r="K63" s="3">
        <v>549</v>
      </c>
      <c r="L63" s="31">
        <v>636</v>
      </c>
      <c r="M63" s="31">
        <v>0.54923999999999995</v>
      </c>
      <c r="N63" s="31">
        <v>0.95040999999999998</v>
      </c>
      <c r="O63" s="31">
        <v>1.3064800000000001</v>
      </c>
      <c r="P63" s="31">
        <v>1.81006</v>
      </c>
      <c r="Q63" s="31">
        <v>1.4722999999999999</v>
      </c>
      <c r="R63" s="31">
        <v>1.4338500000000001</v>
      </c>
      <c r="S63" s="31">
        <v>274</v>
      </c>
      <c r="T63" s="31">
        <v>334</v>
      </c>
    </row>
    <row r="64" spans="1:20" ht="18.75" x14ac:dyDescent="0.3">
      <c r="A64" s="30">
        <v>2561</v>
      </c>
      <c r="B64" s="2" t="s">
        <v>27</v>
      </c>
      <c r="C64" s="2" t="s">
        <v>29</v>
      </c>
      <c r="D64" s="2">
        <v>2304</v>
      </c>
      <c r="E64" s="2" t="s">
        <v>16</v>
      </c>
      <c r="F64" s="3" t="s">
        <v>15</v>
      </c>
      <c r="G64" s="3" t="s">
        <v>24</v>
      </c>
      <c r="H64" s="3">
        <v>182</v>
      </c>
      <c r="I64" s="29">
        <v>225</v>
      </c>
      <c r="J64" s="29">
        <v>288</v>
      </c>
      <c r="K64" s="3">
        <v>505</v>
      </c>
      <c r="L64" s="31">
        <v>619</v>
      </c>
      <c r="M64" s="31">
        <v>0.72348000000000001</v>
      </c>
      <c r="N64" s="31">
        <v>1.2035100000000001</v>
      </c>
      <c r="O64" s="31">
        <v>1.3078399999999999</v>
      </c>
      <c r="P64" s="31">
        <v>2.2321399999999998</v>
      </c>
      <c r="Q64" s="31">
        <v>1.4358</v>
      </c>
      <c r="R64" s="31">
        <v>1.3451599999999999</v>
      </c>
      <c r="S64" s="31">
        <v>274</v>
      </c>
      <c r="T64" s="31">
        <v>334</v>
      </c>
    </row>
    <row r="65" spans="1:20" ht="18.75" x14ac:dyDescent="0.3">
      <c r="A65" s="30">
        <v>2562</v>
      </c>
      <c r="B65" s="2" t="s">
        <v>14</v>
      </c>
      <c r="C65" s="2" t="s">
        <v>45</v>
      </c>
      <c r="D65" s="2">
        <v>2304</v>
      </c>
      <c r="E65" s="2" t="s">
        <v>16</v>
      </c>
      <c r="F65" s="3" t="s">
        <v>15</v>
      </c>
      <c r="G65" s="3" t="s">
        <v>15</v>
      </c>
      <c r="H65" s="3">
        <v>205</v>
      </c>
      <c r="I65" s="29">
        <v>236</v>
      </c>
      <c r="J65" s="29">
        <v>288</v>
      </c>
      <c r="K65" s="3">
        <v>579</v>
      </c>
      <c r="L65" s="31">
        <v>660</v>
      </c>
      <c r="M65" s="31">
        <v>0.52651999999999999</v>
      </c>
      <c r="N65" s="31">
        <v>0.95040999999999998</v>
      </c>
      <c r="O65" s="31">
        <v>1.63245</v>
      </c>
      <c r="P65" s="31">
        <v>1.85877</v>
      </c>
      <c r="Q65" s="31">
        <v>1.9354499999999999</v>
      </c>
      <c r="R65" s="31">
        <v>1.94669</v>
      </c>
      <c r="S65" s="31">
        <v>219</v>
      </c>
      <c r="T65" s="31">
        <v>279</v>
      </c>
    </row>
    <row r="66" spans="1:20" ht="18.75" x14ac:dyDescent="0.3">
      <c r="A66" s="30">
        <v>2565</v>
      </c>
      <c r="B66" s="2" t="s">
        <v>27</v>
      </c>
      <c r="C66" s="2" t="s">
        <v>29</v>
      </c>
      <c r="D66" s="2">
        <v>2304</v>
      </c>
      <c r="E66" s="2" t="s">
        <v>16</v>
      </c>
      <c r="F66" s="3" t="s">
        <v>15</v>
      </c>
      <c r="G66" s="3" t="s">
        <v>24</v>
      </c>
      <c r="H66" s="3">
        <v>216</v>
      </c>
      <c r="I66" s="29">
        <v>264</v>
      </c>
      <c r="J66" s="29">
        <v>305</v>
      </c>
      <c r="K66" s="3">
        <v>635</v>
      </c>
      <c r="L66" s="31">
        <v>723</v>
      </c>
      <c r="M66" s="31">
        <v>0.79544999999999999</v>
      </c>
      <c r="N66" s="31">
        <v>1.01756</v>
      </c>
      <c r="O66" s="31">
        <v>1.819</v>
      </c>
      <c r="P66" s="31">
        <v>1.4935099999999999</v>
      </c>
      <c r="Q66" s="31">
        <v>2.0994199999999998</v>
      </c>
      <c r="R66" s="31">
        <v>2.18824</v>
      </c>
      <c r="S66" s="31">
        <v>219</v>
      </c>
      <c r="T66" s="31">
        <v>279</v>
      </c>
    </row>
    <row r="67" spans="1:20" ht="18.75" x14ac:dyDescent="0.3">
      <c r="A67" s="30">
        <v>2568</v>
      </c>
      <c r="B67" s="2" t="s">
        <v>27</v>
      </c>
      <c r="C67" s="2" t="s">
        <v>29</v>
      </c>
      <c r="D67" s="2">
        <v>2304</v>
      </c>
      <c r="E67" s="2" t="s">
        <v>16</v>
      </c>
      <c r="F67" s="3" t="s">
        <v>15</v>
      </c>
      <c r="G67" s="3" t="s">
        <v>24</v>
      </c>
      <c r="H67" s="3">
        <v>214</v>
      </c>
      <c r="I67" s="29">
        <v>269</v>
      </c>
      <c r="J67" s="29">
        <v>316</v>
      </c>
      <c r="K67" s="3">
        <v>598</v>
      </c>
      <c r="L67" s="31">
        <v>676</v>
      </c>
      <c r="M67" s="31">
        <v>0.92803000000000002</v>
      </c>
      <c r="N67" s="31">
        <v>1.16736</v>
      </c>
      <c r="O67" s="31">
        <v>1.65852</v>
      </c>
      <c r="P67" s="31">
        <v>1.6801900000000001</v>
      </c>
      <c r="Q67" s="31">
        <v>1.85866</v>
      </c>
      <c r="R67" s="31">
        <v>1.8848199999999999</v>
      </c>
      <c r="S67" s="31">
        <v>219</v>
      </c>
      <c r="T67" s="31">
        <v>279</v>
      </c>
    </row>
    <row r="68" spans="1:20" ht="18.75" x14ac:dyDescent="0.3">
      <c r="A68" s="30">
        <v>2569</v>
      </c>
      <c r="B68" s="2" t="s">
        <v>27</v>
      </c>
      <c r="C68" s="2" t="s">
        <v>29</v>
      </c>
      <c r="D68" s="2">
        <v>2304</v>
      </c>
      <c r="E68" s="2" t="s">
        <v>16</v>
      </c>
      <c r="F68" s="3" t="s">
        <v>15</v>
      </c>
      <c r="G68" s="3" t="s">
        <v>24</v>
      </c>
      <c r="H68" s="3">
        <v>177</v>
      </c>
      <c r="I68" s="29">
        <v>219</v>
      </c>
      <c r="J68" s="29">
        <v>275</v>
      </c>
      <c r="K68" s="3">
        <v>542</v>
      </c>
      <c r="L68" s="31">
        <v>666</v>
      </c>
      <c r="M68" s="31">
        <v>0.69696999999999998</v>
      </c>
      <c r="N68" s="31">
        <v>1.10537</v>
      </c>
      <c r="O68" s="31">
        <v>1.4629799999999999</v>
      </c>
      <c r="P68" s="31">
        <v>1.9805200000000001</v>
      </c>
      <c r="Q68" s="31">
        <v>1.6307199999999999</v>
      </c>
      <c r="R68" s="31">
        <v>1.59091</v>
      </c>
      <c r="S68" s="31">
        <v>274</v>
      </c>
      <c r="T68" s="31">
        <v>334</v>
      </c>
    </row>
    <row r="69" spans="1:20" ht="18.75" x14ac:dyDescent="0.3">
      <c r="A69" s="30">
        <v>2571</v>
      </c>
      <c r="B69" s="2" t="s">
        <v>27</v>
      </c>
      <c r="C69" s="2" t="s">
        <v>29</v>
      </c>
      <c r="D69" s="2">
        <v>2304</v>
      </c>
      <c r="E69" s="2" t="s">
        <v>16</v>
      </c>
      <c r="F69" s="3" t="s">
        <v>15</v>
      </c>
      <c r="G69" s="3" t="s">
        <v>24</v>
      </c>
      <c r="H69" s="3">
        <v>225</v>
      </c>
      <c r="I69" s="29">
        <v>297</v>
      </c>
      <c r="J69" s="29">
        <v>335</v>
      </c>
      <c r="K69" s="3">
        <v>627</v>
      </c>
      <c r="L69" s="31">
        <v>706</v>
      </c>
      <c r="M69" s="31">
        <v>1.1969700000000001</v>
      </c>
      <c r="N69" s="31">
        <v>1.25</v>
      </c>
      <c r="O69" s="31">
        <v>1.7236899999999999</v>
      </c>
      <c r="P69" s="31">
        <v>1.36364</v>
      </c>
      <c r="Q69" s="31">
        <v>1.8680000000000001</v>
      </c>
      <c r="R69" s="31">
        <v>1.9419299999999999</v>
      </c>
      <c r="S69" s="31">
        <v>219</v>
      </c>
      <c r="T69" s="31">
        <v>279</v>
      </c>
    </row>
    <row r="70" spans="1:20" ht="18.75" x14ac:dyDescent="0.3">
      <c r="A70" s="30">
        <v>2572</v>
      </c>
      <c r="B70" s="2" t="s">
        <v>14</v>
      </c>
      <c r="C70" s="2" t="s">
        <v>18</v>
      </c>
      <c r="D70" s="2">
        <v>2304</v>
      </c>
      <c r="E70" s="2" t="s">
        <v>16</v>
      </c>
      <c r="F70" s="3" t="s">
        <v>15</v>
      </c>
      <c r="G70" s="3" t="s">
        <v>15</v>
      </c>
      <c r="H70" s="3">
        <v>209</v>
      </c>
      <c r="I70" s="29">
        <v>255</v>
      </c>
      <c r="J70" s="29">
        <v>304</v>
      </c>
      <c r="K70" s="3">
        <v>596</v>
      </c>
      <c r="L70" s="31">
        <v>673</v>
      </c>
      <c r="M70" s="31">
        <v>0.76893999999999996</v>
      </c>
      <c r="N70" s="31">
        <v>1.0743799999999999</v>
      </c>
      <c r="O70" s="31">
        <v>1.66096</v>
      </c>
      <c r="P70" s="31">
        <v>1.7289000000000001</v>
      </c>
      <c r="Q70" s="31">
        <v>1.9053500000000001</v>
      </c>
      <c r="R70" s="31">
        <v>1.9312199999999999</v>
      </c>
      <c r="S70" s="31">
        <v>219</v>
      </c>
      <c r="T70" s="31">
        <v>279</v>
      </c>
    </row>
    <row r="71" spans="1:20" ht="18.75" x14ac:dyDescent="0.3">
      <c r="A71" s="30">
        <v>2578</v>
      </c>
      <c r="B71" s="2" t="s">
        <v>27</v>
      </c>
      <c r="C71" s="2" t="s">
        <v>26</v>
      </c>
      <c r="D71" s="2">
        <v>2304</v>
      </c>
      <c r="E71" s="2" t="s">
        <v>16</v>
      </c>
      <c r="F71" s="3" t="s">
        <v>15</v>
      </c>
      <c r="G71" s="3" t="s">
        <v>24</v>
      </c>
      <c r="H71" s="3">
        <v>245</v>
      </c>
      <c r="I71" s="29">
        <v>295</v>
      </c>
      <c r="J71" s="29">
        <v>369</v>
      </c>
      <c r="K71" s="3">
        <v>651</v>
      </c>
      <c r="L71" s="31">
        <v>675</v>
      </c>
      <c r="M71" s="31">
        <v>0.82955000000000001</v>
      </c>
      <c r="N71" s="31">
        <v>1.3997900000000001</v>
      </c>
      <c r="O71" s="31">
        <v>1.54122</v>
      </c>
      <c r="P71" s="31">
        <v>2.62175</v>
      </c>
      <c r="Q71" s="31">
        <v>1.7362</v>
      </c>
      <c r="R71" s="31">
        <v>1.6063799999999999</v>
      </c>
      <c r="S71" s="31">
        <v>219</v>
      </c>
      <c r="T71" s="31">
        <v>279</v>
      </c>
    </row>
    <row r="72" spans="1:20" ht="18.75" x14ac:dyDescent="0.3">
      <c r="A72" s="30">
        <v>2589</v>
      </c>
      <c r="B72" s="2" t="s">
        <v>14</v>
      </c>
      <c r="C72" s="2" t="s">
        <v>45</v>
      </c>
      <c r="D72" s="2">
        <v>2304</v>
      </c>
      <c r="E72" s="2" t="s">
        <v>16</v>
      </c>
      <c r="F72" s="3" t="s">
        <v>15</v>
      </c>
      <c r="G72" s="3" t="s">
        <v>15</v>
      </c>
      <c r="H72" s="3">
        <v>191</v>
      </c>
      <c r="I72" s="29">
        <v>255</v>
      </c>
      <c r="J72" s="29">
        <v>320</v>
      </c>
      <c r="K72" s="3">
        <v>625</v>
      </c>
      <c r="L72" s="31">
        <v>706</v>
      </c>
      <c r="M72" s="31">
        <v>1.0643899999999999</v>
      </c>
      <c r="N72" s="31">
        <v>1.47211</v>
      </c>
      <c r="O72" s="31">
        <v>1.84588</v>
      </c>
      <c r="P72" s="31">
        <v>2.34578</v>
      </c>
      <c r="Q72" s="31">
        <v>2.0599799999999999</v>
      </c>
      <c r="R72" s="31">
        <v>2.0180899999999999</v>
      </c>
      <c r="S72" s="31">
        <v>219</v>
      </c>
      <c r="T72" s="31">
        <v>279</v>
      </c>
    </row>
    <row r="73" spans="1:20" ht="18.75" x14ac:dyDescent="0.3">
      <c r="A73" s="30">
        <v>2591</v>
      </c>
      <c r="B73" s="2" t="s">
        <v>27</v>
      </c>
      <c r="C73" s="2" t="s">
        <v>26</v>
      </c>
      <c r="D73" s="2">
        <v>2304</v>
      </c>
      <c r="E73" s="2" t="s">
        <v>16</v>
      </c>
      <c r="F73" s="3" t="s">
        <v>15</v>
      </c>
      <c r="G73" s="3" t="s">
        <v>24</v>
      </c>
      <c r="H73" s="3">
        <v>255</v>
      </c>
      <c r="I73" s="29">
        <v>284</v>
      </c>
      <c r="J73" s="29">
        <v>356</v>
      </c>
      <c r="K73" s="3">
        <v>677</v>
      </c>
      <c r="L73" s="31">
        <v>771</v>
      </c>
      <c r="M73" s="31">
        <v>0.49242000000000002</v>
      </c>
      <c r="N73" s="31">
        <v>1.1570199999999999</v>
      </c>
      <c r="O73" s="31">
        <v>1.85239</v>
      </c>
      <c r="P73" s="31">
        <v>2.5811700000000002</v>
      </c>
      <c r="Q73" s="31">
        <v>2.22499</v>
      </c>
      <c r="R73" s="31">
        <v>2.1727699999999999</v>
      </c>
      <c r="S73" s="31">
        <v>219</v>
      </c>
      <c r="T73" s="31">
        <v>279</v>
      </c>
    </row>
    <row r="74" spans="1:20" ht="18.75" x14ac:dyDescent="0.3">
      <c r="A74" s="30">
        <v>2615</v>
      </c>
      <c r="B74" s="2" t="s">
        <v>14</v>
      </c>
      <c r="C74" s="2" t="s">
        <v>34</v>
      </c>
      <c r="D74" s="2">
        <v>2304</v>
      </c>
      <c r="E74" s="2" t="s">
        <v>16</v>
      </c>
      <c r="F74" s="3" t="s">
        <v>15</v>
      </c>
      <c r="G74" s="3" t="s">
        <v>15</v>
      </c>
      <c r="H74" s="3">
        <v>209</v>
      </c>
      <c r="I74" s="29">
        <v>251</v>
      </c>
      <c r="J74" s="29">
        <v>307</v>
      </c>
      <c r="K74" s="3">
        <v>555</v>
      </c>
      <c r="L74" s="31">
        <v>710</v>
      </c>
      <c r="M74" s="31">
        <v>0.70455000000000001</v>
      </c>
      <c r="N74" s="31">
        <v>1.1156999999999999</v>
      </c>
      <c r="O74" s="31">
        <v>1.7937399999999999</v>
      </c>
      <c r="P74" s="31">
        <v>1.99675</v>
      </c>
      <c r="Q74" s="31">
        <v>2.0921500000000002</v>
      </c>
      <c r="R74" s="31">
        <v>2.1061399999999999</v>
      </c>
      <c r="S74" s="31">
        <v>219</v>
      </c>
      <c r="T74" s="31">
        <v>279</v>
      </c>
    </row>
    <row r="75" spans="1:20" ht="18.75" x14ac:dyDescent="0.3">
      <c r="A75" s="30">
        <v>2618</v>
      </c>
      <c r="B75" s="2" t="s">
        <v>14</v>
      </c>
      <c r="C75" s="2" t="s">
        <v>45</v>
      </c>
      <c r="D75" s="2">
        <v>2304</v>
      </c>
      <c r="E75" s="2" t="s">
        <v>16</v>
      </c>
      <c r="F75" s="3" t="s">
        <v>15</v>
      </c>
      <c r="G75" s="3" t="s">
        <v>15</v>
      </c>
      <c r="H75" s="3">
        <v>216</v>
      </c>
      <c r="I75" s="29">
        <v>265</v>
      </c>
      <c r="J75" s="29">
        <v>308</v>
      </c>
      <c r="K75" s="3">
        <v>589</v>
      </c>
      <c r="L75" s="31">
        <v>659</v>
      </c>
      <c r="M75" s="31">
        <v>0.81061000000000005</v>
      </c>
      <c r="N75" s="31">
        <v>1.04339</v>
      </c>
      <c r="O75" s="31">
        <v>1.58684</v>
      </c>
      <c r="P75" s="31">
        <v>1.5422100000000001</v>
      </c>
      <c r="Q75" s="31">
        <v>1.7995000000000001</v>
      </c>
      <c r="R75" s="31">
        <v>1.8372200000000001</v>
      </c>
      <c r="S75" s="31">
        <v>219</v>
      </c>
      <c r="T75" s="31">
        <v>279</v>
      </c>
    </row>
    <row r="76" spans="1:20" ht="18.75" x14ac:dyDescent="0.3">
      <c r="A76" s="30">
        <v>2627</v>
      </c>
      <c r="B76" s="2" t="s">
        <v>14</v>
      </c>
      <c r="C76" s="2" t="s">
        <v>17</v>
      </c>
      <c r="D76" s="2">
        <v>2304</v>
      </c>
      <c r="E76" s="2" t="s">
        <v>16</v>
      </c>
      <c r="F76" s="3" t="s">
        <v>15</v>
      </c>
      <c r="G76" s="3" t="s">
        <v>15</v>
      </c>
      <c r="H76" s="3">
        <v>134</v>
      </c>
      <c r="I76" s="29">
        <v>183</v>
      </c>
      <c r="J76" s="29">
        <v>237</v>
      </c>
      <c r="K76" s="3">
        <v>458</v>
      </c>
      <c r="L76" s="31">
        <v>527</v>
      </c>
      <c r="M76" s="31">
        <v>0.80681999999999998</v>
      </c>
      <c r="N76" s="31">
        <v>1.16736</v>
      </c>
      <c r="O76" s="31">
        <v>1.1758299999999999</v>
      </c>
      <c r="P76" s="31">
        <v>1.93994</v>
      </c>
      <c r="Q76" s="31">
        <v>1.25664</v>
      </c>
      <c r="R76" s="31">
        <v>1.17886</v>
      </c>
      <c r="S76" s="31">
        <v>274</v>
      </c>
      <c r="T76" s="31">
        <v>334</v>
      </c>
    </row>
    <row r="77" spans="1:20" ht="18.75" x14ac:dyDescent="0.3">
      <c r="A77" s="30">
        <v>2629</v>
      </c>
      <c r="B77" s="2" t="s">
        <v>14</v>
      </c>
      <c r="C77" s="2" t="s">
        <v>18</v>
      </c>
      <c r="D77" s="2">
        <v>2304</v>
      </c>
      <c r="E77" s="2" t="s">
        <v>16</v>
      </c>
      <c r="F77" s="3" t="s">
        <v>15</v>
      </c>
      <c r="G77" s="3" t="s">
        <v>15</v>
      </c>
      <c r="H77" s="3" t="s">
        <v>39</v>
      </c>
      <c r="I77" s="29">
        <v>288</v>
      </c>
      <c r="J77" s="29">
        <v>348</v>
      </c>
      <c r="K77" s="3">
        <v>676</v>
      </c>
      <c r="L77" s="31">
        <v>757</v>
      </c>
      <c r="M77" s="31" t="s">
        <v>39</v>
      </c>
      <c r="N77" s="31" t="s">
        <v>39</v>
      </c>
      <c r="O77" s="31" t="s">
        <v>39</v>
      </c>
      <c r="P77" s="31">
        <v>2.1185100000000001</v>
      </c>
      <c r="Q77" s="31">
        <v>2.1388500000000001</v>
      </c>
      <c r="R77" s="31">
        <v>2.1418400000000002</v>
      </c>
      <c r="S77" s="31">
        <v>219</v>
      </c>
      <c r="T77" s="31">
        <v>279</v>
      </c>
    </row>
    <row r="78" spans="1:20" ht="18.75" x14ac:dyDescent="0.3">
      <c r="A78" s="30">
        <v>2630</v>
      </c>
      <c r="B78" s="2" t="s">
        <v>14</v>
      </c>
      <c r="C78" s="2" t="s">
        <v>34</v>
      </c>
      <c r="D78" s="2">
        <v>2304</v>
      </c>
      <c r="E78" s="2" t="s">
        <v>16</v>
      </c>
      <c r="F78" s="3" t="s">
        <v>15</v>
      </c>
      <c r="G78" s="3" t="s">
        <v>15</v>
      </c>
      <c r="H78" s="3">
        <v>161</v>
      </c>
      <c r="I78" s="29">
        <v>229</v>
      </c>
      <c r="J78" s="29">
        <v>277</v>
      </c>
      <c r="K78" s="3">
        <v>532</v>
      </c>
      <c r="L78" s="31">
        <v>624</v>
      </c>
      <c r="M78" s="31">
        <v>1.12879</v>
      </c>
      <c r="N78" s="31">
        <v>1.31715</v>
      </c>
      <c r="O78" s="31">
        <v>1.38541</v>
      </c>
      <c r="P78" s="31">
        <v>1.72078</v>
      </c>
      <c r="Q78" s="31">
        <v>1.4416100000000001</v>
      </c>
      <c r="R78" s="31">
        <v>1.4098299999999999</v>
      </c>
      <c r="S78" s="31">
        <v>274</v>
      </c>
      <c r="T78" s="31">
        <v>334</v>
      </c>
    </row>
    <row r="79" spans="1:20" ht="18.75" x14ac:dyDescent="0.3">
      <c r="A79" s="30">
        <v>2635</v>
      </c>
      <c r="B79" s="2" t="s">
        <v>14</v>
      </c>
      <c r="C79" s="2" t="s">
        <v>13</v>
      </c>
      <c r="D79" s="2">
        <v>2304</v>
      </c>
      <c r="E79" s="2" t="s">
        <v>16</v>
      </c>
      <c r="F79" s="3" t="s">
        <v>15</v>
      </c>
      <c r="G79" s="3" t="s">
        <v>15</v>
      </c>
      <c r="H79" s="3">
        <v>161</v>
      </c>
      <c r="I79" s="29">
        <v>226</v>
      </c>
      <c r="J79" s="29">
        <v>287</v>
      </c>
      <c r="K79" s="3">
        <v>518</v>
      </c>
      <c r="L79" s="31">
        <v>591</v>
      </c>
      <c r="M79" s="31">
        <v>1.0833299999999999</v>
      </c>
      <c r="N79" s="31">
        <v>1.4256200000000001</v>
      </c>
      <c r="O79" s="31">
        <v>1.2874300000000001</v>
      </c>
      <c r="P79" s="31">
        <v>2.15909</v>
      </c>
      <c r="Q79" s="31">
        <v>1.33212</v>
      </c>
      <c r="R79" s="31">
        <v>1.2379899999999999</v>
      </c>
      <c r="S79" s="31">
        <v>274</v>
      </c>
      <c r="T79" s="31">
        <v>334</v>
      </c>
    </row>
    <row r="80" spans="1:20" ht="18.75" x14ac:dyDescent="0.3">
      <c r="A80" s="30">
        <v>2638</v>
      </c>
      <c r="B80" s="2" t="s">
        <v>14</v>
      </c>
      <c r="C80" s="2" t="s">
        <v>17</v>
      </c>
      <c r="D80" s="2">
        <v>2304</v>
      </c>
      <c r="E80" s="2" t="s">
        <v>16</v>
      </c>
      <c r="F80" s="3" t="s">
        <v>15</v>
      </c>
      <c r="G80" s="3" t="s">
        <v>15</v>
      </c>
      <c r="H80" s="3">
        <v>155</v>
      </c>
      <c r="I80" s="29">
        <v>214</v>
      </c>
      <c r="J80" s="29">
        <v>268</v>
      </c>
      <c r="K80" s="3">
        <v>504</v>
      </c>
      <c r="L80" s="31">
        <v>577</v>
      </c>
      <c r="M80" s="31">
        <v>0.98863999999999996</v>
      </c>
      <c r="N80" s="31">
        <v>1.28616</v>
      </c>
      <c r="O80" s="31">
        <v>1.2642899999999999</v>
      </c>
      <c r="P80" s="31">
        <v>1.9237</v>
      </c>
      <c r="Q80" s="31">
        <v>1.3246500000000001</v>
      </c>
      <c r="R80" s="31">
        <v>1.25647</v>
      </c>
      <c r="S80" s="31">
        <v>274</v>
      </c>
      <c r="T80" s="31">
        <v>334</v>
      </c>
    </row>
    <row r="81" spans="1:25" ht="18.75" x14ac:dyDescent="0.3">
      <c r="A81" s="30">
        <v>2645</v>
      </c>
      <c r="B81" s="2" t="s">
        <v>14</v>
      </c>
      <c r="C81" s="2" t="s">
        <v>34</v>
      </c>
      <c r="D81" s="2">
        <v>2304</v>
      </c>
      <c r="E81" s="2" t="s">
        <v>16</v>
      </c>
      <c r="F81" s="3" t="s">
        <v>15</v>
      </c>
      <c r="G81" s="3" t="s">
        <v>15</v>
      </c>
      <c r="H81" s="3">
        <v>220</v>
      </c>
      <c r="I81" s="29">
        <v>264</v>
      </c>
      <c r="J81" s="29">
        <v>320</v>
      </c>
      <c r="K81" s="3">
        <v>559</v>
      </c>
      <c r="L81" s="31">
        <v>703</v>
      </c>
      <c r="M81" s="31">
        <v>0.72726999999999997</v>
      </c>
      <c r="N81" s="31">
        <v>1.1312</v>
      </c>
      <c r="O81" s="31">
        <v>1.72858</v>
      </c>
      <c r="P81" s="31">
        <v>1.99675</v>
      </c>
      <c r="Q81" s="31">
        <v>2.00291</v>
      </c>
      <c r="R81" s="31">
        <v>2.0038100000000001</v>
      </c>
      <c r="S81" s="31">
        <v>219</v>
      </c>
      <c r="T81" s="31">
        <v>279</v>
      </c>
    </row>
    <row r="82" spans="1:25" ht="18.75" x14ac:dyDescent="0.25">
      <c r="A82" s="32">
        <v>2662</v>
      </c>
      <c r="B82" s="2" t="s">
        <v>14</v>
      </c>
      <c r="C82" s="2" t="s">
        <v>62</v>
      </c>
      <c r="D82" s="2">
        <v>2304</v>
      </c>
      <c r="E82" s="2" t="s">
        <v>16</v>
      </c>
      <c r="F82" s="3" t="s">
        <v>15</v>
      </c>
      <c r="G82" s="3" t="s">
        <v>15</v>
      </c>
      <c r="H82" s="3">
        <v>164</v>
      </c>
      <c r="I82" s="29">
        <v>218</v>
      </c>
      <c r="J82" s="29">
        <v>275</v>
      </c>
      <c r="K82" s="3">
        <v>526</v>
      </c>
      <c r="L82" s="31">
        <v>615</v>
      </c>
      <c r="M82" s="31">
        <v>0.90529999999999999</v>
      </c>
      <c r="N82" s="31">
        <v>1.2706599999999999</v>
      </c>
      <c r="O82" s="31">
        <v>1.3500300000000001</v>
      </c>
      <c r="P82" s="31">
        <v>2.0535700000000001</v>
      </c>
      <c r="Q82" s="31">
        <v>1.4474100000000001</v>
      </c>
      <c r="R82" s="31">
        <v>1.37842</v>
      </c>
      <c r="S82" s="31">
        <v>274</v>
      </c>
      <c r="T82" s="31">
        <v>334</v>
      </c>
    </row>
    <row r="83" spans="1:25" ht="18.75" x14ac:dyDescent="0.25">
      <c r="A83" s="32">
        <v>2663</v>
      </c>
      <c r="B83" s="2" t="s">
        <v>14</v>
      </c>
      <c r="C83" s="2" t="s">
        <v>63</v>
      </c>
      <c r="D83" s="2">
        <v>2304</v>
      </c>
      <c r="E83" s="2" t="s">
        <v>16</v>
      </c>
      <c r="F83" s="3" t="s">
        <v>15</v>
      </c>
      <c r="G83" s="3" t="s">
        <v>15</v>
      </c>
      <c r="H83" s="3">
        <v>161</v>
      </c>
      <c r="I83" s="29">
        <v>223</v>
      </c>
      <c r="J83" s="29">
        <v>270</v>
      </c>
      <c r="K83" s="3">
        <v>553</v>
      </c>
      <c r="L83" s="31">
        <v>665</v>
      </c>
      <c r="M83" s="31">
        <v>1.01894</v>
      </c>
      <c r="N83" s="31">
        <v>1.23967</v>
      </c>
      <c r="O83" s="31">
        <v>1.50789</v>
      </c>
      <c r="P83" s="31">
        <v>1.7126600000000001</v>
      </c>
      <c r="Q83" s="31">
        <v>1.61496</v>
      </c>
      <c r="R83" s="31">
        <v>1.6038399999999999</v>
      </c>
      <c r="S83" s="31">
        <v>274</v>
      </c>
      <c r="T83" s="31">
        <v>334</v>
      </c>
    </row>
    <row r="84" spans="1:25" ht="18.75" x14ac:dyDescent="0.25">
      <c r="A84" s="32">
        <v>2674</v>
      </c>
      <c r="B84" s="2" t="s">
        <v>14</v>
      </c>
      <c r="C84" s="2" t="s">
        <v>62</v>
      </c>
      <c r="D84" s="2">
        <v>2304</v>
      </c>
      <c r="E84" s="2" t="s">
        <v>16</v>
      </c>
      <c r="F84" s="3" t="s">
        <v>15</v>
      </c>
      <c r="G84" s="3" t="s">
        <v>15</v>
      </c>
      <c r="H84" s="3">
        <v>186</v>
      </c>
      <c r="I84" s="29">
        <v>246</v>
      </c>
      <c r="J84" s="29">
        <v>310</v>
      </c>
      <c r="K84" s="3">
        <v>587</v>
      </c>
      <c r="L84" s="31">
        <v>679</v>
      </c>
      <c r="M84" s="31">
        <v>0.99241999999999997</v>
      </c>
      <c r="N84" s="31">
        <v>1.41012</v>
      </c>
      <c r="O84" s="31">
        <v>1.7660499999999999</v>
      </c>
      <c r="P84" s="31">
        <v>2.3051900000000001</v>
      </c>
      <c r="Q84" s="31">
        <v>1.978</v>
      </c>
      <c r="R84" s="31">
        <v>1.9300299999999999</v>
      </c>
      <c r="S84" s="31">
        <v>219</v>
      </c>
      <c r="T84" s="31">
        <v>279</v>
      </c>
    </row>
    <row r="85" spans="1:25" ht="18.75" x14ac:dyDescent="0.25">
      <c r="A85" s="32">
        <v>2676</v>
      </c>
      <c r="B85" s="2" t="s">
        <v>14</v>
      </c>
      <c r="C85" s="2" t="s">
        <v>63</v>
      </c>
      <c r="D85" s="2">
        <v>2304</v>
      </c>
      <c r="E85" s="2" t="s">
        <v>16</v>
      </c>
      <c r="F85" s="3" t="s">
        <v>15</v>
      </c>
      <c r="G85" s="3" t="s">
        <v>15</v>
      </c>
      <c r="H85" s="3">
        <v>155</v>
      </c>
      <c r="I85" s="29">
        <v>199</v>
      </c>
      <c r="J85" s="29">
        <v>259</v>
      </c>
      <c r="K85" s="3">
        <v>537</v>
      </c>
      <c r="L85" s="31">
        <v>590</v>
      </c>
      <c r="M85" s="31">
        <v>0.74621000000000004</v>
      </c>
      <c r="N85" s="31">
        <v>1.1880200000000001</v>
      </c>
      <c r="O85" s="31">
        <v>1.3024</v>
      </c>
      <c r="P85" s="31">
        <v>2.1347399999999999</v>
      </c>
      <c r="Q85" s="31">
        <v>1.4241900000000001</v>
      </c>
      <c r="R85" s="31">
        <v>1.34331</v>
      </c>
      <c r="S85" s="31">
        <v>274</v>
      </c>
      <c r="T85" s="31">
        <v>334</v>
      </c>
      <c r="U85">
        <f>AVERAGE(H56:H85)</f>
        <v>194.44827586206895</v>
      </c>
      <c r="V85">
        <f t="shared" ref="V85:Y85" si="2">AVERAGE(I56:I85)</f>
        <v>248.9</v>
      </c>
      <c r="W85">
        <f t="shared" si="2"/>
        <v>305.56666666666666</v>
      </c>
      <c r="X85">
        <f t="shared" si="2"/>
        <v>578.23333333333335</v>
      </c>
      <c r="Y85">
        <f t="shared" si="2"/>
        <v>664.7</v>
      </c>
    </row>
    <row r="86" spans="1:25" ht="18.75" x14ac:dyDescent="0.3">
      <c r="A86" s="30">
        <v>2502</v>
      </c>
      <c r="B86" s="2" t="s">
        <v>20</v>
      </c>
      <c r="C86" s="2" t="s">
        <v>30</v>
      </c>
      <c r="D86" s="2">
        <v>2304</v>
      </c>
      <c r="E86" s="2" t="s">
        <v>16</v>
      </c>
      <c r="F86" s="3" t="s">
        <v>21</v>
      </c>
      <c r="G86" s="3" t="s">
        <v>15</v>
      </c>
      <c r="H86" s="3">
        <v>182</v>
      </c>
      <c r="I86" s="29">
        <v>235</v>
      </c>
      <c r="J86" s="29">
        <v>290</v>
      </c>
      <c r="K86" s="3">
        <v>583</v>
      </c>
      <c r="L86" s="31">
        <v>657</v>
      </c>
      <c r="M86" s="31">
        <v>0.88636000000000004</v>
      </c>
      <c r="N86" s="31">
        <v>1.22417</v>
      </c>
      <c r="O86" s="31">
        <v>1.7033199999999999</v>
      </c>
      <c r="P86" s="31">
        <v>1.9480500000000001</v>
      </c>
      <c r="Q86" s="31">
        <v>1.9271499999999999</v>
      </c>
      <c r="R86" s="31">
        <v>1.92408</v>
      </c>
      <c r="S86" s="31">
        <v>219</v>
      </c>
      <c r="T86" s="31">
        <v>279</v>
      </c>
    </row>
    <row r="87" spans="1:25" ht="18.75" x14ac:dyDescent="0.3">
      <c r="A87" s="30">
        <v>2512</v>
      </c>
      <c r="B87" s="2" t="s">
        <v>20</v>
      </c>
      <c r="C87" s="2" t="s">
        <v>19</v>
      </c>
      <c r="D87" s="2">
        <v>2304</v>
      </c>
      <c r="E87" s="2" t="s">
        <v>16</v>
      </c>
      <c r="F87" s="3" t="s">
        <v>21</v>
      </c>
      <c r="G87" s="3" t="s">
        <v>15</v>
      </c>
      <c r="H87" s="3">
        <v>250</v>
      </c>
      <c r="I87" s="29">
        <v>278</v>
      </c>
      <c r="J87" s="29">
        <v>336</v>
      </c>
      <c r="K87" s="3">
        <v>564</v>
      </c>
      <c r="L87" s="31">
        <v>668</v>
      </c>
      <c r="M87" s="31">
        <v>0.47348000000000001</v>
      </c>
      <c r="N87" s="31">
        <v>0.98140000000000005</v>
      </c>
      <c r="O87" s="31">
        <v>1.25204</v>
      </c>
      <c r="P87" s="31">
        <v>2.0698099999999999</v>
      </c>
      <c r="Q87" s="31">
        <v>1.4225300000000001</v>
      </c>
      <c r="R87" s="31">
        <v>1.3488500000000001</v>
      </c>
      <c r="S87" s="31">
        <v>274</v>
      </c>
      <c r="T87" s="31">
        <v>334</v>
      </c>
      <c r="U87">
        <f>AVERAGE(H86:H113)</f>
        <v>187.28571428571428</v>
      </c>
      <c r="V87">
        <f t="shared" ref="V87:Y87" si="3">AVERAGE(I86:I113)</f>
        <v>233.57142857142858</v>
      </c>
      <c r="W87">
        <f t="shared" si="3"/>
        <v>290.25</v>
      </c>
      <c r="X87">
        <f t="shared" si="3"/>
        <v>541.25</v>
      </c>
      <c r="Y87">
        <f t="shared" si="3"/>
        <v>618.85714285714289</v>
      </c>
    </row>
    <row r="88" spans="1:25" ht="18.75" x14ac:dyDescent="0.3">
      <c r="A88" s="30">
        <v>2514</v>
      </c>
      <c r="B88" s="2" t="s">
        <v>20</v>
      </c>
      <c r="C88" s="2" t="s">
        <v>19</v>
      </c>
      <c r="D88" s="2">
        <v>2304</v>
      </c>
      <c r="E88" s="2" t="s">
        <v>16</v>
      </c>
      <c r="F88" s="3" t="s">
        <v>21</v>
      </c>
      <c r="G88" s="3" t="s">
        <v>15</v>
      </c>
      <c r="H88" s="3">
        <v>143</v>
      </c>
      <c r="I88" s="29">
        <v>188</v>
      </c>
      <c r="J88" s="29">
        <v>248</v>
      </c>
      <c r="K88" s="3">
        <v>493</v>
      </c>
      <c r="L88" s="31">
        <v>503</v>
      </c>
      <c r="M88" s="31">
        <v>0.74621000000000004</v>
      </c>
      <c r="N88" s="31">
        <v>1.1880200000000001</v>
      </c>
      <c r="O88" s="31">
        <v>1.0778399999999999</v>
      </c>
      <c r="P88" s="31">
        <v>2.1347399999999999</v>
      </c>
      <c r="Q88" s="31">
        <v>1.15046</v>
      </c>
      <c r="R88" s="31">
        <v>1.03843</v>
      </c>
      <c r="S88" s="31">
        <v>274</v>
      </c>
      <c r="T88" s="31">
        <v>334</v>
      </c>
    </row>
    <row r="89" spans="1:25" ht="18.75" x14ac:dyDescent="0.3">
      <c r="A89" s="30">
        <v>2520</v>
      </c>
      <c r="B89" s="2" t="s">
        <v>20</v>
      </c>
      <c r="C89" s="2" t="s">
        <v>19</v>
      </c>
      <c r="D89" s="2">
        <v>2304</v>
      </c>
      <c r="E89" s="2" t="s">
        <v>16</v>
      </c>
      <c r="F89" s="3" t="s">
        <v>21</v>
      </c>
      <c r="G89" s="3" t="s">
        <v>15</v>
      </c>
      <c r="H89" s="3">
        <v>200</v>
      </c>
      <c r="I89" s="29">
        <v>240</v>
      </c>
      <c r="J89" s="29">
        <v>299</v>
      </c>
      <c r="K89" s="3">
        <v>600</v>
      </c>
      <c r="L89" s="31">
        <v>667</v>
      </c>
      <c r="M89" s="31">
        <v>0.66666999999999998</v>
      </c>
      <c r="N89" s="31">
        <v>1.12087</v>
      </c>
      <c r="O89" s="31">
        <v>1.6731799999999999</v>
      </c>
      <c r="P89" s="31">
        <v>2.09416</v>
      </c>
      <c r="Q89" s="31">
        <v>1.9489399999999999</v>
      </c>
      <c r="R89" s="31">
        <v>1.9276500000000001</v>
      </c>
      <c r="S89" s="31">
        <v>219</v>
      </c>
      <c r="T89" s="31">
        <v>279</v>
      </c>
    </row>
    <row r="90" spans="1:25" ht="18.75" x14ac:dyDescent="0.3">
      <c r="A90" s="30">
        <v>2526</v>
      </c>
      <c r="B90" s="2" t="s">
        <v>23</v>
      </c>
      <c r="C90" s="2" t="s">
        <v>22</v>
      </c>
      <c r="D90" s="2">
        <v>2304</v>
      </c>
      <c r="E90" s="2" t="s">
        <v>16</v>
      </c>
      <c r="F90" s="3" t="s">
        <v>21</v>
      </c>
      <c r="G90" s="3" t="s">
        <v>24</v>
      </c>
      <c r="H90" s="3">
        <v>209</v>
      </c>
      <c r="I90" s="29">
        <v>251</v>
      </c>
      <c r="J90" s="29">
        <v>303</v>
      </c>
      <c r="K90" s="3">
        <v>575</v>
      </c>
      <c r="L90" s="31">
        <v>633</v>
      </c>
      <c r="M90" s="31">
        <v>0.70455000000000001</v>
      </c>
      <c r="N90" s="31">
        <v>1.06921</v>
      </c>
      <c r="O90" s="31">
        <v>1.51922</v>
      </c>
      <c r="P90" s="31">
        <v>1.8506499999999999</v>
      </c>
      <c r="Q90" s="31">
        <v>1.7424200000000001</v>
      </c>
      <c r="R90" s="31">
        <v>1.7265600000000001</v>
      </c>
      <c r="S90" s="31">
        <v>219</v>
      </c>
      <c r="T90" s="31">
        <v>279</v>
      </c>
    </row>
    <row r="91" spans="1:25" ht="18.75" x14ac:dyDescent="0.3">
      <c r="A91" s="30">
        <v>2537</v>
      </c>
      <c r="B91" s="2" t="s">
        <v>23</v>
      </c>
      <c r="C91" s="2" t="s">
        <v>22</v>
      </c>
      <c r="D91" s="2">
        <v>2304</v>
      </c>
      <c r="E91" s="2" t="s">
        <v>16</v>
      </c>
      <c r="F91" s="3" t="s">
        <v>21</v>
      </c>
      <c r="G91" s="3" t="s">
        <v>24</v>
      </c>
      <c r="H91" s="3">
        <v>152</v>
      </c>
      <c r="I91" s="29">
        <v>211</v>
      </c>
      <c r="J91" s="29">
        <v>275</v>
      </c>
      <c r="K91" s="3">
        <v>480</v>
      </c>
      <c r="L91" s="31">
        <v>571</v>
      </c>
      <c r="M91" s="31">
        <v>0.98106000000000004</v>
      </c>
      <c r="N91" s="31">
        <v>1.39463</v>
      </c>
      <c r="O91" s="31">
        <v>1.2547600000000001</v>
      </c>
      <c r="P91" s="31">
        <v>2.28084</v>
      </c>
      <c r="Q91" s="31">
        <v>1.3147</v>
      </c>
      <c r="R91" s="31">
        <v>1.2047300000000001</v>
      </c>
      <c r="S91" s="31">
        <v>274</v>
      </c>
      <c r="T91" s="31">
        <v>334</v>
      </c>
    </row>
    <row r="92" spans="1:25" ht="18.75" x14ac:dyDescent="0.3">
      <c r="A92" s="30">
        <v>2553</v>
      </c>
      <c r="B92" s="2" t="s">
        <v>20</v>
      </c>
      <c r="C92" s="2" t="s">
        <v>19</v>
      </c>
      <c r="D92" s="2">
        <v>2304</v>
      </c>
      <c r="E92" s="2" t="s">
        <v>16</v>
      </c>
      <c r="F92" s="3" t="s">
        <v>21</v>
      </c>
      <c r="G92" s="3" t="s">
        <v>15</v>
      </c>
      <c r="H92" s="3">
        <v>177</v>
      </c>
      <c r="I92" s="29">
        <v>220</v>
      </c>
      <c r="J92" s="29">
        <v>282</v>
      </c>
      <c r="K92" s="3">
        <v>535</v>
      </c>
      <c r="L92" s="31">
        <v>628</v>
      </c>
      <c r="M92" s="31">
        <v>0.70455000000000001</v>
      </c>
      <c r="N92" s="31">
        <v>1.1880200000000001</v>
      </c>
      <c r="O92" s="31">
        <v>1.34867</v>
      </c>
      <c r="P92" s="31">
        <v>2.22403</v>
      </c>
      <c r="Q92" s="31">
        <v>1.4897100000000001</v>
      </c>
      <c r="R92" s="31">
        <v>1.4061300000000001</v>
      </c>
      <c r="S92" s="31">
        <v>274</v>
      </c>
      <c r="T92" s="31">
        <v>334</v>
      </c>
    </row>
    <row r="93" spans="1:25" ht="18.75" x14ac:dyDescent="0.3">
      <c r="A93" s="30">
        <v>2554</v>
      </c>
      <c r="B93" s="2" t="s">
        <v>23</v>
      </c>
      <c r="C93" s="2" t="s">
        <v>25</v>
      </c>
      <c r="D93" s="2">
        <v>2304</v>
      </c>
      <c r="E93" s="2" t="s">
        <v>16</v>
      </c>
      <c r="F93" s="3" t="s">
        <v>21</v>
      </c>
      <c r="G93" s="3" t="s">
        <v>24</v>
      </c>
      <c r="H93" s="3">
        <v>225</v>
      </c>
      <c r="I93" s="29">
        <v>251</v>
      </c>
      <c r="J93" s="29">
        <v>304</v>
      </c>
      <c r="K93" s="3">
        <v>584</v>
      </c>
      <c r="L93" s="31">
        <v>643</v>
      </c>
      <c r="M93" s="31">
        <v>0.42803000000000002</v>
      </c>
      <c r="N93" s="31">
        <v>0.89359999999999995</v>
      </c>
      <c r="O93" s="31">
        <v>1.4972300000000001</v>
      </c>
      <c r="P93" s="31">
        <v>1.89123</v>
      </c>
      <c r="Q93" s="31">
        <v>1.79016</v>
      </c>
      <c r="R93" s="31">
        <v>1.77535</v>
      </c>
      <c r="S93" s="31">
        <v>219</v>
      </c>
      <c r="T93" s="31">
        <v>279</v>
      </c>
    </row>
    <row r="94" spans="1:25" ht="18.75" x14ac:dyDescent="0.3">
      <c r="A94" s="30">
        <v>2557</v>
      </c>
      <c r="B94" s="2" t="s">
        <v>23</v>
      </c>
      <c r="C94" s="2" t="s">
        <v>25</v>
      </c>
      <c r="D94" s="2">
        <v>2304</v>
      </c>
      <c r="E94" s="2" t="s">
        <v>16</v>
      </c>
      <c r="F94" s="3" t="s">
        <v>21</v>
      </c>
      <c r="G94" s="3" t="s">
        <v>24</v>
      </c>
      <c r="H94" s="3">
        <v>189</v>
      </c>
      <c r="I94" s="29">
        <v>238</v>
      </c>
      <c r="J94" s="29">
        <v>285</v>
      </c>
      <c r="K94" s="3">
        <v>553</v>
      </c>
      <c r="L94" s="31">
        <v>639</v>
      </c>
      <c r="M94" s="31">
        <v>0.82576000000000005</v>
      </c>
      <c r="N94" s="31">
        <v>1.1002099999999999</v>
      </c>
      <c r="O94" s="31">
        <v>1.61453</v>
      </c>
      <c r="P94" s="31">
        <v>1.68831</v>
      </c>
      <c r="Q94" s="31">
        <v>1.83064</v>
      </c>
      <c r="R94" s="31">
        <v>1.8514999999999999</v>
      </c>
      <c r="S94" s="31">
        <v>219</v>
      </c>
      <c r="T94" s="31">
        <v>279</v>
      </c>
    </row>
    <row r="95" spans="1:25" ht="18.75" x14ac:dyDescent="0.3">
      <c r="A95" s="30">
        <v>2564</v>
      </c>
      <c r="B95" s="2" t="s">
        <v>20</v>
      </c>
      <c r="C95" s="2" t="s">
        <v>28</v>
      </c>
      <c r="D95" s="2">
        <v>2304</v>
      </c>
      <c r="E95" s="2" t="s">
        <v>16</v>
      </c>
      <c r="F95" s="3" t="s">
        <v>21</v>
      </c>
      <c r="G95" s="3" t="s">
        <v>15</v>
      </c>
      <c r="H95" s="3">
        <v>230</v>
      </c>
      <c r="I95" s="29">
        <v>273</v>
      </c>
      <c r="J95" s="29">
        <v>334</v>
      </c>
      <c r="K95" s="3">
        <v>601</v>
      </c>
      <c r="L95" s="31">
        <v>669</v>
      </c>
      <c r="M95" s="31">
        <v>0.72348000000000001</v>
      </c>
      <c r="N95" s="31">
        <v>1.18285</v>
      </c>
      <c r="O95" s="31">
        <v>1.5762499999999999</v>
      </c>
      <c r="P95" s="31">
        <v>2.1672099999999999</v>
      </c>
      <c r="Q95" s="31">
        <v>1.8098799999999999</v>
      </c>
      <c r="R95" s="31">
        <v>1.7575000000000001</v>
      </c>
      <c r="S95" s="31">
        <v>219</v>
      </c>
      <c r="T95" s="31">
        <v>279</v>
      </c>
    </row>
    <row r="96" spans="1:25" ht="18.75" x14ac:dyDescent="0.3">
      <c r="A96" s="30">
        <v>2566</v>
      </c>
      <c r="B96" s="2" t="s">
        <v>20</v>
      </c>
      <c r="C96" s="2" t="s">
        <v>30</v>
      </c>
      <c r="D96" s="2">
        <v>2304</v>
      </c>
      <c r="E96" s="2" t="s">
        <v>16</v>
      </c>
      <c r="F96" s="3" t="s">
        <v>21</v>
      </c>
      <c r="G96" s="3" t="s">
        <v>15</v>
      </c>
      <c r="H96" s="3">
        <v>191</v>
      </c>
      <c r="I96" s="29">
        <v>257</v>
      </c>
      <c r="J96" s="29">
        <v>315</v>
      </c>
      <c r="K96" s="3">
        <v>579</v>
      </c>
      <c r="L96" s="31">
        <v>644</v>
      </c>
      <c r="M96" s="31">
        <v>1.1022700000000001</v>
      </c>
      <c r="N96" s="31">
        <v>1.4152899999999999</v>
      </c>
      <c r="O96" s="31">
        <v>1.6251199999999999</v>
      </c>
      <c r="P96" s="31">
        <v>2.0860400000000001</v>
      </c>
      <c r="Q96" s="31">
        <v>1.76837</v>
      </c>
      <c r="R96" s="31">
        <v>1.7218</v>
      </c>
      <c r="S96" s="31">
        <v>219</v>
      </c>
      <c r="T96" s="31">
        <v>279</v>
      </c>
    </row>
    <row r="97" spans="1:20" ht="18.75" x14ac:dyDescent="0.3">
      <c r="A97" s="30">
        <v>2575</v>
      </c>
      <c r="B97" s="2" t="s">
        <v>20</v>
      </c>
      <c r="C97" s="2" t="s">
        <v>30</v>
      </c>
      <c r="D97" s="2">
        <v>2304</v>
      </c>
      <c r="E97" s="2" t="s">
        <v>16</v>
      </c>
      <c r="F97" s="3" t="s">
        <v>21</v>
      </c>
      <c r="G97" s="3" t="s">
        <v>15</v>
      </c>
      <c r="H97" s="3">
        <v>170</v>
      </c>
      <c r="I97" s="29">
        <v>222</v>
      </c>
      <c r="J97" s="29">
        <v>283</v>
      </c>
      <c r="K97" s="3">
        <v>531</v>
      </c>
      <c r="L97" s="31">
        <v>601</v>
      </c>
      <c r="M97" s="31">
        <v>0.85985</v>
      </c>
      <c r="N97" s="31">
        <v>1.27583</v>
      </c>
      <c r="O97" s="31">
        <v>1.2901499999999999</v>
      </c>
      <c r="P97" s="31">
        <v>2.1672099999999999</v>
      </c>
      <c r="Q97" s="31">
        <v>1.3843700000000001</v>
      </c>
      <c r="R97" s="31">
        <v>1.2952699999999999</v>
      </c>
      <c r="S97" s="31">
        <v>274</v>
      </c>
      <c r="T97" s="31">
        <v>334</v>
      </c>
    </row>
    <row r="98" spans="1:20" ht="18.75" x14ac:dyDescent="0.3">
      <c r="A98" s="30">
        <v>2579</v>
      </c>
      <c r="B98" s="2" t="s">
        <v>20</v>
      </c>
      <c r="C98" s="2" t="s">
        <v>44</v>
      </c>
      <c r="D98" s="2">
        <v>2304</v>
      </c>
      <c r="E98" s="2" t="s">
        <v>16</v>
      </c>
      <c r="F98" s="3" t="s">
        <v>21</v>
      </c>
      <c r="G98" s="3" t="s">
        <v>15</v>
      </c>
      <c r="H98" s="3">
        <v>177</v>
      </c>
      <c r="I98" s="29">
        <v>249</v>
      </c>
      <c r="J98" s="29">
        <v>312</v>
      </c>
      <c r="K98" s="3">
        <v>550</v>
      </c>
      <c r="L98" s="31">
        <v>648</v>
      </c>
      <c r="M98" s="31">
        <v>1.1931799999999999</v>
      </c>
      <c r="N98" s="31">
        <v>1.5289299999999999</v>
      </c>
      <c r="O98" s="31">
        <v>1.40855</v>
      </c>
      <c r="P98" s="31">
        <v>2.24838</v>
      </c>
      <c r="Q98" s="31">
        <v>1.4557100000000001</v>
      </c>
      <c r="R98" s="31">
        <v>1.36548</v>
      </c>
      <c r="S98" s="31">
        <v>274</v>
      </c>
      <c r="T98" s="31">
        <v>334</v>
      </c>
    </row>
    <row r="99" spans="1:20" ht="18.75" x14ac:dyDescent="0.3">
      <c r="A99" s="30">
        <v>2581</v>
      </c>
      <c r="B99" s="2" t="s">
        <v>23</v>
      </c>
      <c r="C99" s="2" t="s">
        <v>22</v>
      </c>
      <c r="D99" s="2">
        <v>2304</v>
      </c>
      <c r="E99" s="2" t="s">
        <v>16</v>
      </c>
      <c r="F99" s="3" t="s">
        <v>21</v>
      </c>
      <c r="G99" s="3" t="s">
        <v>24</v>
      </c>
      <c r="H99" s="3">
        <v>214</v>
      </c>
      <c r="I99" s="29">
        <v>251</v>
      </c>
      <c r="J99" s="29">
        <v>295</v>
      </c>
      <c r="K99" s="3">
        <v>573</v>
      </c>
      <c r="L99" s="31">
        <v>657</v>
      </c>
      <c r="M99" s="31">
        <v>0.62121000000000004</v>
      </c>
      <c r="N99" s="31">
        <v>0.91942000000000002</v>
      </c>
      <c r="O99" s="31">
        <v>1.58765</v>
      </c>
      <c r="P99" s="31">
        <v>1.55844</v>
      </c>
      <c r="Q99" s="31">
        <v>1.85243</v>
      </c>
      <c r="R99" s="31">
        <v>1.8955299999999999</v>
      </c>
      <c r="S99" s="31">
        <v>219</v>
      </c>
      <c r="T99" s="31">
        <v>279</v>
      </c>
    </row>
    <row r="100" spans="1:20" ht="18.75" x14ac:dyDescent="0.3">
      <c r="A100" s="30">
        <v>2590</v>
      </c>
      <c r="B100" s="2" t="s">
        <v>20</v>
      </c>
      <c r="C100" s="2" t="s">
        <v>30</v>
      </c>
      <c r="D100" s="2">
        <v>2304</v>
      </c>
      <c r="E100" s="2" t="s">
        <v>16</v>
      </c>
      <c r="F100" s="3" t="s">
        <v>21</v>
      </c>
      <c r="G100" s="3" t="s">
        <v>15</v>
      </c>
      <c r="H100" s="3">
        <v>166</v>
      </c>
      <c r="I100" s="29">
        <v>227</v>
      </c>
      <c r="J100" s="29">
        <v>285</v>
      </c>
      <c r="K100" s="3">
        <v>549</v>
      </c>
      <c r="L100" s="31">
        <v>610</v>
      </c>
      <c r="M100" s="31">
        <v>1.01515</v>
      </c>
      <c r="N100" s="31">
        <v>1.35331</v>
      </c>
      <c r="O100" s="31">
        <v>1.32961</v>
      </c>
      <c r="P100" s="31">
        <v>2.0779200000000002</v>
      </c>
      <c r="Q100" s="31">
        <v>1.3984700000000001</v>
      </c>
      <c r="R100" s="31">
        <v>1.32114</v>
      </c>
      <c r="S100" s="31">
        <v>274</v>
      </c>
      <c r="T100" s="31">
        <v>334</v>
      </c>
    </row>
    <row r="101" spans="1:20" ht="18.75" x14ac:dyDescent="0.3">
      <c r="A101" s="30">
        <v>2592</v>
      </c>
      <c r="B101" s="2" t="s">
        <v>20</v>
      </c>
      <c r="C101" s="2" t="s">
        <v>44</v>
      </c>
      <c r="D101" s="2">
        <v>2304</v>
      </c>
      <c r="E101" s="2" t="s">
        <v>16</v>
      </c>
      <c r="F101" s="3" t="s">
        <v>21</v>
      </c>
      <c r="G101" s="3" t="s">
        <v>15</v>
      </c>
      <c r="H101" s="3">
        <v>198</v>
      </c>
      <c r="I101" s="29">
        <v>247</v>
      </c>
      <c r="J101" s="29">
        <v>307</v>
      </c>
      <c r="K101" s="3">
        <v>572</v>
      </c>
      <c r="L101" s="31">
        <v>628</v>
      </c>
      <c r="M101" s="31">
        <v>0.81818000000000002</v>
      </c>
      <c r="N101" s="31">
        <v>1.2448300000000001</v>
      </c>
      <c r="O101" s="31">
        <v>1.5404</v>
      </c>
      <c r="P101" s="31">
        <v>2.15909</v>
      </c>
      <c r="Q101" s="31">
        <v>1.73827</v>
      </c>
      <c r="R101" s="31">
        <v>1.67658</v>
      </c>
      <c r="S101" s="31">
        <v>219</v>
      </c>
      <c r="T101" s="31">
        <v>279</v>
      </c>
    </row>
    <row r="102" spans="1:20" ht="18.75" x14ac:dyDescent="0.3">
      <c r="A102" s="30">
        <v>2593</v>
      </c>
      <c r="B102" s="2" t="s">
        <v>20</v>
      </c>
      <c r="C102" s="2" t="s">
        <v>44</v>
      </c>
      <c r="D102" s="2">
        <v>2304</v>
      </c>
      <c r="E102" s="2" t="s">
        <v>16</v>
      </c>
      <c r="F102" s="3" t="s">
        <v>21</v>
      </c>
      <c r="G102" s="3" t="s">
        <v>15</v>
      </c>
      <c r="H102" s="3">
        <v>259</v>
      </c>
      <c r="I102" s="29">
        <v>272</v>
      </c>
      <c r="J102" s="29">
        <v>328</v>
      </c>
      <c r="K102" s="3">
        <v>575</v>
      </c>
      <c r="L102" s="31">
        <v>654</v>
      </c>
      <c r="M102" s="31">
        <v>0.21590999999999999</v>
      </c>
      <c r="N102" s="31">
        <v>0.78512000000000004</v>
      </c>
      <c r="O102" s="31">
        <v>1.41414</v>
      </c>
      <c r="P102" s="31">
        <v>2.0048699999999999</v>
      </c>
      <c r="Q102" s="31">
        <v>1.7424200000000001</v>
      </c>
      <c r="R102" s="31">
        <v>1.7039500000000001</v>
      </c>
      <c r="S102" s="31">
        <v>219</v>
      </c>
      <c r="T102" s="31">
        <v>279</v>
      </c>
    </row>
    <row r="103" spans="1:20" ht="18.75" x14ac:dyDescent="0.3">
      <c r="A103" s="30">
        <v>2595</v>
      </c>
      <c r="B103" s="2" t="s">
        <v>20</v>
      </c>
      <c r="C103" s="2" t="s">
        <v>30</v>
      </c>
      <c r="D103" s="2">
        <v>2304</v>
      </c>
      <c r="E103" s="2" t="s">
        <v>16</v>
      </c>
      <c r="F103" s="3" t="s">
        <v>21</v>
      </c>
      <c r="G103" s="3" t="s">
        <v>15</v>
      </c>
      <c r="H103" s="3">
        <v>205</v>
      </c>
      <c r="I103" s="29">
        <v>238</v>
      </c>
      <c r="J103" s="29">
        <v>296</v>
      </c>
      <c r="K103" s="3">
        <v>530</v>
      </c>
      <c r="L103" s="31">
        <v>592</v>
      </c>
      <c r="M103" s="31">
        <v>0.56438999999999995</v>
      </c>
      <c r="N103" s="31">
        <v>1.0382199999999999</v>
      </c>
      <c r="O103" s="31">
        <v>1.16086</v>
      </c>
      <c r="P103" s="31">
        <v>2.0535700000000001</v>
      </c>
      <c r="Q103" s="31">
        <v>1.2914699999999999</v>
      </c>
      <c r="R103" s="31">
        <v>1.2047300000000001</v>
      </c>
      <c r="S103" s="31">
        <v>274</v>
      </c>
      <c r="T103" s="31">
        <v>334</v>
      </c>
    </row>
    <row r="104" spans="1:20" ht="18.75" x14ac:dyDescent="0.3">
      <c r="A104" s="30">
        <v>2598</v>
      </c>
      <c r="B104" s="2" t="s">
        <v>20</v>
      </c>
      <c r="C104" s="2" t="s">
        <v>28</v>
      </c>
      <c r="D104" s="2">
        <v>2304</v>
      </c>
      <c r="E104" s="2" t="s">
        <v>16</v>
      </c>
      <c r="F104" s="3" t="s">
        <v>21</v>
      </c>
      <c r="G104" s="3" t="s">
        <v>15</v>
      </c>
      <c r="H104" s="3">
        <v>173</v>
      </c>
      <c r="I104" s="29">
        <v>206</v>
      </c>
      <c r="J104" s="29">
        <v>251</v>
      </c>
      <c r="K104" s="3">
        <v>453</v>
      </c>
      <c r="L104" s="31">
        <v>545</v>
      </c>
      <c r="M104" s="31">
        <v>0.54923999999999995</v>
      </c>
      <c r="N104" s="31">
        <v>0.89359999999999995</v>
      </c>
      <c r="O104" s="31">
        <v>1.11595</v>
      </c>
      <c r="P104" s="31">
        <v>1.6314900000000001</v>
      </c>
      <c r="Q104" s="31">
        <v>1.2400500000000001</v>
      </c>
      <c r="R104" s="31">
        <v>1.1954899999999999</v>
      </c>
      <c r="S104" s="31">
        <v>274</v>
      </c>
      <c r="T104" s="31">
        <v>334</v>
      </c>
    </row>
    <row r="105" spans="1:20" ht="18.75" x14ac:dyDescent="0.3">
      <c r="A105" s="30">
        <v>2609</v>
      </c>
      <c r="B105" s="2" t="s">
        <v>20</v>
      </c>
      <c r="C105" s="2" t="s">
        <v>19</v>
      </c>
      <c r="D105" s="2">
        <v>2304</v>
      </c>
      <c r="E105" s="2" t="s">
        <v>16</v>
      </c>
      <c r="F105" s="3" t="s">
        <v>21</v>
      </c>
      <c r="G105" s="3" t="s">
        <v>15</v>
      </c>
      <c r="H105" s="3">
        <v>177</v>
      </c>
      <c r="I105" s="29">
        <v>240</v>
      </c>
      <c r="J105" s="29">
        <v>292</v>
      </c>
      <c r="K105" s="3">
        <v>579</v>
      </c>
      <c r="L105" s="31">
        <v>632</v>
      </c>
      <c r="M105" s="31">
        <v>1.04924</v>
      </c>
      <c r="N105" s="31">
        <v>1.30165</v>
      </c>
      <c r="O105" s="31">
        <v>1.6283799999999999</v>
      </c>
      <c r="P105" s="31">
        <v>1.84253</v>
      </c>
      <c r="Q105" s="31">
        <v>1.78705</v>
      </c>
      <c r="R105" s="31">
        <v>1.77891</v>
      </c>
      <c r="S105" s="31">
        <v>219</v>
      </c>
      <c r="T105" s="31">
        <v>279</v>
      </c>
    </row>
    <row r="106" spans="1:20" ht="18.75" x14ac:dyDescent="0.3">
      <c r="A106" s="30">
        <v>2620</v>
      </c>
      <c r="B106" s="2" t="s">
        <v>20</v>
      </c>
      <c r="C106" s="2" t="s">
        <v>28</v>
      </c>
      <c r="D106" s="2">
        <v>2304</v>
      </c>
      <c r="E106" s="2" t="s">
        <v>16</v>
      </c>
      <c r="F106" s="3" t="s">
        <v>21</v>
      </c>
      <c r="G106" s="3" t="s">
        <v>15</v>
      </c>
      <c r="H106" s="3">
        <v>205</v>
      </c>
      <c r="I106" s="29">
        <v>255</v>
      </c>
      <c r="J106" s="29">
        <v>302</v>
      </c>
      <c r="K106" s="3">
        <v>569</v>
      </c>
      <c r="L106" s="31">
        <v>625</v>
      </c>
      <c r="M106" s="31">
        <v>0.84091000000000005</v>
      </c>
      <c r="N106" s="31">
        <v>1.1105400000000001</v>
      </c>
      <c r="O106" s="31">
        <v>1.50701</v>
      </c>
      <c r="P106" s="31">
        <v>1.68831</v>
      </c>
      <c r="Q106" s="31">
        <v>1.6895</v>
      </c>
      <c r="R106" s="31">
        <v>1.68967</v>
      </c>
      <c r="S106" s="31">
        <v>219</v>
      </c>
      <c r="T106" s="31">
        <v>279</v>
      </c>
    </row>
    <row r="107" spans="1:20" ht="18.75" x14ac:dyDescent="0.3">
      <c r="A107" s="30">
        <v>2624</v>
      </c>
      <c r="B107" s="2" t="s">
        <v>20</v>
      </c>
      <c r="C107" s="2" t="s">
        <v>30</v>
      </c>
      <c r="D107" s="2">
        <v>2304</v>
      </c>
      <c r="E107" s="2" t="s">
        <v>16</v>
      </c>
      <c r="F107" s="3" t="s">
        <v>21</v>
      </c>
      <c r="G107" s="3" t="s">
        <v>15</v>
      </c>
      <c r="H107" s="3">
        <v>168</v>
      </c>
      <c r="I107" s="29">
        <v>223</v>
      </c>
      <c r="J107" s="29">
        <v>273</v>
      </c>
      <c r="K107" s="3">
        <v>531</v>
      </c>
      <c r="L107" s="31">
        <v>657</v>
      </c>
      <c r="M107" s="31">
        <v>0.91288000000000002</v>
      </c>
      <c r="N107" s="31">
        <v>1.1931799999999999</v>
      </c>
      <c r="O107" s="31">
        <v>1.4629799999999999</v>
      </c>
      <c r="P107" s="31">
        <v>1.79383</v>
      </c>
      <c r="Q107" s="31">
        <v>1.58344</v>
      </c>
      <c r="R107" s="31">
        <v>1.5595000000000001</v>
      </c>
      <c r="S107" s="31">
        <v>274</v>
      </c>
      <c r="T107" s="31">
        <v>334</v>
      </c>
    </row>
    <row r="108" spans="1:20" ht="18.75" x14ac:dyDescent="0.3">
      <c r="A108" s="30">
        <v>2626</v>
      </c>
      <c r="B108" s="2" t="s">
        <v>20</v>
      </c>
      <c r="C108" s="2" t="s">
        <v>44</v>
      </c>
      <c r="D108" s="2">
        <v>2304</v>
      </c>
      <c r="E108" s="2" t="s">
        <v>16</v>
      </c>
      <c r="F108" s="3" t="s">
        <v>21</v>
      </c>
      <c r="G108" s="3" t="s">
        <v>15</v>
      </c>
      <c r="H108" s="3">
        <v>175</v>
      </c>
      <c r="I108" s="29">
        <v>228</v>
      </c>
      <c r="J108" s="29">
        <v>284</v>
      </c>
      <c r="K108" s="3">
        <v>517</v>
      </c>
      <c r="L108" s="31">
        <v>618</v>
      </c>
      <c r="M108" s="31">
        <v>0.87878999999999996</v>
      </c>
      <c r="N108" s="31">
        <v>1.2344999999999999</v>
      </c>
      <c r="O108" s="31">
        <v>1.3255300000000001</v>
      </c>
      <c r="P108" s="31">
        <v>1.99675</v>
      </c>
      <c r="Q108" s="31">
        <v>1.42336</v>
      </c>
      <c r="R108" s="31">
        <v>1.35809</v>
      </c>
      <c r="S108" s="31">
        <v>274</v>
      </c>
      <c r="T108" s="31">
        <v>334</v>
      </c>
    </row>
    <row r="109" spans="1:20" ht="18.75" x14ac:dyDescent="0.3">
      <c r="A109" s="30">
        <v>2634</v>
      </c>
      <c r="B109" s="2" t="s">
        <v>20</v>
      </c>
      <c r="C109" s="2" t="s">
        <v>19</v>
      </c>
      <c r="D109" s="2">
        <v>2304</v>
      </c>
      <c r="E109" s="2" t="s">
        <v>16</v>
      </c>
      <c r="F109" s="3" t="s">
        <v>21</v>
      </c>
      <c r="G109" s="3" t="s">
        <v>15</v>
      </c>
      <c r="H109" s="3">
        <v>150</v>
      </c>
      <c r="I109" s="29">
        <v>190</v>
      </c>
      <c r="J109" s="29">
        <v>281</v>
      </c>
      <c r="K109" s="3">
        <v>496</v>
      </c>
      <c r="L109" s="31">
        <v>564</v>
      </c>
      <c r="M109" s="31">
        <v>0.67423999999999995</v>
      </c>
      <c r="N109" s="31">
        <v>1.4927699999999999</v>
      </c>
      <c r="O109" s="31">
        <v>1.2397899999999999</v>
      </c>
      <c r="P109" s="31">
        <v>3.24675</v>
      </c>
      <c r="Q109" s="31">
        <v>1.36364</v>
      </c>
      <c r="R109" s="31">
        <v>1.1493</v>
      </c>
      <c r="S109" s="31">
        <v>274</v>
      </c>
      <c r="T109" s="31">
        <v>334</v>
      </c>
    </row>
    <row r="110" spans="1:20" ht="18.75" x14ac:dyDescent="0.25">
      <c r="A110" s="32">
        <v>2656</v>
      </c>
      <c r="B110" s="2" t="s">
        <v>20</v>
      </c>
      <c r="C110" s="2" t="s">
        <v>64</v>
      </c>
      <c r="D110" s="2">
        <v>2304</v>
      </c>
      <c r="E110" s="2" t="s">
        <v>16</v>
      </c>
      <c r="F110" s="3" t="s">
        <v>21</v>
      </c>
      <c r="G110" s="3" t="s">
        <v>15</v>
      </c>
      <c r="H110" s="3">
        <v>145</v>
      </c>
      <c r="I110" s="29">
        <v>208</v>
      </c>
      <c r="J110" s="29">
        <v>271</v>
      </c>
      <c r="K110" s="3">
        <v>465</v>
      </c>
      <c r="L110" s="31">
        <v>562</v>
      </c>
      <c r="M110" s="31">
        <v>1.03409</v>
      </c>
      <c r="N110" s="31">
        <v>1.4256200000000001</v>
      </c>
      <c r="O110" s="31">
        <v>1.2465999999999999</v>
      </c>
      <c r="P110" s="31">
        <v>2.2646099999999998</v>
      </c>
      <c r="Q110" s="31">
        <v>1.2931299999999999</v>
      </c>
      <c r="R110" s="31">
        <v>1.1825600000000001</v>
      </c>
      <c r="S110" s="31">
        <v>274</v>
      </c>
      <c r="T110" s="31">
        <v>334</v>
      </c>
    </row>
    <row r="111" spans="1:20" ht="18.75" x14ac:dyDescent="0.3">
      <c r="A111" s="30">
        <v>2670</v>
      </c>
      <c r="B111" s="2" t="s">
        <v>23</v>
      </c>
      <c r="C111" s="2" t="s">
        <v>36</v>
      </c>
      <c r="D111" s="2">
        <v>2304</v>
      </c>
      <c r="E111" s="2" t="s">
        <v>16</v>
      </c>
      <c r="F111" s="3" t="s">
        <v>21</v>
      </c>
      <c r="G111" s="3" t="s">
        <v>24</v>
      </c>
      <c r="H111" s="3">
        <v>180</v>
      </c>
      <c r="I111" s="29">
        <v>228</v>
      </c>
      <c r="J111" s="29">
        <v>290</v>
      </c>
      <c r="K111" s="3">
        <v>585</v>
      </c>
      <c r="L111" s="31">
        <v>659</v>
      </c>
      <c r="M111" s="31">
        <v>0.80303000000000002</v>
      </c>
      <c r="N111" s="31">
        <v>1.2551699999999999</v>
      </c>
      <c r="O111" s="31">
        <v>1.7171700000000001</v>
      </c>
      <c r="P111" s="31">
        <v>2.22403</v>
      </c>
      <c r="Q111" s="31">
        <v>1.9676199999999999</v>
      </c>
      <c r="R111" s="31">
        <v>1.9300299999999999</v>
      </c>
      <c r="S111" s="31">
        <v>219</v>
      </c>
      <c r="T111" s="31">
        <v>279</v>
      </c>
    </row>
    <row r="112" spans="1:20" ht="18.75" x14ac:dyDescent="0.25">
      <c r="A112" s="32">
        <v>2671</v>
      </c>
      <c r="B112" s="2" t="s">
        <v>20</v>
      </c>
      <c r="C112" s="2" t="s">
        <v>42</v>
      </c>
      <c r="D112" s="2">
        <v>2304</v>
      </c>
      <c r="E112" s="2" t="s">
        <v>16</v>
      </c>
      <c r="F112" s="3" t="s">
        <v>21</v>
      </c>
      <c r="G112" s="3" t="s">
        <v>15</v>
      </c>
      <c r="H112" s="3">
        <v>175</v>
      </c>
      <c r="I112" s="29">
        <v>224</v>
      </c>
      <c r="J112" s="29">
        <v>276</v>
      </c>
      <c r="K112" s="3">
        <v>508</v>
      </c>
      <c r="L112" s="31">
        <v>621</v>
      </c>
      <c r="M112" s="31">
        <v>0.82196999999999998</v>
      </c>
      <c r="N112" s="31">
        <v>1.14669</v>
      </c>
      <c r="O112" s="31">
        <v>1.3364199999999999</v>
      </c>
      <c r="P112" s="31">
        <v>1.84253</v>
      </c>
      <c r="Q112" s="31">
        <v>1.4490700000000001</v>
      </c>
      <c r="R112" s="31">
        <v>1.40429</v>
      </c>
      <c r="S112" s="31">
        <v>274</v>
      </c>
      <c r="T112" s="31">
        <v>334</v>
      </c>
    </row>
    <row r="113" spans="1:20" ht="18.75" x14ac:dyDescent="0.25">
      <c r="A113" s="32">
        <v>2697</v>
      </c>
      <c r="B113" s="2" t="s">
        <v>20</v>
      </c>
      <c r="C113" s="2" t="s">
        <v>64</v>
      </c>
      <c r="D113" s="2">
        <v>2304</v>
      </c>
      <c r="E113" s="2" t="s">
        <v>16</v>
      </c>
      <c r="F113" s="3" t="s">
        <v>21</v>
      </c>
      <c r="G113" s="3" t="s">
        <v>15</v>
      </c>
      <c r="H113" s="3">
        <v>159</v>
      </c>
      <c r="I113" s="29">
        <v>190</v>
      </c>
      <c r="J113" s="29">
        <v>230</v>
      </c>
      <c r="K113" s="3">
        <v>425</v>
      </c>
      <c r="L113" s="31">
        <v>533</v>
      </c>
      <c r="M113" s="31">
        <v>0.51893999999999996</v>
      </c>
      <c r="N113" s="31">
        <v>0.80579000000000001</v>
      </c>
      <c r="O113" s="31">
        <v>1.1186700000000001</v>
      </c>
      <c r="P113" s="31">
        <v>1.42045</v>
      </c>
      <c r="Q113" s="31">
        <v>1.25</v>
      </c>
      <c r="R113" s="31">
        <v>1.2305999999999999</v>
      </c>
      <c r="S113" s="31">
        <v>274</v>
      </c>
      <c r="T113" s="31">
        <v>334</v>
      </c>
    </row>
    <row r="114" spans="1:20" ht="18.75" x14ac:dyDescent="0.25">
      <c r="A114" s="32">
        <v>3009</v>
      </c>
      <c r="B114" s="2" t="s">
        <v>14</v>
      </c>
      <c r="C114" s="2" t="s">
        <v>17</v>
      </c>
      <c r="D114" s="2">
        <v>2311</v>
      </c>
      <c r="E114" s="2" t="s">
        <v>37</v>
      </c>
      <c r="F114" s="3" t="s">
        <v>15</v>
      </c>
      <c r="G114" s="3" t="s">
        <v>15</v>
      </c>
      <c r="H114" s="3">
        <v>268</v>
      </c>
      <c r="I114" s="29">
        <v>313</v>
      </c>
      <c r="J114" s="29">
        <v>373</v>
      </c>
      <c r="K114" s="3">
        <v>618</v>
      </c>
      <c r="L114" s="31">
        <v>669</v>
      </c>
      <c r="M114" s="31">
        <v>0.74621000000000004</v>
      </c>
      <c r="N114" s="31">
        <v>1.1880200000000001</v>
      </c>
      <c r="O114" s="31">
        <v>1.6644699999999999</v>
      </c>
      <c r="P114" s="31">
        <v>2.1347399999999999</v>
      </c>
      <c r="Q114" s="31">
        <v>1.9688600000000001</v>
      </c>
      <c r="R114" s="31">
        <v>1.9384999999999999</v>
      </c>
      <c r="S114" s="31">
        <v>181</v>
      </c>
      <c r="T114" s="31">
        <v>241</v>
      </c>
    </row>
    <row r="115" spans="1:20" ht="18.75" x14ac:dyDescent="0.25">
      <c r="A115" s="32">
        <v>3012</v>
      </c>
      <c r="B115" s="2" t="s">
        <v>14</v>
      </c>
      <c r="C115" s="2" t="s">
        <v>45</v>
      </c>
      <c r="D115" s="2">
        <v>2311</v>
      </c>
      <c r="E115" s="2" t="s">
        <v>37</v>
      </c>
      <c r="F115" s="3" t="s">
        <v>15</v>
      </c>
      <c r="G115" s="3" t="s">
        <v>15</v>
      </c>
      <c r="H115" s="3">
        <v>225</v>
      </c>
      <c r="I115" s="29">
        <v>291</v>
      </c>
      <c r="J115" s="29">
        <v>344</v>
      </c>
      <c r="K115" s="3">
        <v>591</v>
      </c>
      <c r="L115" s="31">
        <v>646</v>
      </c>
      <c r="M115" s="31">
        <v>1.1022700000000001</v>
      </c>
      <c r="N115" s="31">
        <v>1.3584700000000001</v>
      </c>
      <c r="O115" s="31">
        <v>1.7493399999999999</v>
      </c>
      <c r="P115" s="31">
        <v>1.90747</v>
      </c>
      <c r="Q115" s="31">
        <v>1.96384</v>
      </c>
      <c r="R115" s="31">
        <v>1.9741500000000001</v>
      </c>
      <c r="S115" s="31">
        <v>181</v>
      </c>
      <c r="T115" s="31">
        <v>241</v>
      </c>
    </row>
    <row r="116" spans="1:20" ht="18.75" x14ac:dyDescent="0.25">
      <c r="A116" s="32">
        <v>3013</v>
      </c>
      <c r="B116" s="2" t="s">
        <v>14</v>
      </c>
      <c r="C116" s="2" t="s">
        <v>13</v>
      </c>
      <c r="D116" s="2">
        <v>2311</v>
      </c>
      <c r="E116" s="2" t="s">
        <v>37</v>
      </c>
      <c r="F116" s="3" t="s">
        <v>15</v>
      </c>
      <c r="G116" s="3" t="s">
        <v>15</v>
      </c>
      <c r="H116" s="3">
        <v>262</v>
      </c>
      <c r="I116" s="29">
        <v>327</v>
      </c>
      <c r="J116" s="29">
        <v>382</v>
      </c>
      <c r="K116" s="3">
        <v>660</v>
      </c>
      <c r="L116" s="31">
        <v>719</v>
      </c>
      <c r="M116" s="31">
        <v>1.09091</v>
      </c>
      <c r="N116" s="31">
        <v>1.36364</v>
      </c>
      <c r="O116" s="31">
        <v>1.89645</v>
      </c>
      <c r="P116" s="31">
        <v>1.9480500000000001</v>
      </c>
      <c r="Q116" s="31">
        <v>2.1634899999999999</v>
      </c>
      <c r="R116" s="31">
        <v>2.2029100000000001</v>
      </c>
      <c r="S116" s="31">
        <v>181</v>
      </c>
      <c r="T116" s="31">
        <v>241</v>
      </c>
    </row>
    <row r="117" spans="1:20" ht="18.75" x14ac:dyDescent="0.25">
      <c r="A117" s="32">
        <v>3016</v>
      </c>
      <c r="B117" s="2" t="s">
        <v>14</v>
      </c>
      <c r="C117" s="2" t="s">
        <v>18</v>
      </c>
      <c r="D117" s="2">
        <v>2311</v>
      </c>
      <c r="E117" s="2" t="s">
        <v>37</v>
      </c>
      <c r="F117" s="3" t="s">
        <v>15</v>
      </c>
      <c r="G117" s="3" t="s">
        <v>15</v>
      </c>
      <c r="H117" s="3">
        <v>251</v>
      </c>
      <c r="I117" s="29">
        <v>313</v>
      </c>
      <c r="J117" s="29">
        <v>345</v>
      </c>
      <c r="K117" s="3">
        <v>620</v>
      </c>
      <c r="L117" s="31">
        <v>688</v>
      </c>
      <c r="M117" s="31">
        <v>1.0378799999999999</v>
      </c>
      <c r="N117" s="31">
        <v>1.0640499999999999</v>
      </c>
      <c r="O117" s="31">
        <v>1.8144100000000001</v>
      </c>
      <c r="P117" s="31">
        <v>1.1201300000000001</v>
      </c>
      <c r="Q117" s="31">
        <v>2.0718200000000002</v>
      </c>
      <c r="R117" s="31">
        <v>2.2459899999999999</v>
      </c>
      <c r="S117" s="31">
        <v>181</v>
      </c>
      <c r="T117" s="31">
        <v>241</v>
      </c>
    </row>
    <row r="118" spans="1:20" ht="18.75" x14ac:dyDescent="0.25">
      <c r="A118" s="32">
        <v>3018</v>
      </c>
      <c r="B118" s="2" t="s">
        <v>14</v>
      </c>
      <c r="C118" s="2" t="s">
        <v>18</v>
      </c>
      <c r="D118" s="2">
        <v>2311</v>
      </c>
      <c r="E118" s="2" t="s">
        <v>37</v>
      </c>
      <c r="F118" s="3" t="s">
        <v>15</v>
      </c>
      <c r="G118" s="3" t="s">
        <v>15</v>
      </c>
      <c r="H118" s="3">
        <v>234</v>
      </c>
      <c r="I118" s="29">
        <v>291</v>
      </c>
      <c r="J118" s="29">
        <v>336</v>
      </c>
      <c r="K118" s="3">
        <v>580</v>
      </c>
      <c r="L118" s="31">
        <v>639</v>
      </c>
      <c r="M118" s="31">
        <v>0.95455000000000001</v>
      </c>
      <c r="N118" s="31">
        <v>1.1621900000000001</v>
      </c>
      <c r="O118" s="31">
        <v>1.6805000000000001</v>
      </c>
      <c r="P118" s="31">
        <v>1.60714</v>
      </c>
      <c r="Q118" s="31">
        <v>1.9211499999999999</v>
      </c>
      <c r="R118" s="31">
        <v>1.97861</v>
      </c>
      <c r="S118" s="31">
        <v>181</v>
      </c>
      <c r="T118" s="31">
        <v>241</v>
      </c>
    </row>
    <row r="119" spans="1:20" ht="18.75" x14ac:dyDescent="0.25">
      <c r="A119" s="32">
        <v>3019</v>
      </c>
      <c r="B119" s="2" t="s">
        <v>14</v>
      </c>
      <c r="C119" s="2" t="s">
        <v>45</v>
      </c>
      <c r="D119" s="2">
        <v>2311</v>
      </c>
      <c r="E119" s="2" t="s">
        <v>37</v>
      </c>
      <c r="F119" s="3" t="s">
        <v>15</v>
      </c>
      <c r="G119" s="3" t="s">
        <v>15</v>
      </c>
      <c r="H119" s="3">
        <v>216</v>
      </c>
      <c r="I119" s="29">
        <v>276</v>
      </c>
      <c r="J119" s="29">
        <v>338</v>
      </c>
      <c r="K119" s="3">
        <v>615</v>
      </c>
      <c r="L119" s="31">
        <v>683</v>
      </c>
      <c r="M119" s="31">
        <v>0.99241999999999997</v>
      </c>
      <c r="N119" s="31">
        <v>1.37913</v>
      </c>
      <c r="O119" s="31">
        <v>1.9370000000000001</v>
      </c>
      <c r="P119" s="31">
        <v>2.2077900000000001</v>
      </c>
      <c r="Q119" s="31">
        <v>2.25013</v>
      </c>
      <c r="R119" s="31">
        <v>2.25787</v>
      </c>
      <c r="S119" s="31">
        <v>181</v>
      </c>
      <c r="T119" s="31">
        <v>241</v>
      </c>
    </row>
    <row r="120" spans="1:20" ht="18.75" x14ac:dyDescent="0.25">
      <c r="A120" s="32">
        <v>3030</v>
      </c>
      <c r="B120" s="2" t="s">
        <v>14</v>
      </c>
      <c r="C120" s="2" t="s">
        <v>66</v>
      </c>
      <c r="D120" s="2">
        <v>2311</v>
      </c>
      <c r="E120" s="2" t="s">
        <v>37</v>
      </c>
      <c r="F120" s="3" t="s">
        <v>15</v>
      </c>
      <c r="G120" s="3" t="s">
        <v>15</v>
      </c>
      <c r="H120" s="3">
        <v>172</v>
      </c>
      <c r="I120" s="29">
        <v>215</v>
      </c>
      <c r="J120" s="29">
        <v>268</v>
      </c>
      <c r="K120" s="3">
        <v>487</v>
      </c>
      <c r="L120" s="31">
        <v>586</v>
      </c>
      <c r="M120" s="31">
        <v>0.71211999999999998</v>
      </c>
      <c r="N120" s="31">
        <v>1.0847100000000001</v>
      </c>
      <c r="O120" s="31">
        <v>1.5168200000000001</v>
      </c>
      <c r="P120" s="31">
        <v>1.8831199999999999</v>
      </c>
      <c r="Q120" s="31">
        <v>1.74349</v>
      </c>
      <c r="R120" s="31">
        <v>1.7223599999999999</v>
      </c>
      <c r="S120" s="31">
        <v>213</v>
      </c>
      <c r="T120" s="31">
        <v>273</v>
      </c>
    </row>
    <row r="121" spans="1:20" ht="18.75" x14ac:dyDescent="0.25">
      <c r="A121" s="32">
        <v>3034</v>
      </c>
      <c r="B121" s="2" t="s">
        <v>14</v>
      </c>
      <c r="C121" s="2" t="s">
        <v>66</v>
      </c>
      <c r="D121" s="2">
        <v>2311</v>
      </c>
      <c r="E121" s="2" t="s">
        <v>37</v>
      </c>
      <c r="F121" s="3" t="s">
        <v>15</v>
      </c>
      <c r="G121" s="3" t="s">
        <v>15</v>
      </c>
      <c r="H121" s="3">
        <v>181</v>
      </c>
      <c r="I121" s="29">
        <v>197</v>
      </c>
      <c r="J121" s="29">
        <v>230</v>
      </c>
      <c r="K121" s="3">
        <v>507</v>
      </c>
      <c r="L121" s="31">
        <v>660</v>
      </c>
      <c r="M121" s="31">
        <v>0.25757999999999998</v>
      </c>
      <c r="N121" s="31">
        <v>0.54752000000000001</v>
      </c>
      <c r="O121" s="31">
        <v>1.75325</v>
      </c>
      <c r="P121" s="31">
        <v>1.16883</v>
      </c>
      <c r="Q121" s="31">
        <v>2.17456</v>
      </c>
      <c r="R121" s="31">
        <v>2.3267799999999998</v>
      </c>
      <c r="S121" s="31">
        <v>213</v>
      </c>
      <c r="T121" s="31">
        <v>273</v>
      </c>
    </row>
    <row r="122" spans="1:20" ht="18.75" x14ac:dyDescent="0.25">
      <c r="A122" s="32">
        <v>3113</v>
      </c>
      <c r="B122" s="2" t="s">
        <v>14</v>
      </c>
      <c r="C122" s="2" t="s">
        <v>45</v>
      </c>
      <c r="D122" s="2">
        <v>2311</v>
      </c>
      <c r="E122" s="2" t="s">
        <v>37</v>
      </c>
      <c r="F122" s="3" t="s">
        <v>15</v>
      </c>
      <c r="G122" s="3" t="s">
        <v>15</v>
      </c>
      <c r="H122" s="3">
        <v>268</v>
      </c>
      <c r="I122" s="29">
        <v>323</v>
      </c>
      <c r="J122" s="29">
        <v>362</v>
      </c>
      <c r="K122" s="3">
        <v>676</v>
      </c>
      <c r="L122" s="31">
        <v>736</v>
      </c>
      <c r="M122" s="31">
        <v>0.90908999999999995</v>
      </c>
      <c r="N122" s="31">
        <v>1.06921</v>
      </c>
      <c r="O122" s="31">
        <v>1.9426600000000001</v>
      </c>
      <c r="P122" s="31">
        <v>1.4123399999999999</v>
      </c>
      <c r="Q122" s="31">
        <v>2.2852800000000002</v>
      </c>
      <c r="R122" s="31">
        <v>2.4450400000000001</v>
      </c>
      <c r="S122" s="31">
        <v>181</v>
      </c>
      <c r="T122" s="31">
        <v>241</v>
      </c>
    </row>
    <row r="123" spans="1:20" ht="18.75" x14ac:dyDescent="0.25">
      <c r="A123" s="32">
        <v>3117</v>
      </c>
      <c r="B123" s="2" t="s">
        <v>14</v>
      </c>
      <c r="C123" s="2" t="s">
        <v>17</v>
      </c>
      <c r="D123" s="2">
        <v>2311</v>
      </c>
      <c r="E123" s="2" t="s">
        <v>37</v>
      </c>
      <c r="F123" s="3" t="s">
        <v>15</v>
      </c>
      <c r="G123" s="3" t="s">
        <v>15</v>
      </c>
      <c r="H123" s="3">
        <v>252</v>
      </c>
      <c r="I123" s="29">
        <v>277</v>
      </c>
      <c r="J123" s="29">
        <v>312</v>
      </c>
      <c r="K123" s="3">
        <v>609</v>
      </c>
      <c r="L123" s="31">
        <v>682</v>
      </c>
      <c r="M123" s="31">
        <v>0.41666999999999998</v>
      </c>
      <c r="N123" s="31">
        <v>0.68698000000000004</v>
      </c>
      <c r="O123" s="31">
        <v>1.78423</v>
      </c>
      <c r="P123" s="31">
        <v>1.26623</v>
      </c>
      <c r="Q123" s="31">
        <v>2.2375699999999998</v>
      </c>
      <c r="R123" s="31">
        <v>2.41533</v>
      </c>
      <c r="S123" s="31">
        <v>181</v>
      </c>
      <c r="T123" s="31">
        <v>241</v>
      </c>
    </row>
    <row r="124" spans="1:20" ht="18.75" x14ac:dyDescent="0.25">
      <c r="A124" s="32">
        <v>3129</v>
      </c>
      <c r="B124" s="2" t="s">
        <v>14</v>
      </c>
      <c r="C124" s="2" t="s">
        <v>17</v>
      </c>
      <c r="D124" s="2">
        <v>2311</v>
      </c>
      <c r="E124" s="2" t="s">
        <v>37</v>
      </c>
      <c r="F124" s="3" t="s">
        <v>15</v>
      </c>
      <c r="G124" s="3" t="s">
        <v>15</v>
      </c>
      <c r="H124" s="3">
        <v>265</v>
      </c>
      <c r="I124" s="29">
        <v>340</v>
      </c>
      <c r="J124" s="29">
        <v>397</v>
      </c>
      <c r="K124" s="3">
        <v>679</v>
      </c>
      <c r="L124" s="31">
        <v>733</v>
      </c>
      <c r="M124" s="31">
        <v>1.25</v>
      </c>
      <c r="N124" s="31">
        <v>1.5082599999999999</v>
      </c>
      <c r="O124" s="31">
        <v>1.9454899999999999</v>
      </c>
      <c r="P124" s="31">
        <v>2.06169</v>
      </c>
      <c r="Q124" s="31">
        <v>2.17604</v>
      </c>
      <c r="R124" s="31">
        <v>2.1969699999999999</v>
      </c>
      <c r="S124" s="31">
        <v>181</v>
      </c>
      <c r="T124" s="31">
        <v>241</v>
      </c>
    </row>
    <row r="125" spans="1:20" ht="18.75" x14ac:dyDescent="0.25">
      <c r="A125" s="32">
        <v>3130</v>
      </c>
      <c r="B125" s="2" t="s">
        <v>14</v>
      </c>
      <c r="C125" s="2" t="s">
        <v>13</v>
      </c>
      <c r="D125" s="2">
        <v>2311</v>
      </c>
      <c r="E125" s="2" t="s">
        <v>37</v>
      </c>
      <c r="F125" s="3" t="s">
        <v>15</v>
      </c>
      <c r="G125" s="3" t="s">
        <v>15</v>
      </c>
      <c r="H125" s="3">
        <v>231</v>
      </c>
      <c r="I125" s="29">
        <v>274</v>
      </c>
      <c r="J125" s="29">
        <v>324</v>
      </c>
      <c r="K125" s="3">
        <v>561</v>
      </c>
      <c r="L125" s="31">
        <v>683</v>
      </c>
      <c r="M125" s="31">
        <v>0.72348000000000001</v>
      </c>
      <c r="N125" s="31">
        <v>1.05372</v>
      </c>
      <c r="O125" s="31">
        <v>1.6566799999999999</v>
      </c>
      <c r="P125" s="31">
        <v>1.76136</v>
      </c>
      <c r="Q125" s="31">
        <v>1.9195500000000001</v>
      </c>
      <c r="R125" s="31">
        <v>1.9434899999999999</v>
      </c>
      <c r="S125" s="31">
        <v>213</v>
      </c>
      <c r="T125" s="31">
        <v>273</v>
      </c>
    </row>
    <row r="126" spans="1:20" ht="18.75" x14ac:dyDescent="0.25">
      <c r="A126" s="32">
        <v>3131</v>
      </c>
      <c r="B126" s="2" t="s">
        <v>14</v>
      </c>
      <c r="C126" s="2" t="s">
        <v>13</v>
      </c>
      <c r="D126" s="2">
        <v>2311</v>
      </c>
      <c r="E126" s="2" t="s">
        <v>37</v>
      </c>
      <c r="F126" s="3" t="s">
        <v>15</v>
      </c>
      <c r="G126" s="3" t="s">
        <v>15</v>
      </c>
      <c r="H126" s="3">
        <v>226</v>
      </c>
      <c r="I126" s="29">
        <v>276</v>
      </c>
      <c r="J126" s="29">
        <v>316</v>
      </c>
      <c r="K126" s="3">
        <v>545</v>
      </c>
      <c r="L126" s="31">
        <v>653</v>
      </c>
      <c r="M126" s="31">
        <v>0.83711999999999998</v>
      </c>
      <c r="N126" s="31">
        <v>1.0227299999999999</v>
      </c>
      <c r="O126" s="31">
        <v>1.5634399999999999</v>
      </c>
      <c r="P126" s="31">
        <v>1.42045</v>
      </c>
      <c r="Q126" s="31">
        <v>1.76803</v>
      </c>
      <c r="R126" s="31">
        <v>1.82064</v>
      </c>
      <c r="S126" s="31">
        <v>213</v>
      </c>
      <c r="T126" s="31">
        <v>273</v>
      </c>
    </row>
    <row r="127" spans="1:20" ht="18.75" x14ac:dyDescent="0.25">
      <c r="A127" s="32">
        <v>3132</v>
      </c>
      <c r="B127" s="2" t="s">
        <v>27</v>
      </c>
      <c r="C127" s="2" t="s">
        <v>26</v>
      </c>
      <c r="D127" s="2">
        <v>2311</v>
      </c>
      <c r="E127" s="2" t="s">
        <v>37</v>
      </c>
      <c r="F127" s="3" t="s">
        <v>15</v>
      </c>
      <c r="G127" s="3" t="s">
        <v>24</v>
      </c>
      <c r="H127" s="3">
        <v>231</v>
      </c>
      <c r="I127" s="29">
        <v>283</v>
      </c>
      <c r="J127" s="29">
        <v>329</v>
      </c>
      <c r="K127" s="3">
        <v>606</v>
      </c>
      <c r="L127" s="31">
        <v>659</v>
      </c>
      <c r="M127" s="31">
        <v>0.86363999999999996</v>
      </c>
      <c r="N127" s="31">
        <v>1.1105400000000001</v>
      </c>
      <c r="O127" s="31">
        <v>1.7757499999999999</v>
      </c>
      <c r="P127" s="31">
        <v>1.63961</v>
      </c>
      <c r="Q127" s="31">
        <v>2.0781000000000001</v>
      </c>
      <c r="R127" s="31">
        <v>2.15835</v>
      </c>
      <c r="S127" s="31">
        <v>181</v>
      </c>
      <c r="T127" s="31">
        <v>241</v>
      </c>
    </row>
    <row r="128" spans="1:20" ht="18.75" x14ac:dyDescent="0.25">
      <c r="A128" s="32">
        <v>3165</v>
      </c>
      <c r="B128" s="2" t="s">
        <v>14</v>
      </c>
      <c r="C128" s="2" t="s">
        <v>34</v>
      </c>
      <c r="D128" s="2">
        <v>2311</v>
      </c>
      <c r="E128" s="2" t="s">
        <v>37</v>
      </c>
      <c r="F128" s="3" t="s">
        <v>15</v>
      </c>
      <c r="G128" s="3" t="s">
        <v>15</v>
      </c>
      <c r="H128" s="3">
        <v>238</v>
      </c>
      <c r="I128" s="29">
        <v>285</v>
      </c>
      <c r="J128" s="29">
        <v>315</v>
      </c>
      <c r="K128" s="3">
        <v>624</v>
      </c>
      <c r="L128" s="31">
        <v>693</v>
      </c>
      <c r="M128" s="31">
        <v>0.77273000000000003</v>
      </c>
      <c r="N128" s="31">
        <v>0.87292999999999998</v>
      </c>
      <c r="O128" s="31">
        <v>1.88514</v>
      </c>
      <c r="P128" s="31">
        <v>1.0876600000000001</v>
      </c>
      <c r="Q128" s="31">
        <v>2.2538900000000002</v>
      </c>
      <c r="R128" s="31">
        <v>2.46732</v>
      </c>
      <c r="S128" s="31">
        <v>181</v>
      </c>
      <c r="T128" s="31">
        <v>241</v>
      </c>
    </row>
    <row r="129" spans="1:20" ht="18.75" x14ac:dyDescent="0.25">
      <c r="A129" s="32">
        <v>3169</v>
      </c>
      <c r="B129" s="2" t="s">
        <v>14</v>
      </c>
      <c r="C129" s="2" t="s">
        <v>34</v>
      </c>
      <c r="D129" s="2">
        <v>2311</v>
      </c>
      <c r="E129" s="2" t="s">
        <v>37</v>
      </c>
      <c r="F129" s="3" t="s">
        <v>15</v>
      </c>
      <c r="G129" s="3" t="s">
        <v>15</v>
      </c>
      <c r="H129" s="3">
        <v>218</v>
      </c>
      <c r="I129" s="29">
        <v>257</v>
      </c>
      <c r="J129" s="29">
        <v>288</v>
      </c>
      <c r="K129" s="3">
        <v>629</v>
      </c>
      <c r="L129" s="31">
        <v>702</v>
      </c>
      <c r="M129" s="31">
        <v>0.65151999999999999</v>
      </c>
      <c r="N129" s="31">
        <v>0.79544999999999999</v>
      </c>
      <c r="O129" s="31">
        <v>2.0105599999999999</v>
      </c>
      <c r="P129" s="31">
        <v>1.1039000000000001</v>
      </c>
      <c r="Q129" s="31">
        <v>2.4610699999999999</v>
      </c>
      <c r="R129" s="31">
        <v>2.7094499999999999</v>
      </c>
      <c r="S129" s="31">
        <v>181</v>
      </c>
      <c r="T129" s="31">
        <v>241</v>
      </c>
    </row>
    <row r="130" spans="1:20" ht="18.75" x14ac:dyDescent="0.25">
      <c r="A130" s="32">
        <v>3171</v>
      </c>
      <c r="B130" s="2" t="s">
        <v>14</v>
      </c>
      <c r="C130" s="2" t="s">
        <v>34</v>
      </c>
      <c r="D130" s="2">
        <v>2311</v>
      </c>
      <c r="E130" s="2" t="s">
        <v>37</v>
      </c>
      <c r="F130" s="3" t="s">
        <v>15</v>
      </c>
      <c r="G130" s="3" t="s">
        <v>15</v>
      </c>
      <c r="H130" s="3">
        <v>226</v>
      </c>
      <c r="I130" s="29">
        <v>253</v>
      </c>
      <c r="J130" s="29">
        <v>302</v>
      </c>
      <c r="K130" s="3">
        <v>553</v>
      </c>
      <c r="L130" s="31">
        <v>717</v>
      </c>
      <c r="M130" s="31">
        <v>0.45075999999999999</v>
      </c>
      <c r="N130" s="31">
        <v>0.86260000000000003</v>
      </c>
      <c r="O130" s="31">
        <v>1.7982</v>
      </c>
      <c r="P130" s="31">
        <v>1.7451300000000001</v>
      </c>
      <c r="Q130" s="31">
        <v>2.1777600000000001</v>
      </c>
      <c r="R130" s="31">
        <v>2.2432400000000001</v>
      </c>
      <c r="S130" s="31">
        <v>213</v>
      </c>
      <c r="T130" s="31">
        <v>273</v>
      </c>
    </row>
    <row r="131" spans="1:20" ht="18.75" x14ac:dyDescent="0.25">
      <c r="A131" s="32">
        <v>3172</v>
      </c>
      <c r="B131" s="2" t="s">
        <v>14</v>
      </c>
      <c r="C131" s="2" t="s">
        <v>34</v>
      </c>
      <c r="D131" s="2">
        <v>2311</v>
      </c>
      <c r="E131" s="2" t="s">
        <v>37</v>
      </c>
      <c r="F131" s="3" t="s">
        <v>15</v>
      </c>
      <c r="G131" s="3" t="s">
        <v>15</v>
      </c>
      <c r="H131" s="3">
        <v>207</v>
      </c>
      <c r="I131" s="29">
        <v>246</v>
      </c>
      <c r="J131" s="29">
        <v>291</v>
      </c>
      <c r="K131" s="3">
        <v>553</v>
      </c>
      <c r="L131" s="31">
        <v>667</v>
      </c>
      <c r="M131" s="31">
        <v>0.65151999999999999</v>
      </c>
      <c r="N131" s="31">
        <v>0.95040999999999998</v>
      </c>
      <c r="O131" s="31">
        <v>1.6833199999999999</v>
      </c>
      <c r="P131" s="31">
        <v>1.59091</v>
      </c>
      <c r="Q131" s="31">
        <v>1.97397</v>
      </c>
      <c r="R131" s="31">
        <v>2.0319400000000001</v>
      </c>
      <c r="S131" s="31">
        <v>213</v>
      </c>
      <c r="T131" s="31">
        <v>273</v>
      </c>
    </row>
    <row r="132" spans="1:20" ht="18.75" x14ac:dyDescent="0.25">
      <c r="A132" s="32">
        <v>3174</v>
      </c>
      <c r="B132" s="2" t="s">
        <v>14</v>
      </c>
      <c r="C132" s="2" t="s">
        <v>34</v>
      </c>
      <c r="D132" s="2">
        <v>2311</v>
      </c>
      <c r="E132" s="2" t="s">
        <v>37</v>
      </c>
      <c r="F132" s="3" t="s">
        <v>15</v>
      </c>
      <c r="G132" s="3" t="s">
        <v>15</v>
      </c>
      <c r="H132" s="3">
        <v>189</v>
      </c>
      <c r="I132" s="29">
        <v>215</v>
      </c>
      <c r="J132" s="29">
        <v>234</v>
      </c>
      <c r="K132" s="3" t="s">
        <v>39</v>
      </c>
      <c r="L132" s="31">
        <v>583</v>
      </c>
      <c r="M132" s="31">
        <v>0.44318000000000002</v>
      </c>
      <c r="N132" s="31">
        <v>0.51136000000000004</v>
      </c>
      <c r="O132" s="31">
        <v>1.44356</v>
      </c>
      <c r="P132" s="31">
        <v>0.65747</v>
      </c>
      <c r="Q132" s="31">
        <v>1.7253499999999999</v>
      </c>
      <c r="R132" s="31">
        <v>1.8869800000000001</v>
      </c>
      <c r="S132" s="31">
        <v>213</v>
      </c>
      <c r="T132" s="31">
        <v>273</v>
      </c>
    </row>
    <row r="133" spans="1:20" ht="18.75" x14ac:dyDescent="0.25">
      <c r="A133" s="32">
        <v>3175</v>
      </c>
      <c r="B133" s="2" t="s">
        <v>14</v>
      </c>
      <c r="C133" s="2" t="s">
        <v>34</v>
      </c>
      <c r="D133" s="2">
        <v>2311</v>
      </c>
      <c r="E133" s="2" t="s">
        <v>37</v>
      </c>
      <c r="F133" s="3" t="s">
        <v>15</v>
      </c>
      <c r="G133" s="3" t="s">
        <v>15</v>
      </c>
      <c r="H133" s="3">
        <v>194</v>
      </c>
      <c r="I133" s="29">
        <v>231</v>
      </c>
      <c r="J133" s="29">
        <v>286</v>
      </c>
      <c r="K133" s="3">
        <v>555</v>
      </c>
      <c r="L133" s="31">
        <v>657</v>
      </c>
      <c r="M133" s="31">
        <v>0.62878999999999996</v>
      </c>
      <c r="N133" s="31">
        <v>1.0485500000000001</v>
      </c>
      <c r="O133" s="31">
        <v>1.6966399999999999</v>
      </c>
      <c r="P133" s="31">
        <v>1.9480500000000001</v>
      </c>
      <c r="Q133" s="31">
        <v>1.9974400000000001</v>
      </c>
      <c r="R133" s="31">
        <v>2.0049100000000002</v>
      </c>
      <c r="S133" s="31">
        <v>213</v>
      </c>
      <c r="T133" s="31">
        <v>273</v>
      </c>
    </row>
    <row r="134" spans="1:20" ht="18.75" x14ac:dyDescent="0.25">
      <c r="A134" s="32">
        <v>3201</v>
      </c>
      <c r="B134" s="2" t="s">
        <v>14</v>
      </c>
      <c r="C134" s="2" t="s">
        <v>17</v>
      </c>
      <c r="D134" s="2">
        <v>2311</v>
      </c>
      <c r="E134" s="2" t="s">
        <v>37</v>
      </c>
      <c r="F134" s="3" t="s">
        <v>15</v>
      </c>
      <c r="G134" s="3" t="s">
        <v>15</v>
      </c>
      <c r="H134" s="3">
        <v>285</v>
      </c>
      <c r="I134" s="29">
        <v>325</v>
      </c>
      <c r="J134" s="29">
        <v>375</v>
      </c>
      <c r="K134" s="3">
        <v>638</v>
      </c>
      <c r="L134" s="31">
        <v>676</v>
      </c>
      <c r="M134" s="31">
        <v>0.68181999999999998</v>
      </c>
      <c r="N134" s="31">
        <v>1.0330600000000001</v>
      </c>
      <c r="O134" s="31">
        <v>1.62297</v>
      </c>
      <c r="P134" s="31">
        <v>1.7857099999999999</v>
      </c>
      <c r="Q134" s="31">
        <v>1.93496</v>
      </c>
      <c r="R134" s="31">
        <v>1.96227</v>
      </c>
      <c r="S134" s="31">
        <v>181</v>
      </c>
      <c r="T134" s="31">
        <v>241</v>
      </c>
    </row>
    <row r="135" spans="1:20" ht="18.75" x14ac:dyDescent="0.25">
      <c r="A135" s="32">
        <v>3205</v>
      </c>
      <c r="B135" s="2" t="s">
        <v>14</v>
      </c>
      <c r="C135" s="2" t="s">
        <v>17</v>
      </c>
      <c r="D135" s="2">
        <v>2311</v>
      </c>
      <c r="E135" s="2" t="s">
        <v>37</v>
      </c>
      <c r="F135" s="3" t="s">
        <v>15</v>
      </c>
      <c r="G135" s="3" t="s">
        <v>15</v>
      </c>
      <c r="H135" s="3">
        <v>307</v>
      </c>
      <c r="I135" s="29">
        <v>343</v>
      </c>
      <c r="J135" s="29">
        <v>423</v>
      </c>
      <c r="K135" s="3">
        <v>666</v>
      </c>
      <c r="L135" s="31">
        <v>712</v>
      </c>
      <c r="M135" s="31">
        <v>0.60226999999999997</v>
      </c>
      <c r="N135" s="31">
        <v>1.3119799999999999</v>
      </c>
      <c r="O135" s="31">
        <v>1.6805000000000001</v>
      </c>
      <c r="P135" s="31">
        <v>2.8327900000000001</v>
      </c>
      <c r="Q135" s="31">
        <v>2.0379200000000002</v>
      </c>
      <c r="R135" s="31">
        <v>1.89245</v>
      </c>
      <c r="S135" s="31">
        <v>181</v>
      </c>
      <c r="T135" s="31">
        <v>241</v>
      </c>
    </row>
    <row r="136" spans="1:20" ht="18.75" x14ac:dyDescent="0.25">
      <c r="A136" s="32">
        <v>3211</v>
      </c>
      <c r="B136" s="2" t="s">
        <v>27</v>
      </c>
      <c r="C136" s="2" t="s">
        <v>26</v>
      </c>
      <c r="D136" s="2">
        <v>2311</v>
      </c>
      <c r="E136" s="2" t="s">
        <v>37</v>
      </c>
      <c r="F136" s="3" t="s">
        <v>15</v>
      </c>
      <c r="G136" s="3" t="s">
        <v>24</v>
      </c>
      <c r="H136" s="3">
        <v>287</v>
      </c>
      <c r="I136" s="29">
        <v>351</v>
      </c>
      <c r="J136" s="29">
        <v>411</v>
      </c>
      <c r="K136" s="3">
        <v>709</v>
      </c>
      <c r="L136" s="31">
        <v>766</v>
      </c>
      <c r="M136" s="31">
        <v>1.0568200000000001</v>
      </c>
      <c r="N136" s="31">
        <v>1.40496</v>
      </c>
      <c r="O136" s="31">
        <v>1.98699</v>
      </c>
      <c r="P136" s="31">
        <v>2.15097</v>
      </c>
      <c r="Q136" s="31">
        <v>2.2953299999999999</v>
      </c>
      <c r="R136" s="31">
        <v>2.3217500000000002</v>
      </c>
      <c r="S136" s="31">
        <v>181</v>
      </c>
      <c r="T136" s="31">
        <v>241</v>
      </c>
    </row>
    <row r="137" spans="1:20" ht="18.75" x14ac:dyDescent="0.25">
      <c r="A137" s="32">
        <v>3215</v>
      </c>
      <c r="B137" s="2" t="s">
        <v>14</v>
      </c>
      <c r="C137" s="2" t="s">
        <v>45</v>
      </c>
      <c r="D137" s="2">
        <v>2311</v>
      </c>
      <c r="E137" s="2" t="s">
        <v>37</v>
      </c>
      <c r="F137" s="3" t="s">
        <v>15</v>
      </c>
      <c r="G137" s="3" t="s">
        <v>15</v>
      </c>
      <c r="H137" s="3">
        <v>262</v>
      </c>
      <c r="I137" s="29">
        <v>283</v>
      </c>
      <c r="J137" s="29">
        <v>334</v>
      </c>
      <c r="K137" s="3">
        <v>598</v>
      </c>
      <c r="L137" s="31">
        <v>660</v>
      </c>
      <c r="M137" s="31">
        <v>0.35227000000000003</v>
      </c>
      <c r="N137" s="31">
        <v>0.82128000000000001</v>
      </c>
      <c r="O137" s="31">
        <v>1.65221</v>
      </c>
      <c r="P137" s="31">
        <v>1.8263</v>
      </c>
      <c r="Q137" s="31">
        <v>2.0831200000000001</v>
      </c>
      <c r="R137" s="31">
        <v>2.1301199999999998</v>
      </c>
      <c r="S137" s="31">
        <v>181</v>
      </c>
      <c r="T137" s="31">
        <v>241</v>
      </c>
    </row>
    <row r="138" spans="1:20" ht="18.75" x14ac:dyDescent="0.25">
      <c r="A138" s="32">
        <v>3217</v>
      </c>
      <c r="B138" s="2" t="s">
        <v>14</v>
      </c>
      <c r="C138" s="2" t="s">
        <v>13</v>
      </c>
      <c r="D138" s="2">
        <v>2311</v>
      </c>
      <c r="E138" s="2" t="s">
        <v>37</v>
      </c>
      <c r="F138" s="3" t="s">
        <v>15</v>
      </c>
      <c r="G138" s="3" t="s">
        <v>15</v>
      </c>
      <c r="H138" s="3">
        <v>299</v>
      </c>
      <c r="I138" s="29">
        <v>341</v>
      </c>
      <c r="J138" s="29">
        <v>390</v>
      </c>
      <c r="K138" s="3">
        <v>669</v>
      </c>
      <c r="L138" s="31">
        <v>700</v>
      </c>
      <c r="M138" s="31">
        <v>0.70455000000000001</v>
      </c>
      <c r="N138" s="31">
        <v>1.0330600000000001</v>
      </c>
      <c r="O138" s="31">
        <v>1.66164</v>
      </c>
      <c r="P138" s="31">
        <v>1.7370099999999999</v>
      </c>
      <c r="Q138" s="31">
        <v>1.9789099999999999</v>
      </c>
      <c r="R138" s="31">
        <v>2.0231699999999999</v>
      </c>
      <c r="S138" s="31">
        <v>181</v>
      </c>
      <c r="T138" s="31">
        <v>241</v>
      </c>
    </row>
    <row r="139" spans="1:20" ht="18.75" x14ac:dyDescent="0.25">
      <c r="A139" s="32">
        <v>3219</v>
      </c>
      <c r="B139" s="2" t="s">
        <v>14</v>
      </c>
      <c r="C139" s="2" t="s">
        <v>13</v>
      </c>
      <c r="D139" s="2">
        <v>2311</v>
      </c>
      <c r="E139" s="2" t="s">
        <v>37</v>
      </c>
      <c r="F139" s="3" t="s">
        <v>15</v>
      </c>
      <c r="G139" s="3" t="s">
        <v>15</v>
      </c>
      <c r="H139" s="3">
        <v>316</v>
      </c>
      <c r="I139" s="29">
        <v>359</v>
      </c>
      <c r="J139" s="29">
        <v>395</v>
      </c>
      <c r="K139" s="3">
        <v>667</v>
      </c>
      <c r="L139" s="31">
        <v>744</v>
      </c>
      <c r="M139" s="31">
        <v>0.71211999999999998</v>
      </c>
      <c r="N139" s="31">
        <v>0.89876</v>
      </c>
      <c r="O139" s="31">
        <v>1.77386</v>
      </c>
      <c r="P139" s="31">
        <v>1.2987</v>
      </c>
      <c r="Q139" s="31">
        <v>2.12582</v>
      </c>
      <c r="R139" s="31">
        <v>2.27718</v>
      </c>
      <c r="S139" s="31">
        <v>181</v>
      </c>
      <c r="T139" s="31">
        <v>241</v>
      </c>
    </row>
    <row r="140" spans="1:20" ht="18.75" x14ac:dyDescent="0.25">
      <c r="A140" s="32">
        <v>3220</v>
      </c>
      <c r="B140" s="2" t="s">
        <v>14</v>
      </c>
      <c r="C140" s="2" t="s">
        <v>13</v>
      </c>
      <c r="D140" s="2">
        <v>2311</v>
      </c>
      <c r="E140" s="2" t="s">
        <v>37</v>
      </c>
      <c r="F140" s="3" t="s">
        <v>15</v>
      </c>
      <c r="G140" s="3" t="s">
        <v>15</v>
      </c>
      <c r="H140" s="3">
        <v>305</v>
      </c>
      <c r="I140" s="29">
        <v>341</v>
      </c>
      <c r="J140" s="29">
        <v>385</v>
      </c>
      <c r="K140" s="3">
        <v>700</v>
      </c>
      <c r="L140" s="31">
        <v>745</v>
      </c>
      <c r="M140" s="31">
        <v>0.58711999999999998</v>
      </c>
      <c r="N140" s="31">
        <v>0.89876</v>
      </c>
      <c r="O140" s="31">
        <v>1.82195</v>
      </c>
      <c r="P140" s="31">
        <v>1.56656</v>
      </c>
      <c r="Q140" s="31">
        <v>2.23129</v>
      </c>
      <c r="R140" s="31">
        <v>2.3529399999999998</v>
      </c>
      <c r="S140" s="31">
        <v>181</v>
      </c>
      <c r="T140" s="31">
        <v>241</v>
      </c>
    </row>
    <row r="141" spans="1:20" ht="18.75" x14ac:dyDescent="0.25">
      <c r="A141" s="32">
        <v>3227</v>
      </c>
      <c r="B141" s="2" t="s">
        <v>27</v>
      </c>
      <c r="C141" s="2" t="s">
        <v>67</v>
      </c>
      <c r="D141" s="2">
        <v>2311</v>
      </c>
      <c r="E141" s="2" t="s">
        <v>37</v>
      </c>
      <c r="F141" s="3" t="s">
        <v>15</v>
      </c>
      <c r="G141" s="3" t="s">
        <v>24</v>
      </c>
      <c r="H141" s="3">
        <v>268</v>
      </c>
      <c r="I141" s="29">
        <v>320</v>
      </c>
      <c r="J141" s="29">
        <v>345</v>
      </c>
      <c r="K141" s="3">
        <v>580</v>
      </c>
      <c r="L141" s="31">
        <v>661</v>
      </c>
      <c r="M141" s="31">
        <v>0.85606000000000004</v>
      </c>
      <c r="N141" s="31">
        <v>0.87292999999999998</v>
      </c>
      <c r="O141" s="31">
        <v>1.4385600000000001</v>
      </c>
      <c r="P141" s="31">
        <v>0.90908999999999995</v>
      </c>
      <c r="Q141" s="31">
        <v>1.6026499999999999</v>
      </c>
      <c r="R141" s="31">
        <v>1.7076199999999999</v>
      </c>
      <c r="S141" s="31">
        <v>213</v>
      </c>
      <c r="T141" s="31">
        <v>273</v>
      </c>
    </row>
    <row r="142" spans="1:20" ht="18.75" x14ac:dyDescent="0.25">
      <c r="A142" s="32">
        <v>3231</v>
      </c>
      <c r="B142" s="2" t="s">
        <v>27</v>
      </c>
      <c r="C142" s="2" t="s">
        <v>67</v>
      </c>
      <c r="D142" s="2">
        <v>2311</v>
      </c>
      <c r="E142" s="2" t="s">
        <v>37</v>
      </c>
      <c r="F142" s="3" t="s">
        <v>15</v>
      </c>
      <c r="G142" s="3" t="s">
        <v>24</v>
      </c>
      <c r="H142" s="3">
        <v>245</v>
      </c>
      <c r="I142" s="29">
        <v>279</v>
      </c>
      <c r="J142" s="29">
        <v>326</v>
      </c>
      <c r="K142" s="3">
        <v>592</v>
      </c>
      <c r="L142" s="31">
        <v>709</v>
      </c>
      <c r="M142" s="31">
        <v>0.55303000000000002</v>
      </c>
      <c r="N142" s="31">
        <v>0.91425999999999996</v>
      </c>
      <c r="O142" s="31">
        <v>1.6982999999999999</v>
      </c>
      <c r="P142" s="31">
        <v>1.68831</v>
      </c>
      <c r="Q142" s="31">
        <v>2.0209100000000002</v>
      </c>
      <c r="R142" s="31">
        <v>2.07125</v>
      </c>
      <c r="S142" s="31">
        <v>213</v>
      </c>
      <c r="T142" s="31">
        <v>273</v>
      </c>
    </row>
    <row r="143" spans="1:20" ht="18.75" x14ac:dyDescent="0.25">
      <c r="A143" s="32">
        <v>3233</v>
      </c>
      <c r="B143" s="2" t="s">
        <v>27</v>
      </c>
      <c r="C143" s="2" t="s">
        <v>67</v>
      </c>
      <c r="D143" s="2">
        <v>2311</v>
      </c>
      <c r="E143" s="2" t="s">
        <v>37</v>
      </c>
      <c r="F143" s="3" t="s">
        <v>15</v>
      </c>
      <c r="G143" s="3" t="s">
        <v>24</v>
      </c>
      <c r="H143" s="3">
        <v>198</v>
      </c>
      <c r="I143" s="29">
        <v>234</v>
      </c>
      <c r="J143" s="29">
        <v>278</v>
      </c>
      <c r="K143" s="3">
        <v>582</v>
      </c>
      <c r="L143" s="31">
        <v>685</v>
      </c>
      <c r="M143" s="31">
        <v>0.59091000000000005</v>
      </c>
      <c r="N143" s="31">
        <v>0.90908999999999995</v>
      </c>
      <c r="O143" s="31">
        <v>1.78488</v>
      </c>
      <c r="P143" s="31">
        <v>1.59091</v>
      </c>
      <c r="Q143" s="31">
        <v>2.12121</v>
      </c>
      <c r="R143" s="31">
        <v>2.20147</v>
      </c>
      <c r="S143" s="31">
        <v>213</v>
      </c>
      <c r="T143" s="31">
        <v>273</v>
      </c>
    </row>
    <row r="144" spans="1:20" ht="18.75" x14ac:dyDescent="0.25">
      <c r="A144" s="32">
        <v>3239</v>
      </c>
      <c r="B144" s="2" t="s">
        <v>27</v>
      </c>
      <c r="C144" s="2" t="s">
        <v>67</v>
      </c>
      <c r="D144" s="2">
        <v>2311</v>
      </c>
      <c r="E144" s="2" t="s">
        <v>37</v>
      </c>
      <c r="F144" s="3" t="s">
        <v>15</v>
      </c>
      <c r="G144" s="3" t="s">
        <v>24</v>
      </c>
      <c r="H144" s="3">
        <v>239</v>
      </c>
      <c r="I144" s="29">
        <v>275</v>
      </c>
      <c r="J144" s="29">
        <v>322</v>
      </c>
      <c r="K144" s="3">
        <v>574</v>
      </c>
      <c r="L144" s="31">
        <v>694</v>
      </c>
      <c r="M144" s="31">
        <v>0.60226999999999997</v>
      </c>
      <c r="N144" s="31">
        <v>0.94525000000000003</v>
      </c>
      <c r="O144" s="31">
        <v>1.665</v>
      </c>
      <c r="P144" s="31">
        <v>1.6801900000000001</v>
      </c>
      <c r="Q144" s="31">
        <v>1.9643600000000001</v>
      </c>
      <c r="R144" s="31">
        <v>2.0073699999999999</v>
      </c>
      <c r="S144" s="31">
        <v>213</v>
      </c>
      <c r="T144" s="31">
        <v>273</v>
      </c>
    </row>
    <row r="145" spans="1:26" ht="18.75" x14ac:dyDescent="0.25">
      <c r="A145" s="32">
        <v>3240</v>
      </c>
      <c r="B145" s="2" t="s">
        <v>27</v>
      </c>
      <c r="C145" s="2" t="s">
        <v>67</v>
      </c>
      <c r="D145" s="2">
        <v>2311</v>
      </c>
      <c r="E145" s="2" t="s">
        <v>37</v>
      </c>
      <c r="F145" s="3" t="s">
        <v>15</v>
      </c>
      <c r="G145" s="3" t="s">
        <v>24</v>
      </c>
      <c r="H145" s="3">
        <v>191</v>
      </c>
      <c r="I145" s="29">
        <v>249</v>
      </c>
      <c r="J145" s="29">
        <v>279</v>
      </c>
      <c r="K145" s="3">
        <v>600</v>
      </c>
      <c r="L145" s="31">
        <v>673</v>
      </c>
      <c r="M145" s="31">
        <v>0.97348000000000001</v>
      </c>
      <c r="N145" s="31">
        <v>0.99690000000000001</v>
      </c>
      <c r="O145" s="31">
        <v>1.76657</v>
      </c>
      <c r="P145" s="31">
        <v>1.04708</v>
      </c>
      <c r="Q145" s="31">
        <v>1.98997</v>
      </c>
      <c r="R145" s="31">
        <v>2.1326800000000001</v>
      </c>
      <c r="S145" s="31">
        <v>213</v>
      </c>
      <c r="T145" s="31">
        <v>273</v>
      </c>
    </row>
    <row r="146" spans="1:26" ht="18.75" x14ac:dyDescent="0.25">
      <c r="A146" s="32">
        <v>3241</v>
      </c>
      <c r="B146" s="2" t="s">
        <v>27</v>
      </c>
      <c r="C146" s="2" t="s">
        <v>67</v>
      </c>
      <c r="D146" s="2">
        <v>2311</v>
      </c>
      <c r="E146" s="2" t="s">
        <v>37</v>
      </c>
      <c r="F146" s="3" t="s">
        <v>15</v>
      </c>
      <c r="G146" s="3" t="s">
        <v>24</v>
      </c>
      <c r="H146" s="3">
        <v>231</v>
      </c>
      <c r="I146" s="29">
        <v>258</v>
      </c>
      <c r="J146" s="29">
        <v>311</v>
      </c>
      <c r="K146" s="3">
        <v>584</v>
      </c>
      <c r="L146" s="31">
        <v>682</v>
      </c>
      <c r="M146" s="31">
        <v>0.45075999999999999</v>
      </c>
      <c r="N146" s="31">
        <v>0.90908999999999995</v>
      </c>
      <c r="O146" s="31">
        <v>1.65168</v>
      </c>
      <c r="P146" s="31">
        <v>1.89123</v>
      </c>
      <c r="Q146" s="31">
        <v>1.98997</v>
      </c>
      <c r="R146" s="31">
        <v>2.0049100000000002</v>
      </c>
      <c r="S146" s="31">
        <v>213</v>
      </c>
      <c r="T146" s="31">
        <v>273</v>
      </c>
      <c r="U146">
        <f>AVERAGE(H114:H147)</f>
        <v>241.85294117647058</v>
      </c>
      <c r="V146">
        <f t="shared" ref="V146:Z146" si="4">AVERAGE(I114:I147)</f>
        <v>286.29411764705884</v>
      </c>
      <c r="W146">
        <f t="shared" si="4"/>
        <v>331.85294117647061</v>
      </c>
      <c r="X146">
        <f t="shared" si="4"/>
        <v>605.72727272727275</v>
      </c>
      <c r="Y146">
        <f t="shared" si="4"/>
        <v>683.44117647058829</v>
      </c>
      <c r="Z146">
        <f t="shared" si="4"/>
        <v>0.73975088235294117</v>
      </c>
    </row>
    <row r="147" spans="1:26" ht="18.75" x14ac:dyDescent="0.25">
      <c r="A147" s="32">
        <v>3003</v>
      </c>
      <c r="B147" s="2" t="s">
        <v>20</v>
      </c>
      <c r="C147" s="2" t="s">
        <v>30</v>
      </c>
      <c r="D147" s="2">
        <v>2311</v>
      </c>
      <c r="E147" s="2" t="s">
        <v>37</v>
      </c>
      <c r="F147" s="3" t="s">
        <v>21</v>
      </c>
      <c r="G147" s="3" t="s">
        <v>15</v>
      </c>
      <c r="H147" s="3">
        <v>236</v>
      </c>
      <c r="I147" s="29">
        <v>293</v>
      </c>
      <c r="J147" s="29">
        <v>337</v>
      </c>
      <c r="K147" s="3">
        <v>562</v>
      </c>
      <c r="L147" s="31">
        <v>675</v>
      </c>
      <c r="M147" s="31">
        <v>0.93561000000000005</v>
      </c>
      <c r="N147" s="31">
        <v>1.14669</v>
      </c>
      <c r="O147" s="31">
        <v>1.60673</v>
      </c>
      <c r="P147" s="31">
        <v>1.59903</v>
      </c>
      <c r="Q147" s="31">
        <v>1.7957700000000001</v>
      </c>
      <c r="R147" s="31">
        <v>1.82555</v>
      </c>
      <c r="S147" s="31">
        <v>213</v>
      </c>
      <c r="T147" s="31">
        <v>273</v>
      </c>
    </row>
    <row r="148" spans="1:26" ht="18.75" x14ac:dyDescent="0.25">
      <c r="A148" s="32">
        <v>3004</v>
      </c>
      <c r="B148" s="2" t="s">
        <v>23</v>
      </c>
      <c r="C148" s="2" t="s">
        <v>25</v>
      </c>
      <c r="D148" s="2">
        <v>2311</v>
      </c>
      <c r="E148" s="2" t="s">
        <v>37</v>
      </c>
      <c r="F148" s="3" t="s">
        <v>21</v>
      </c>
      <c r="G148" s="3" t="s">
        <v>24</v>
      </c>
      <c r="H148" s="3">
        <v>159</v>
      </c>
      <c r="I148" s="29">
        <v>235</v>
      </c>
      <c r="J148" s="29">
        <v>280</v>
      </c>
      <c r="K148" s="3">
        <v>533</v>
      </c>
      <c r="L148" s="31">
        <v>635</v>
      </c>
      <c r="M148" s="31">
        <v>1.2727299999999999</v>
      </c>
      <c r="N148" s="31">
        <v>1.37913</v>
      </c>
      <c r="O148" s="31">
        <v>1.74326</v>
      </c>
      <c r="P148" s="31">
        <v>1.60714</v>
      </c>
      <c r="Q148" s="31">
        <v>1.8757999999999999</v>
      </c>
      <c r="R148" s="31">
        <v>1.9164600000000001</v>
      </c>
      <c r="S148" s="31">
        <v>213</v>
      </c>
      <c r="T148" s="31">
        <v>273</v>
      </c>
      <c r="U148">
        <f>AVERAGE(H147:H171)</f>
        <v>239.68</v>
      </c>
      <c r="V148">
        <f t="shared" ref="V148:Z148" si="5">AVERAGE(I147:I171)</f>
        <v>282.8</v>
      </c>
      <c r="W148">
        <f t="shared" si="5"/>
        <v>326.8</v>
      </c>
      <c r="X148">
        <f t="shared" si="5"/>
        <v>579.45833333333337</v>
      </c>
      <c r="Y148">
        <f t="shared" si="5"/>
        <v>664.72</v>
      </c>
      <c r="Z148">
        <f t="shared" si="5"/>
        <v>0.71772760000000002</v>
      </c>
    </row>
    <row r="149" spans="1:26" ht="18.75" x14ac:dyDescent="0.25">
      <c r="A149" s="32">
        <v>3005</v>
      </c>
      <c r="B149" s="2" t="s">
        <v>23</v>
      </c>
      <c r="C149" s="2" t="s">
        <v>25</v>
      </c>
      <c r="D149" s="2">
        <v>2311</v>
      </c>
      <c r="E149" s="2" t="s">
        <v>37</v>
      </c>
      <c r="F149" s="3" t="s">
        <v>21</v>
      </c>
      <c r="G149" s="3" t="s">
        <v>24</v>
      </c>
      <c r="H149" s="3">
        <v>225</v>
      </c>
      <c r="I149" s="29">
        <v>277</v>
      </c>
      <c r="J149" s="29">
        <v>338</v>
      </c>
      <c r="K149" s="3">
        <v>613</v>
      </c>
      <c r="L149" s="31">
        <v>678</v>
      </c>
      <c r="M149" s="31">
        <v>0.86363999999999996</v>
      </c>
      <c r="N149" s="31">
        <v>1.27583</v>
      </c>
      <c r="O149" s="31">
        <v>1.8775900000000001</v>
      </c>
      <c r="P149" s="31">
        <v>2.15909</v>
      </c>
      <c r="Q149" s="31">
        <v>2.2137099999999998</v>
      </c>
      <c r="R149" s="31">
        <v>2.2237100000000001</v>
      </c>
      <c r="S149" s="31">
        <v>181</v>
      </c>
      <c r="T149" s="31">
        <v>241</v>
      </c>
    </row>
    <row r="150" spans="1:26" ht="18.75" x14ac:dyDescent="0.25">
      <c r="A150" s="32">
        <v>3007</v>
      </c>
      <c r="B150" s="2" t="s">
        <v>23</v>
      </c>
      <c r="C150" s="2" t="s">
        <v>25</v>
      </c>
      <c r="D150" s="2">
        <v>2311</v>
      </c>
      <c r="E150" s="2" t="s">
        <v>37</v>
      </c>
      <c r="F150" s="3" t="s">
        <v>21</v>
      </c>
      <c r="G150" s="3" t="s">
        <v>24</v>
      </c>
      <c r="H150" s="3">
        <v>231</v>
      </c>
      <c r="I150" s="29">
        <v>265</v>
      </c>
      <c r="J150" s="29">
        <v>288</v>
      </c>
      <c r="K150" s="3">
        <v>547</v>
      </c>
      <c r="L150" s="31">
        <v>648</v>
      </c>
      <c r="M150" s="31">
        <v>0.57196999999999998</v>
      </c>
      <c r="N150" s="31">
        <v>0.64566000000000001</v>
      </c>
      <c r="O150" s="31">
        <v>1.52847</v>
      </c>
      <c r="P150" s="31">
        <v>0.80357000000000001</v>
      </c>
      <c r="Q150" s="31">
        <v>1.7979099999999999</v>
      </c>
      <c r="R150" s="31">
        <v>1.9483999999999999</v>
      </c>
      <c r="S150" s="31">
        <v>213</v>
      </c>
      <c r="T150" s="31">
        <v>273</v>
      </c>
    </row>
    <row r="151" spans="1:26" ht="18.75" x14ac:dyDescent="0.25">
      <c r="A151" s="32">
        <v>3010</v>
      </c>
      <c r="B151" s="2" t="s">
        <v>20</v>
      </c>
      <c r="C151" s="2" t="s">
        <v>30</v>
      </c>
      <c r="D151" s="2">
        <v>2311</v>
      </c>
      <c r="E151" s="2" t="s">
        <v>37</v>
      </c>
      <c r="F151" s="3" t="s">
        <v>21</v>
      </c>
      <c r="G151" s="3" t="s">
        <v>15</v>
      </c>
      <c r="H151" s="3">
        <v>241</v>
      </c>
      <c r="I151" s="29">
        <v>292</v>
      </c>
      <c r="J151" s="29">
        <v>321</v>
      </c>
      <c r="K151" s="3">
        <v>572</v>
      </c>
      <c r="L151" s="31">
        <v>693</v>
      </c>
      <c r="M151" s="31">
        <v>0.84470000000000001</v>
      </c>
      <c r="N151" s="31">
        <v>0.90908999999999995</v>
      </c>
      <c r="O151" s="31">
        <v>1.6566799999999999</v>
      </c>
      <c r="P151" s="31">
        <v>1.04708</v>
      </c>
      <c r="Q151" s="31">
        <v>1.8854</v>
      </c>
      <c r="R151" s="31">
        <v>2.0122900000000001</v>
      </c>
      <c r="S151" s="31">
        <v>213</v>
      </c>
      <c r="T151" s="31">
        <v>273</v>
      </c>
    </row>
    <row r="152" spans="1:26" ht="18.75" x14ac:dyDescent="0.25">
      <c r="A152" s="32">
        <v>3014</v>
      </c>
      <c r="B152" s="2" t="s">
        <v>23</v>
      </c>
      <c r="C152" s="2" t="s">
        <v>25</v>
      </c>
      <c r="D152" s="2">
        <v>2311</v>
      </c>
      <c r="E152" s="2" t="s">
        <v>37</v>
      </c>
      <c r="F152" s="3" t="s">
        <v>21</v>
      </c>
      <c r="G152" s="3" t="s">
        <v>24</v>
      </c>
      <c r="H152" s="3">
        <v>245</v>
      </c>
      <c r="I152" s="29">
        <v>287</v>
      </c>
      <c r="J152" s="29">
        <v>348</v>
      </c>
      <c r="K152" s="3">
        <v>613</v>
      </c>
      <c r="L152" s="31">
        <v>631</v>
      </c>
      <c r="M152" s="31">
        <v>0.69696999999999998</v>
      </c>
      <c r="N152" s="31">
        <v>1.1621900000000001</v>
      </c>
      <c r="O152" s="31">
        <v>1.60128</v>
      </c>
      <c r="P152" s="31">
        <v>2.15909</v>
      </c>
      <c r="Q152" s="31">
        <v>1.9010499999999999</v>
      </c>
      <c r="R152" s="31">
        <v>1.8538300000000001</v>
      </c>
      <c r="S152" s="31">
        <v>181</v>
      </c>
      <c r="T152" s="31">
        <v>241</v>
      </c>
    </row>
    <row r="153" spans="1:26" ht="18.75" x14ac:dyDescent="0.25">
      <c r="A153" s="32">
        <v>3015</v>
      </c>
      <c r="B153" s="2" t="s">
        <v>20</v>
      </c>
      <c r="C153" s="2" t="s">
        <v>44</v>
      </c>
      <c r="D153" s="2">
        <v>2311</v>
      </c>
      <c r="E153" s="2" t="s">
        <v>37</v>
      </c>
      <c r="F153" s="3" t="s">
        <v>21</v>
      </c>
      <c r="G153" s="3" t="s">
        <v>15</v>
      </c>
      <c r="H153" s="3">
        <v>231</v>
      </c>
      <c r="I153" s="29">
        <v>289</v>
      </c>
      <c r="J153" s="29">
        <v>326</v>
      </c>
      <c r="K153" s="3">
        <v>592</v>
      </c>
      <c r="L153" s="31">
        <v>644</v>
      </c>
      <c r="M153" s="31">
        <v>0.96970000000000001</v>
      </c>
      <c r="N153" s="31">
        <v>1.07955</v>
      </c>
      <c r="O153" s="31">
        <v>1.71539</v>
      </c>
      <c r="P153" s="31">
        <v>1.31494</v>
      </c>
      <c r="Q153" s="31">
        <v>1.96258</v>
      </c>
      <c r="R153" s="31">
        <v>2.0811099999999998</v>
      </c>
      <c r="S153" s="31">
        <v>181</v>
      </c>
      <c r="T153" s="31">
        <v>241</v>
      </c>
    </row>
    <row r="154" spans="1:26" ht="18.75" x14ac:dyDescent="0.25">
      <c r="A154" s="32">
        <v>3017</v>
      </c>
      <c r="B154" s="2" t="s">
        <v>23</v>
      </c>
      <c r="C154" s="2" t="s">
        <v>25</v>
      </c>
      <c r="D154" s="2">
        <v>2311</v>
      </c>
      <c r="E154" s="2" t="s">
        <v>37</v>
      </c>
      <c r="F154" s="3" t="s">
        <v>21</v>
      </c>
      <c r="G154" s="3" t="s">
        <v>24</v>
      </c>
      <c r="H154" s="3">
        <v>251</v>
      </c>
      <c r="I154" s="29">
        <v>294</v>
      </c>
      <c r="J154" s="29">
        <v>354</v>
      </c>
      <c r="K154" s="3">
        <v>576</v>
      </c>
      <c r="L154" s="31">
        <v>682</v>
      </c>
      <c r="M154" s="31">
        <v>0.71211999999999998</v>
      </c>
      <c r="N154" s="31">
        <v>1.16736</v>
      </c>
      <c r="O154" s="31">
        <v>1.5784199999999999</v>
      </c>
      <c r="P154" s="31">
        <v>2.1428600000000002</v>
      </c>
      <c r="Q154" s="31">
        <v>1.8224499999999999</v>
      </c>
      <c r="R154" s="31">
        <v>1.77396</v>
      </c>
      <c r="S154" s="31">
        <v>213</v>
      </c>
      <c r="T154" s="31">
        <v>273</v>
      </c>
    </row>
    <row r="155" spans="1:26" ht="18.75" x14ac:dyDescent="0.25">
      <c r="A155" s="32">
        <v>3021</v>
      </c>
      <c r="B155" s="2" t="s">
        <v>23</v>
      </c>
      <c r="C155" s="2" t="s">
        <v>25</v>
      </c>
      <c r="D155" s="2">
        <v>2311</v>
      </c>
      <c r="E155" s="2" t="s">
        <v>37</v>
      </c>
      <c r="F155" s="3" t="s">
        <v>21</v>
      </c>
      <c r="G155" s="3" t="s">
        <v>24</v>
      </c>
      <c r="H155" s="3">
        <v>185</v>
      </c>
      <c r="I155" s="29">
        <v>217</v>
      </c>
      <c r="J155" s="29">
        <v>270</v>
      </c>
      <c r="K155" s="3">
        <v>479</v>
      </c>
      <c r="L155" s="31">
        <v>596</v>
      </c>
      <c r="M155" s="31">
        <v>0.52651999999999999</v>
      </c>
      <c r="N155" s="31">
        <v>0.96591000000000005</v>
      </c>
      <c r="O155" s="31">
        <v>1.5035000000000001</v>
      </c>
      <c r="P155" s="31">
        <v>1.90747</v>
      </c>
      <c r="Q155" s="31">
        <v>1.7786999999999999</v>
      </c>
      <c r="R155" s="31">
        <v>1.7592099999999999</v>
      </c>
      <c r="S155" s="31">
        <v>213</v>
      </c>
      <c r="T155" s="31">
        <v>273</v>
      </c>
    </row>
    <row r="156" spans="1:26" ht="18.75" x14ac:dyDescent="0.25">
      <c r="A156" s="32">
        <v>3022</v>
      </c>
      <c r="B156" s="2" t="s">
        <v>20</v>
      </c>
      <c r="C156" s="2" t="s">
        <v>44</v>
      </c>
      <c r="D156" s="2">
        <v>2311</v>
      </c>
      <c r="E156" s="2" t="s">
        <v>37</v>
      </c>
      <c r="F156" s="3" t="s">
        <v>21</v>
      </c>
      <c r="G156" s="3" t="s">
        <v>15</v>
      </c>
      <c r="H156" s="3">
        <v>227</v>
      </c>
      <c r="I156" s="29">
        <v>275</v>
      </c>
      <c r="J156" s="29">
        <v>319</v>
      </c>
      <c r="K156" s="3">
        <v>542</v>
      </c>
      <c r="L156" s="31">
        <v>641</v>
      </c>
      <c r="M156" s="31">
        <v>0.79923999999999995</v>
      </c>
      <c r="N156" s="31">
        <v>1.04339</v>
      </c>
      <c r="O156" s="31">
        <v>1.5168200000000001</v>
      </c>
      <c r="P156" s="31">
        <v>1.56656</v>
      </c>
      <c r="Q156" s="31">
        <v>1.71895</v>
      </c>
      <c r="R156" s="31">
        <v>1.7420100000000001</v>
      </c>
      <c r="S156" s="31">
        <v>213</v>
      </c>
      <c r="T156" s="31">
        <v>273</v>
      </c>
    </row>
    <row r="157" spans="1:26" ht="18.75" x14ac:dyDescent="0.25">
      <c r="A157" s="32">
        <v>3023</v>
      </c>
      <c r="B157" s="2" t="s">
        <v>23</v>
      </c>
      <c r="C157" s="2" t="s">
        <v>68</v>
      </c>
      <c r="D157" s="2">
        <v>2311</v>
      </c>
      <c r="E157" s="2" t="s">
        <v>37</v>
      </c>
      <c r="F157" s="3" t="s">
        <v>21</v>
      </c>
      <c r="G157" s="3" t="s">
        <v>24</v>
      </c>
      <c r="H157" s="3">
        <v>226</v>
      </c>
      <c r="I157" s="29">
        <v>261</v>
      </c>
      <c r="J157" s="29">
        <v>311</v>
      </c>
      <c r="K157" s="3">
        <v>599</v>
      </c>
      <c r="L157" s="31">
        <v>723</v>
      </c>
      <c r="M157" s="31">
        <v>0.58711999999999998</v>
      </c>
      <c r="N157" s="31">
        <v>0.97106999999999999</v>
      </c>
      <c r="O157" s="31">
        <v>1.81985</v>
      </c>
      <c r="P157" s="31">
        <v>1.79383</v>
      </c>
      <c r="Q157" s="31">
        <v>2.16709</v>
      </c>
      <c r="R157" s="31">
        <v>2.2235900000000002</v>
      </c>
      <c r="S157" s="31">
        <v>213</v>
      </c>
      <c r="T157" s="31">
        <v>273</v>
      </c>
    </row>
    <row r="158" spans="1:26" ht="18.75" x14ac:dyDescent="0.25">
      <c r="A158" s="32">
        <v>3112</v>
      </c>
      <c r="B158" s="2" t="s">
        <v>20</v>
      </c>
      <c r="C158" s="2" t="s">
        <v>30</v>
      </c>
      <c r="D158" s="2">
        <v>2311</v>
      </c>
      <c r="E158" s="2" t="s">
        <v>37</v>
      </c>
      <c r="F158" s="3" t="s">
        <v>21</v>
      </c>
      <c r="G158" s="3" t="s">
        <v>15</v>
      </c>
      <c r="H158" s="3">
        <v>225</v>
      </c>
      <c r="I158" s="29">
        <v>279</v>
      </c>
      <c r="J158" s="29">
        <v>320</v>
      </c>
      <c r="K158" s="3">
        <v>612</v>
      </c>
      <c r="L158" s="31">
        <v>681</v>
      </c>
      <c r="M158" s="31">
        <v>0.88636000000000004</v>
      </c>
      <c r="N158" s="31">
        <v>1.07955</v>
      </c>
      <c r="O158" s="31">
        <v>1.8908</v>
      </c>
      <c r="P158" s="31">
        <v>1.4935099999999999</v>
      </c>
      <c r="Q158" s="31">
        <v>2.22376</v>
      </c>
      <c r="R158" s="31">
        <v>2.3574000000000002</v>
      </c>
      <c r="S158" s="31">
        <v>181</v>
      </c>
      <c r="T158" s="31">
        <v>241</v>
      </c>
    </row>
    <row r="159" spans="1:26" ht="18.75" x14ac:dyDescent="0.25">
      <c r="A159" s="32">
        <v>3114</v>
      </c>
      <c r="B159" s="2" t="s">
        <v>23</v>
      </c>
      <c r="C159" s="2" t="s">
        <v>46</v>
      </c>
      <c r="D159" s="2">
        <v>2311</v>
      </c>
      <c r="E159" s="2" t="s">
        <v>37</v>
      </c>
      <c r="F159" s="3" t="s">
        <v>21</v>
      </c>
      <c r="G159" s="3" t="s">
        <v>24</v>
      </c>
      <c r="H159" s="3">
        <v>268</v>
      </c>
      <c r="I159" s="29">
        <v>296</v>
      </c>
      <c r="J159" s="29">
        <v>322</v>
      </c>
      <c r="K159" s="3">
        <v>566</v>
      </c>
      <c r="L159" s="31">
        <v>641</v>
      </c>
      <c r="M159" s="31">
        <v>0.46590999999999999</v>
      </c>
      <c r="N159" s="31">
        <v>0.60950000000000004</v>
      </c>
      <c r="O159" s="31">
        <v>1.36697</v>
      </c>
      <c r="P159" s="31">
        <v>0.91720999999999997</v>
      </c>
      <c r="Q159" s="31">
        <v>1.62079</v>
      </c>
      <c r="R159" s="31">
        <v>1.7272700000000001</v>
      </c>
      <c r="S159" s="31">
        <v>213</v>
      </c>
      <c r="T159" s="31">
        <v>273</v>
      </c>
    </row>
    <row r="160" spans="1:26" ht="18.75" x14ac:dyDescent="0.25">
      <c r="A160" s="32">
        <v>3115</v>
      </c>
      <c r="B160" s="2" t="s">
        <v>20</v>
      </c>
      <c r="C160" s="2" t="s">
        <v>30</v>
      </c>
      <c r="D160" s="2">
        <v>2311</v>
      </c>
      <c r="E160" s="2" t="s">
        <v>37</v>
      </c>
      <c r="F160" s="3" t="s">
        <v>21</v>
      </c>
      <c r="G160" s="3" t="s">
        <v>15</v>
      </c>
      <c r="H160" s="3">
        <v>231</v>
      </c>
      <c r="I160" s="29">
        <v>282</v>
      </c>
      <c r="J160" s="29">
        <v>317</v>
      </c>
      <c r="K160" s="3">
        <v>551</v>
      </c>
      <c r="L160" s="31">
        <v>667</v>
      </c>
      <c r="M160" s="31">
        <v>0.85226999999999997</v>
      </c>
      <c r="N160" s="31">
        <v>0.98140000000000005</v>
      </c>
      <c r="O160" s="31">
        <v>1.59674</v>
      </c>
      <c r="P160" s="31">
        <v>1.2581199999999999</v>
      </c>
      <c r="Q160" s="31">
        <v>1.80644</v>
      </c>
      <c r="R160" s="31">
        <v>1.8894299999999999</v>
      </c>
      <c r="S160" s="31">
        <v>213</v>
      </c>
      <c r="T160" s="31">
        <v>273</v>
      </c>
    </row>
    <row r="161" spans="1:20" ht="18.75" x14ac:dyDescent="0.25">
      <c r="A161" s="32">
        <v>3116</v>
      </c>
      <c r="B161" s="2" t="s">
        <v>23</v>
      </c>
      <c r="C161" s="2" t="s">
        <v>25</v>
      </c>
      <c r="D161" s="2">
        <v>2311</v>
      </c>
      <c r="E161" s="2" t="s">
        <v>37</v>
      </c>
      <c r="F161" s="3" t="s">
        <v>21</v>
      </c>
      <c r="G161" s="3" t="s">
        <v>24</v>
      </c>
      <c r="H161" s="3">
        <v>238</v>
      </c>
      <c r="I161" s="29">
        <v>273</v>
      </c>
      <c r="J161" s="29">
        <v>313</v>
      </c>
      <c r="K161" s="3">
        <v>580</v>
      </c>
      <c r="L161" s="31">
        <v>711</v>
      </c>
      <c r="M161" s="31">
        <v>0.58333000000000002</v>
      </c>
      <c r="N161" s="31">
        <v>0.85226999999999997</v>
      </c>
      <c r="O161" s="31">
        <v>1.7332700000000001</v>
      </c>
      <c r="P161" s="31">
        <v>1.4285699999999999</v>
      </c>
      <c r="Q161" s="31">
        <v>2.0571899999999999</v>
      </c>
      <c r="R161" s="31">
        <v>2.1523300000000001</v>
      </c>
      <c r="S161" s="31">
        <v>213</v>
      </c>
      <c r="T161" s="31">
        <v>273</v>
      </c>
    </row>
    <row r="162" spans="1:20" ht="18.75" x14ac:dyDescent="0.25">
      <c r="A162" s="32">
        <v>3118</v>
      </c>
      <c r="B162" s="2" t="s">
        <v>20</v>
      </c>
      <c r="C162" s="2" t="s">
        <v>30</v>
      </c>
      <c r="D162" s="2">
        <v>2311</v>
      </c>
      <c r="E162" s="2" t="s">
        <v>37</v>
      </c>
      <c r="F162" s="3" t="s">
        <v>21</v>
      </c>
      <c r="G162" s="3" t="s">
        <v>15</v>
      </c>
      <c r="H162" s="3">
        <v>292</v>
      </c>
      <c r="I162" s="29">
        <v>350</v>
      </c>
      <c r="J162" s="29">
        <v>405</v>
      </c>
      <c r="K162" s="3">
        <v>695</v>
      </c>
      <c r="L162" s="31">
        <v>757</v>
      </c>
      <c r="M162" s="31">
        <v>0.97726999999999997</v>
      </c>
      <c r="N162" s="31">
        <v>1.28616</v>
      </c>
      <c r="O162" s="31">
        <v>1.92946</v>
      </c>
      <c r="P162" s="31">
        <v>1.9480500000000001</v>
      </c>
      <c r="Q162" s="31">
        <v>2.2450999999999999</v>
      </c>
      <c r="R162" s="31">
        <v>2.2994699999999999</v>
      </c>
      <c r="S162" s="31">
        <v>181</v>
      </c>
      <c r="T162" s="31">
        <v>241</v>
      </c>
    </row>
    <row r="163" spans="1:20" ht="18.75" x14ac:dyDescent="0.25">
      <c r="A163" s="32">
        <v>3119</v>
      </c>
      <c r="B163" s="2" t="s">
        <v>20</v>
      </c>
      <c r="C163" s="2" t="s">
        <v>30</v>
      </c>
      <c r="D163" s="2">
        <v>2311</v>
      </c>
      <c r="E163" s="2" t="s">
        <v>37</v>
      </c>
      <c r="F163" s="3" t="s">
        <v>21</v>
      </c>
      <c r="G163" s="3" t="s">
        <v>15</v>
      </c>
      <c r="H163" s="3">
        <v>282</v>
      </c>
      <c r="I163" s="29">
        <v>312</v>
      </c>
      <c r="J163" s="29">
        <v>370</v>
      </c>
      <c r="K163" s="3">
        <v>608</v>
      </c>
      <c r="L163" s="31">
        <v>686</v>
      </c>
      <c r="M163" s="31">
        <v>0.50758000000000003</v>
      </c>
      <c r="N163" s="31">
        <v>0.99690000000000001</v>
      </c>
      <c r="O163" s="31">
        <v>1.6767300000000001</v>
      </c>
      <c r="P163" s="31">
        <v>2.0454500000000002</v>
      </c>
      <c r="Q163" s="31">
        <v>2.0642900000000002</v>
      </c>
      <c r="R163" s="31">
        <v>2.0677400000000001</v>
      </c>
      <c r="S163" s="31">
        <v>181</v>
      </c>
      <c r="T163" s="31">
        <v>241</v>
      </c>
    </row>
    <row r="164" spans="1:20" ht="18.75" x14ac:dyDescent="0.25">
      <c r="A164" s="32">
        <v>3137</v>
      </c>
      <c r="B164" s="2" t="s">
        <v>23</v>
      </c>
      <c r="C164" s="2" t="s">
        <v>46</v>
      </c>
      <c r="D164" s="2">
        <v>2311</v>
      </c>
      <c r="E164" s="2" t="s">
        <v>37</v>
      </c>
      <c r="F164" s="3" t="s">
        <v>21</v>
      </c>
      <c r="G164" s="3" t="s">
        <v>24</v>
      </c>
      <c r="H164" s="3">
        <v>220</v>
      </c>
      <c r="I164" s="29">
        <v>262</v>
      </c>
      <c r="J164" s="29">
        <v>302</v>
      </c>
      <c r="K164" s="3">
        <v>511</v>
      </c>
      <c r="L164" s="31">
        <v>608</v>
      </c>
      <c r="M164" s="31">
        <v>0.68561000000000005</v>
      </c>
      <c r="N164" s="31">
        <v>0.92974999999999997</v>
      </c>
      <c r="O164" s="31">
        <v>1.41858</v>
      </c>
      <c r="P164" s="31">
        <v>1.45292</v>
      </c>
      <c r="Q164" s="31">
        <v>1.6250500000000001</v>
      </c>
      <c r="R164" s="31">
        <v>1.6511100000000001</v>
      </c>
      <c r="S164" s="31">
        <v>213</v>
      </c>
      <c r="T164" s="31">
        <v>273</v>
      </c>
    </row>
    <row r="165" spans="1:20" ht="18.75" x14ac:dyDescent="0.25">
      <c r="A165" s="32">
        <v>3143</v>
      </c>
      <c r="B165" s="2" t="s">
        <v>20</v>
      </c>
      <c r="C165" s="2" t="s">
        <v>30</v>
      </c>
      <c r="D165" s="2">
        <v>2311</v>
      </c>
      <c r="E165" s="2" t="s">
        <v>37</v>
      </c>
      <c r="F165" s="3" t="s">
        <v>21</v>
      </c>
      <c r="G165" s="3" t="s">
        <v>15</v>
      </c>
      <c r="H165" s="3">
        <v>237</v>
      </c>
      <c r="I165" s="29">
        <v>295</v>
      </c>
      <c r="J165" s="29">
        <v>345</v>
      </c>
      <c r="K165" s="3">
        <v>621</v>
      </c>
      <c r="L165" s="31">
        <v>669</v>
      </c>
      <c r="M165" s="31">
        <v>0.95833000000000002</v>
      </c>
      <c r="N165" s="31">
        <v>1.22417</v>
      </c>
      <c r="O165" s="31">
        <v>1.7908299999999999</v>
      </c>
      <c r="P165" s="31">
        <v>1.79383</v>
      </c>
      <c r="Q165" s="31">
        <v>2.0668000000000002</v>
      </c>
      <c r="R165" s="31">
        <v>2.1167600000000002</v>
      </c>
      <c r="S165" s="31">
        <v>181</v>
      </c>
      <c r="T165" s="31">
        <v>241</v>
      </c>
    </row>
    <row r="166" spans="1:20" ht="18.75" x14ac:dyDescent="0.25">
      <c r="A166" s="32">
        <v>3144</v>
      </c>
      <c r="B166" s="2" t="s">
        <v>23</v>
      </c>
      <c r="C166" s="2" t="s">
        <v>46</v>
      </c>
      <c r="D166" s="2">
        <v>2311</v>
      </c>
      <c r="E166" s="2" t="s">
        <v>37</v>
      </c>
      <c r="F166" s="3" t="s">
        <v>21</v>
      </c>
      <c r="G166" s="3" t="s">
        <v>24</v>
      </c>
      <c r="H166" s="3">
        <v>257</v>
      </c>
      <c r="I166" s="29">
        <v>304</v>
      </c>
      <c r="J166" s="29">
        <v>335</v>
      </c>
      <c r="K166" s="3" t="s">
        <v>39</v>
      </c>
      <c r="L166" s="31">
        <v>671</v>
      </c>
      <c r="M166" s="31">
        <v>0.78408999999999995</v>
      </c>
      <c r="N166" s="31">
        <v>0.87809999999999999</v>
      </c>
      <c r="O166" s="31">
        <v>1.7172799999999999</v>
      </c>
      <c r="P166" s="31">
        <v>1.07955</v>
      </c>
      <c r="Q166" s="31">
        <v>2.0266199999999999</v>
      </c>
      <c r="R166" s="31">
        <v>2.1999399999999998</v>
      </c>
      <c r="S166" s="31">
        <v>181</v>
      </c>
      <c r="T166" s="31">
        <v>241</v>
      </c>
    </row>
    <row r="167" spans="1:20" ht="18.75" x14ac:dyDescent="0.25">
      <c r="A167" s="32">
        <v>3150</v>
      </c>
      <c r="B167" s="2" t="s">
        <v>20</v>
      </c>
      <c r="C167" s="2" t="s">
        <v>51</v>
      </c>
      <c r="D167" s="2">
        <v>2311</v>
      </c>
      <c r="E167" s="2" t="s">
        <v>37</v>
      </c>
      <c r="F167" s="3" t="s">
        <v>21</v>
      </c>
      <c r="G167" s="3" t="s">
        <v>15</v>
      </c>
      <c r="H167" s="3">
        <v>211</v>
      </c>
      <c r="I167" s="29">
        <v>255</v>
      </c>
      <c r="J167" s="29">
        <v>298</v>
      </c>
      <c r="K167" s="3">
        <v>552</v>
      </c>
      <c r="L167" s="31">
        <v>656</v>
      </c>
      <c r="M167" s="31">
        <v>0.74241999999999997</v>
      </c>
      <c r="N167" s="31">
        <v>0.99173999999999995</v>
      </c>
      <c r="O167" s="31">
        <v>1.6316999999999999</v>
      </c>
      <c r="P167" s="31">
        <v>1.52597</v>
      </c>
      <c r="Q167" s="31">
        <v>1.8822000000000001</v>
      </c>
      <c r="R167" s="31">
        <v>1.9361200000000001</v>
      </c>
      <c r="S167" s="31">
        <v>213</v>
      </c>
      <c r="T167" s="31">
        <v>273</v>
      </c>
    </row>
    <row r="168" spans="1:20" ht="18.75" x14ac:dyDescent="0.25">
      <c r="A168" s="32">
        <v>3158</v>
      </c>
      <c r="B168" s="2" t="s">
        <v>20</v>
      </c>
      <c r="C168" s="2" t="s">
        <v>51</v>
      </c>
      <c r="D168" s="2">
        <v>2311</v>
      </c>
      <c r="E168" s="2" t="s">
        <v>37</v>
      </c>
      <c r="F168" s="3" t="s">
        <v>21</v>
      </c>
      <c r="G168" s="3" t="s">
        <v>15</v>
      </c>
      <c r="H168" s="3">
        <v>231</v>
      </c>
      <c r="I168" s="29">
        <v>273</v>
      </c>
      <c r="J168" s="29">
        <v>323</v>
      </c>
      <c r="K168" s="3">
        <v>570</v>
      </c>
      <c r="L168" s="31">
        <v>670</v>
      </c>
      <c r="M168" s="31">
        <v>0.70455000000000001</v>
      </c>
      <c r="N168" s="31">
        <v>1.04339</v>
      </c>
      <c r="O168" s="31">
        <v>1.60839</v>
      </c>
      <c r="P168" s="31">
        <v>1.7694799999999999</v>
      </c>
      <c r="Q168" s="31">
        <v>1.863</v>
      </c>
      <c r="R168" s="31">
        <v>1.8771500000000001</v>
      </c>
      <c r="S168" s="31">
        <v>213</v>
      </c>
      <c r="T168" s="31">
        <v>273</v>
      </c>
    </row>
    <row r="169" spans="1:20" ht="18.75" x14ac:dyDescent="0.25">
      <c r="A169" s="32">
        <v>3216</v>
      </c>
      <c r="B169" s="2" t="s">
        <v>23</v>
      </c>
      <c r="C169" s="2" t="s">
        <v>25</v>
      </c>
      <c r="D169" s="2">
        <v>2311</v>
      </c>
      <c r="E169" s="2" t="s">
        <v>37</v>
      </c>
      <c r="F169" s="3" t="s">
        <v>21</v>
      </c>
      <c r="G169" s="3" t="s">
        <v>24</v>
      </c>
      <c r="H169" s="3">
        <v>303</v>
      </c>
      <c r="I169" s="29">
        <v>315</v>
      </c>
      <c r="J169" s="29">
        <v>357</v>
      </c>
      <c r="K169" s="3">
        <v>604</v>
      </c>
      <c r="L169" s="31">
        <v>656</v>
      </c>
      <c r="M169" s="31">
        <v>0.19697000000000001</v>
      </c>
      <c r="N169" s="31">
        <v>0.61982999999999999</v>
      </c>
      <c r="O169" s="31">
        <v>1.4673700000000001</v>
      </c>
      <c r="P169" s="31">
        <v>1.52597</v>
      </c>
      <c r="Q169" s="31">
        <v>1.8885000000000001</v>
      </c>
      <c r="R169" s="31">
        <v>1.9548399999999999</v>
      </c>
      <c r="S169" s="31">
        <v>181</v>
      </c>
      <c r="T169" s="31">
        <v>241</v>
      </c>
    </row>
    <row r="170" spans="1:20" ht="18.75" x14ac:dyDescent="0.25">
      <c r="A170" s="32">
        <v>3221</v>
      </c>
      <c r="B170" s="2" t="s">
        <v>20</v>
      </c>
      <c r="C170" s="2" t="s">
        <v>44</v>
      </c>
      <c r="D170" s="2">
        <v>2311</v>
      </c>
      <c r="E170" s="2" t="s">
        <v>37</v>
      </c>
      <c r="F170" s="3" t="s">
        <v>21</v>
      </c>
      <c r="G170" s="3" t="s">
        <v>15</v>
      </c>
      <c r="H170" s="3">
        <v>295</v>
      </c>
      <c r="I170" s="29">
        <v>313</v>
      </c>
      <c r="J170" s="29">
        <v>356</v>
      </c>
      <c r="K170" s="3">
        <v>590</v>
      </c>
      <c r="L170" s="31">
        <v>658</v>
      </c>
      <c r="M170" s="31">
        <v>0.30303000000000002</v>
      </c>
      <c r="N170" s="31">
        <v>0.70247999999999999</v>
      </c>
      <c r="O170" s="31">
        <v>1.5098100000000001</v>
      </c>
      <c r="P170" s="31">
        <v>1.55844</v>
      </c>
      <c r="Q170" s="31">
        <v>1.90984</v>
      </c>
      <c r="R170" s="31">
        <v>1.9741500000000001</v>
      </c>
      <c r="S170" s="31">
        <v>181</v>
      </c>
      <c r="T170" s="31">
        <v>241</v>
      </c>
    </row>
    <row r="171" spans="1:20" ht="18.75" x14ac:dyDescent="0.25">
      <c r="A171" s="32">
        <v>3225</v>
      </c>
      <c r="B171" s="2" t="s">
        <v>23</v>
      </c>
      <c r="C171" s="2" t="s">
        <v>32</v>
      </c>
      <c r="D171" s="2">
        <v>2311</v>
      </c>
      <c r="E171" s="2" t="s">
        <v>37</v>
      </c>
      <c r="F171" s="3" t="s">
        <v>21</v>
      </c>
      <c r="G171" s="3" t="s">
        <v>24</v>
      </c>
      <c r="H171" s="3">
        <v>245</v>
      </c>
      <c r="I171" s="29">
        <v>276</v>
      </c>
      <c r="J171" s="29">
        <v>315</v>
      </c>
      <c r="K171" s="3">
        <v>619</v>
      </c>
      <c r="L171" s="31">
        <v>641</v>
      </c>
      <c r="M171" s="31">
        <v>0.51515</v>
      </c>
      <c r="N171" s="31">
        <v>0.78512000000000004</v>
      </c>
      <c r="O171" s="31">
        <v>1.6427799999999999</v>
      </c>
      <c r="P171" s="31">
        <v>1.36364</v>
      </c>
      <c r="Q171" s="31">
        <v>2.0165700000000002</v>
      </c>
      <c r="R171" s="31">
        <v>2.1360700000000001</v>
      </c>
      <c r="S171" s="31">
        <v>181</v>
      </c>
      <c r="T171" s="31">
        <v>241</v>
      </c>
    </row>
    <row r="172" spans="1:20" ht="15.75" x14ac:dyDescent="0.25">
      <c r="A172" s="2">
        <v>3501</v>
      </c>
      <c r="B172" s="2" t="s">
        <v>14</v>
      </c>
      <c r="C172" s="2" t="s">
        <v>13</v>
      </c>
      <c r="D172" s="2">
        <v>2404</v>
      </c>
      <c r="E172" s="2" t="s">
        <v>16</v>
      </c>
      <c r="F172" s="3" t="s">
        <v>15</v>
      </c>
      <c r="G172" s="3" t="s">
        <v>15</v>
      </c>
      <c r="H172" s="3">
        <v>227</v>
      </c>
      <c r="I172" s="29">
        <v>289</v>
      </c>
      <c r="J172" s="29">
        <v>344</v>
      </c>
      <c r="K172" s="3">
        <v>607</v>
      </c>
      <c r="L172" s="31">
        <v>704</v>
      </c>
      <c r="M172" s="31">
        <v>1.0227299999999999</v>
      </c>
      <c r="N172" s="31">
        <v>1.3223100000000001</v>
      </c>
      <c r="O172" s="31">
        <v>1.51708</v>
      </c>
      <c r="P172" s="31">
        <v>1.9642900000000001</v>
      </c>
      <c r="Q172" s="31">
        <v>1.6338600000000001</v>
      </c>
      <c r="R172" s="31">
        <v>1.5929199999999999</v>
      </c>
      <c r="S172" s="31">
        <v>254</v>
      </c>
      <c r="T172" s="31">
        <v>314</v>
      </c>
    </row>
    <row r="173" spans="1:20" ht="15.75" x14ac:dyDescent="0.25">
      <c r="A173" s="2">
        <v>3503</v>
      </c>
      <c r="B173" s="2" t="s">
        <v>14</v>
      </c>
      <c r="C173" s="2" t="s">
        <v>18</v>
      </c>
      <c r="D173" s="2">
        <v>2404</v>
      </c>
      <c r="E173" s="2" t="s">
        <v>16</v>
      </c>
      <c r="F173" s="3" t="s">
        <v>15</v>
      </c>
      <c r="G173" s="3" t="s">
        <v>15</v>
      </c>
      <c r="H173" s="3">
        <v>245</v>
      </c>
      <c r="I173" s="29">
        <v>317</v>
      </c>
      <c r="J173" s="29">
        <v>357</v>
      </c>
      <c r="K173" s="3">
        <v>650</v>
      </c>
      <c r="L173" s="31">
        <v>685</v>
      </c>
      <c r="M173" s="31">
        <v>1.1856100000000001</v>
      </c>
      <c r="N173" s="31">
        <v>1.2655000000000001</v>
      </c>
      <c r="O173" s="31">
        <v>1.6227799999999999</v>
      </c>
      <c r="P173" s="31">
        <v>1.43669</v>
      </c>
      <c r="Q173" s="31">
        <v>1.74709</v>
      </c>
      <c r="R173" s="31">
        <v>1.7945899999999999</v>
      </c>
      <c r="S173" s="31">
        <v>211</v>
      </c>
      <c r="T173" s="31">
        <v>271</v>
      </c>
    </row>
    <row r="174" spans="1:20" ht="15.75" x14ac:dyDescent="0.25">
      <c r="A174" s="2">
        <v>3507</v>
      </c>
      <c r="B174" s="2" t="s">
        <v>14</v>
      </c>
      <c r="C174" s="2" t="s">
        <v>13</v>
      </c>
      <c r="D174" s="2">
        <v>2404</v>
      </c>
      <c r="E174" s="2" t="s">
        <v>16</v>
      </c>
      <c r="F174" s="3" t="s">
        <v>15</v>
      </c>
      <c r="G174" s="3" t="s">
        <v>15</v>
      </c>
      <c r="H174" s="3">
        <v>282</v>
      </c>
      <c r="I174" s="29">
        <v>342</v>
      </c>
      <c r="J174" s="29">
        <v>393</v>
      </c>
      <c r="K174" s="3">
        <v>656</v>
      </c>
      <c r="L174" s="31">
        <v>685</v>
      </c>
      <c r="M174" s="31">
        <v>1.00379</v>
      </c>
      <c r="N174" s="31">
        <v>1.2655000000000001</v>
      </c>
      <c r="O174" s="31">
        <v>1.48776</v>
      </c>
      <c r="P174" s="31">
        <v>1.8263</v>
      </c>
      <c r="Q174" s="31">
        <v>1.62538</v>
      </c>
      <c r="R174" s="31">
        <v>1.59463</v>
      </c>
      <c r="S174" s="31">
        <v>211</v>
      </c>
      <c r="T174" s="31">
        <v>271</v>
      </c>
    </row>
    <row r="175" spans="1:20" ht="15.75" x14ac:dyDescent="0.25">
      <c r="A175" s="2">
        <v>3508</v>
      </c>
      <c r="B175" s="2" t="s">
        <v>14</v>
      </c>
      <c r="C175" s="2" t="s">
        <v>13</v>
      </c>
      <c r="D175" s="2">
        <v>2404</v>
      </c>
      <c r="E175" s="2" t="s">
        <v>16</v>
      </c>
      <c r="F175" s="3" t="s">
        <v>15</v>
      </c>
      <c r="G175" s="3" t="s">
        <v>15</v>
      </c>
      <c r="H175" s="3">
        <v>209</v>
      </c>
      <c r="I175" s="29">
        <v>274</v>
      </c>
      <c r="J175" s="29">
        <v>325</v>
      </c>
      <c r="K175" s="3">
        <v>604</v>
      </c>
      <c r="L175" s="31">
        <v>714</v>
      </c>
      <c r="M175" s="31">
        <v>1.0833299999999999</v>
      </c>
      <c r="N175" s="31">
        <v>1.31715</v>
      </c>
      <c r="O175" s="31">
        <v>1.60683</v>
      </c>
      <c r="P175" s="31">
        <v>1.8181799999999999</v>
      </c>
      <c r="Q175" s="31">
        <v>1.7304900000000001</v>
      </c>
      <c r="R175" s="31">
        <v>1.71963</v>
      </c>
      <c r="S175" s="31">
        <v>254</v>
      </c>
      <c r="T175" s="31">
        <v>314</v>
      </c>
    </row>
    <row r="176" spans="1:20" ht="15.75" x14ac:dyDescent="0.25">
      <c r="A176" s="2">
        <v>3511</v>
      </c>
      <c r="B176" s="2" t="s">
        <v>14</v>
      </c>
      <c r="C176" s="2" t="s">
        <v>17</v>
      </c>
      <c r="D176" s="2">
        <v>2404</v>
      </c>
      <c r="E176" s="2" t="s">
        <v>16</v>
      </c>
      <c r="F176" s="3" t="s">
        <v>15</v>
      </c>
      <c r="G176" s="3" t="s">
        <v>15</v>
      </c>
      <c r="H176" s="3">
        <v>273</v>
      </c>
      <c r="I176" s="29">
        <v>349</v>
      </c>
      <c r="J176" s="29">
        <v>430</v>
      </c>
      <c r="K176" s="3">
        <v>714</v>
      </c>
      <c r="L176" s="31">
        <v>743</v>
      </c>
      <c r="M176" s="31">
        <v>1.26515</v>
      </c>
      <c r="N176" s="31">
        <v>1.7820199999999999</v>
      </c>
      <c r="O176" s="31">
        <v>1.7368300000000001</v>
      </c>
      <c r="P176" s="31">
        <v>2.8896099999999998</v>
      </c>
      <c r="Q176" s="31">
        <v>1.87096</v>
      </c>
      <c r="R176" s="31">
        <v>1.7151000000000001</v>
      </c>
      <c r="S176" s="31">
        <v>211</v>
      </c>
      <c r="T176" s="31">
        <v>271</v>
      </c>
    </row>
    <row r="177" spans="1:20" ht="15.75" x14ac:dyDescent="0.25">
      <c r="A177" s="2">
        <v>3514</v>
      </c>
      <c r="B177" s="2" t="s">
        <v>14</v>
      </c>
      <c r="C177" s="2" t="s">
        <v>13</v>
      </c>
      <c r="D177" s="2">
        <v>2404</v>
      </c>
      <c r="E177" s="2" t="s">
        <v>16</v>
      </c>
      <c r="F177" s="3" t="s">
        <v>15</v>
      </c>
      <c r="G177" s="3" t="s">
        <v>15</v>
      </c>
      <c r="H177" s="3">
        <v>202</v>
      </c>
      <c r="I177" s="29">
        <v>289</v>
      </c>
      <c r="J177" s="29">
        <v>348</v>
      </c>
      <c r="K177" s="3">
        <v>631</v>
      </c>
      <c r="L177" s="31">
        <v>672</v>
      </c>
      <c r="M177" s="31">
        <v>1.45076</v>
      </c>
      <c r="N177" s="31">
        <v>1.6580600000000001</v>
      </c>
      <c r="O177" s="31">
        <v>1.7334799999999999</v>
      </c>
      <c r="P177" s="31">
        <v>2.1022699999999999</v>
      </c>
      <c r="Q177" s="31">
        <v>1.8138700000000001</v>
      </c>
      <c r="R177" s="31">
        <v>1.7697499999999999</v>
      </c>
      <c r="S177" s="31">
        <v>211</v>
      </c>
      <c r="T177" s="31">
        <v>271</v>
      </c>
    </row>
    <row r="178" spans="1:20" ht="15.75" x14ac:dyDescent="0.25">
      <c r="A178" s="2">
        <v>3521</v>
      </c>
      <c r="B178" s="2" t="s">
        <v>14</v>
      </c>
      <c r="C178" s="2" t="s">
        <v>17</v>
      </c>
      <c r="D178" s="2">
        <v>2404</v>
      </c>
      <c r="E178" s="2" t="s">
        <v>16</v>
      </c>
      <c r="F178" s="3" t="s">
        <v>15</v>
      </c>
      <c r="G178" s="3" t="s">
        <v>15</v>
      </c>
      <c r="H178" s="3">
        <v>218</v>
      </c>
      <c r="I178" s="29">
        <v>280</v>
      </c>
      <c r="J178" s="29">
        <v>355</v>
      </c>
      <c r="K178" s="3">
        <v>684</v>
      </c>
      <c r="L178" s="31">
        <v>742</v>
      </c>
      <c r="M178" s="31">
        <v>1.0378799999999999</v>
      </c>
      <c r="N178" s="31">
        <v>1.54959</v>
      </c>
      <c r="O178" s="31">
        <v>1.9330799999999999</v>
      </c>
      <c r="P178" s="31">
        <v>2.6461000000000001</v>
      </c>
      <c r="Q178" s="31">
        <v>2.18763</v>
      </c>
      <c r="R178" s="31">
        <v>2.1174900000000001</v>
      </c>
      <c r="S178" s="31">
        <v>211</v>
      </c>
      <c r="T178" s="31">
        <v>271</v>
      </c>
    </row>
    <row r="179" spans="1:20" ht="15.75" x14ac:dyDescent="0.25">
      <c r="A179" s="2">
        <v>3522</v>
      </c>
      <c r="B179" s="2" t="s">
        <v>14</v>
      </c>
      <c r="C179" s="2" t="s">
        <v>17</v>
      </c>
      <c r="D179" s="2">
        <v>2404</v>
      </c>
      <c r="E179" s="2" t="s">
        <v>16</v>
      </c>
      <c r="F179" s="3" t="s">
        <v>15</v>
      </c>
      <c r="G179" s="3" t="s">
        <v>15</v>
      </c>
      <c r="H179" s="3">
        <v>239</v>
      </c>
      <c r="I179" s="29">
        <v>353</v>
      </c>
      <c r="J179" s="29">
        <v>378</v>
      </c>
      <c r="K179" s="3">
        <v>645</v>
      </c>
      <c r="L179" s="31">
        <v>695</v>
      </c>
      <c r="M179" s="31">
        <v>1.9015200000000001</v>
      </c>
      <c r="N179" s="31">
        <v>1.5857399999999999</v>
      </c>
      <c r="O179" s="31">
        <v>1.68232</v>
      </c>
      <c r="P179" s="31">
        <v>0.90908999999999995</v>
      </c>
      <c r="Q179" s="31">
        <v>1.61999</v>
      </c>
      <c r="R179" s="31">
        <v>1.7287600000000001</v>
      </c>
      <c r="S179" s="31">
        <v>211</v>
      </c>
      <c r="T179" s="31">
        <v>271</v>
      </c>
    </row>
    <row r="180" spans="1:20" ht="15.75" x14ac:dyDescent="0.25">
      <c r="A180" s="2">
        <v>3538</v>
      </c>
      <c r="B180" s="2" t="s">
        <v>14</v>
      </c>
      <c r="C180" s="2" t="s">
        <v>13</v>
      </c>
      <c r="D180" s="2">
        <v>2404</v>
      </c>
      <c r="E180" s="2" t="s">
        <v>16</v>
      </c>
      <c r="F180" s="3" t="s">
        <v>15</v>
      </c>
      <c r="G180" s="3" t="s">
        <v>15</v>
      </c>
      <c r="H180" s="3">
        <v>230</v>
      </c>
      <c r="I180" s="29">
        <v>295</v>
      </c>
      <c r="J180" s="29">
        <v>344</v>
      </c>
      <c r="K180" s="3">
        <v>672</v>
      </c>
      <c r="L180" s="31">
        <v>720</v>
      </c>
      <c r="M180" s="31">
        <v>1.09091</v>
      </c>
      <c r="N180" s="31">
        <v>1.2964899999999999</v>
      </c>
      <c r="O180" s="31">
        <v>1.81063</v>
      </c>
      <c r="P180" s="31">
        <v>1.7370099999999999</v>
      </c>
      <c r="Q180" s="31">
        <v>2.0152999999999999</v>
      </c>
      <c r="R180" s="31">
        <v>2.0578699999999999</v>
      </c>
      <c r="S180" s="31">
        <v>211</v>
      </c>
      <c r="T180" s="31">
        <v>271</v>
      </c>
    </row>
    <row r="181" spans="1:20" ht="15.75" x14ac:dyDescent="0.25">
      <c r="A181" s="2">
        <v>3542</v>
      </c>
      <c r="B181" s="2" t="s">
        <v>14</v>
      </c>
      <c r="C181" s="2" t="s">
        <v>17</v>
      </c>
      <c r="D181" s="2">
        <v>2404</v>
      </c>
      <c r="E181" s="2" t="s">
        <v>16</v>
      </c>
      <c r="F181" s="3" t="s">
        <v>15</v>
      </c>
      <c r="G181" s="3" t="s">
        <v>15</v>
      </c>
      <c r="H181" s="3">
        <v>245</v>
      </c>
      <c r="I181" s="29">
        <v>311</v>
      </c>
      <c r="J181" s="29">
        <v>378</v>
      </c>
      <c r="K181" s="3">
        <v>620</v>
      </c>
      <c r="L181" s="31">
        <v>656</v>
      </c>
      <c r="M181" s="31">
        <v>1.09091</v>
      </c>
      <c r="N181" s="31">
        <v>1.5082599999999999</v>
      </c>
      <c r="O181" s="31">
        <v>1.5137499999999999</v>
      </c>
      <c r="P181" s="31">
        <v>2.4026000000000001</v>
      </c>
      <c r="Q181" s="31">
        <v>1.6339900000000001</v>
      </c>
      <c r="R181" s="31">
        <v>1.5163899999999999</v>
      </c>
      <c r="S181" s="31">
        <v>211</v>
      </c>
      <c r="T181" s="31">
        <v>271</v>
      </c>
    </row>
    <row r="182" spans="1:20" ht="15.75" x14ac:dyDescent="0.25">
      <c r="A182" s="2">
        <v>3545</v>
      </c>
      <c r="B182" s="2" t="s">
        <v>27</v>
      </c>
      <c r="C182" s="2" t="s">
        <v>29</v>
      </c>
      <c r="D182" s="2">
        <v>2404</v>
      </c>
      <c r="E182" s="2" t="s">
        <v>16</v>
      </c>
      <c r="F182" s="3" t="s">
        <v>15</v>
      </c>
      <c r="G182" s="3" t="s">
        <v>24</v>
      </c>
      <c r="H182" s="3">
        <v>236</v>
      </c>
      <c r="I182" s="29">
        <v>329</v>
      </c>
      <c r="J182" s="29">
        <v>390</v>
      </c>
      <c r="K182" s="3">
        <v>697</v>
      </c>
      <c r="L182" s="31">
        <v>748</v>
      </c>
      <c r="M182" s="31">
        <v>1.5378799999999999</v>
      </c>
      <c r="N182" s="31">
        <v>1.74587</v>
      </c>
      <c r="O182" s="31">
        <v>1.8877900000000001</v>
      </c>
      <c r="P182" s="31">
        <v>2.19156</v>
      </c>
      <c r="Q182" s="31">
        <v>1.98729</v>
      </c>
      <c r="R182" s="31">
        <v>1.95604</v>
      </c>
      <c r="S182" s="31">
        <v>211</v>
      </c>
      <c r="T182" s="31">
        <v>271</v>
      </c>
    </row>
    <row r="183" spans="1:20" ht="15.75" x14ac:dyDescent="0.25">
      <c r="A183" s="2">
        <v>3558</v>
      </c>
      <c r="B183" s="2" t="s">
        <v>14</v>
      </c>
      <c r="C183" s="2" t="s">
        <v>17</v>
      </c>
      <c r="D183" s="2">
        <v>2404</v>
      </c>
      <c r="E183" s="2" t="s">
        <v>16</v>
      </c>
      <c r="F183" s="3" t="s">
        <v>15</v>
      </c>
      <c r="G183" s="3" t="s">
        <v>15</v>
      </c>
      <c r="H183" s="3">
        <v>200</v>
      </c>
      <c r="I183" s="29">
        <v>292</v>
      </c>
      <c r="J183" s="29">
        <v>347</v>
      </c>
      <c r="K183" s="3">
        <v>613</v>
      </c>
      <c r="L183" s="31">
        <v>726</v>
      </c>
      <c r="M183" s="31">
        <v>1.5303</v>
      </c>
      <c r="N183" s="31">
        <v>1.66839</v>
      </c>
      <c r="O183" s="31">
        <v>1.67632</v>
      </c>
      <c r="P183" s="31">
        <v>1.9642900000000001</v>
      </c>
      <c r="Q183" s="31">
        <v>1.7108099999999999</v>
      </c>
      <c r="R183" s="31">
        <v>1.6794</v>
      </c>
      <c r="S183" s="31">
        <v>254</v>
      </c>
      <c r="T183" s="31">
        <v>314</v>
      </c>
    </row>
    <row r="184" spans="1:20" ht="15.75" x14ac:dyDescent="0.25">
      <c r="A184" s="2">
        <v>3568</v>
      </c>
      <c r="B184" s="2" t="s">
        <v>27</v>
      </c>
      <c r="C184" s="2" t="s">
        <v>29</v>
      </c>
      <c r="D184" s="2">
        <v>2404</v>
      </c>
      <c r="E184" s="2" t="s">
        <v>16</v>
      </c>
      <c r="F184" s="3" t="s">
        <v>15</v>
      </c>
      <c r="G184" s="3" t="s">
        <v>24</v>
      </c>
      <c r="H184" s="3">
        <v>248</v>
      </c>
      <c r="I184" s="29">
        <v>308</v>
      </c>
      <c r="J184" s="29">
        <v>334</v>
      </c>
      <c r="K184" s="3">
        <v>637</v>
      </c>
      <c r="L184" s="31">
        <v>700</v>
      </c>
      <c r="M184" s="31">
        <v>1.00379</v>
      </c>
      <c r="N184" s="31">
        <v>0.97624</v>
      </c>
      <c r="O184" s="31">
        <v>1.6680600000000001</v>
      </c>
      <c r="P184" s="31">
        <v>0.91720999999999997</v>
      </c>
      <c r="Q184" s="31">
        <v>1.8569599999999999</v>
      </c>
      <c r="R184" s="31">
        <v>2.00075</v>
      </c>
      <c r="S184" s="31">
        <v>211</v>
      </c>
      <c r="T184" s="31">
        <v>271</v>
      </c>
    </row>
    <row r="185" spans="1:20" ht="15.75" x14ac:dyDescent="0.25">
      <c r="A185" s="2">
        <v>3575</v>
      </c>
      <c r="B185" s="2" t="s">
        <v>27</v>
      </c>
      <c r="C185" s="2" t="s">
        <v>29</v>
      </c>
      <c r="D185" s="2">
        <v>2404</v>
      </c>
      <c r="E185" s="2" t="s">
        <v>16</v>
      </c>
      <c r="F185" s="3" t="s">
        <v>15</v>
      </c>
      <c r="G185" s="3" t="s">
        <v>24</v>
      </c>
      <c r="H185" s="3">
        <v>218</v>
      </c>
      <c r="I185" s="29">
        <v>287</v>
      </c>
      <c r="J185" s="29">
        <v>340</v>
      </c>
      <c r="K185" s="3">
        <v>584</v>
      </c>
      <c r="L185" s="31">
        <v>660</v>
      </c>
      <c r="M185" s="31">
        <v>1.1515200000000001</v>
      </c>
      <c r="N185" s="31">
        <v>1.37913</v>
      </c>
      <c r="O185" s="31">
        <v>1.6319999999999999</v>
      </c>
      <c r="P185" s="31">
        <v>1.8668800000000001</v>
      </c>
      <c r="Q185" s="31">
        <v>1.7686299999999999</v>
      </c>
      <c r="R185" s="31">
        <v>1.7536</v>
      </c>
      <c r="S185" s="31">
        <v>211</v>
      </c>
      <c r="T185" s="31">
        <v>271</v>
      </c>
    </row>
    <row r="186" spans="1:20" ht="15.75" x14ac:dyDescent="0.25">
      <c r="A186" s="2">
        <v>3586</v>
      </c>
      <c r="B186" s="2" t="s">
        <v>27</v>
      </c>
      <c r="C186" s="2" t="s">
        <v>29</v>
      </c>
      <c r="D186" s="2">
        <v>2404</v>
      </c>
      <c r="E186" s="2" t="s">
        <v>16</v>
      </c>
      <c r="F186" s="3" t="s">
        <v>15</v>
      </c>
      <c r="G186" s="3" t="s">
        <v>24</v>
      </c>
      <c r="H186" s="3">
        <v>257</v>
      </c>
      <c r="I186" s="29">
        <v>339</v>
      </c>
      <c r="J186" s="29">
        <v>401</v>
      </c>
      <c r="K186" s="3">
        <v>729</v>
      </c>
      <c r="L186" s="31">
        <v>804</v>
      </c>
      <c r="M186" s="31">
        <v>1.36364</v>
      </c>
      <c r="N186" s="31">
        <v>1.6374</v>
      </c>
      <c r="O186" s="31">
        <v>2.0177800000000001</v>
      </c>
      <c r="P186" s="31">
        <v>2.22403</v>
      </c>
      <c r="Q186" s="31">
        <v>2.2037900000000001</v>
      </c>
      <c r="R186" s="31">
        <v>2.2006999999999999</v>
      </c>
      <c r="S186" s="31">
        <v>211</v>
      </c>
      <c r="T186" s="31">
        <v>271</v>
      </c>
    </row>
    <row r="187" spans="1:20" ht="15.75" x14ac:dyDescent="0.25">
      <c r="A187" s="2">
        <v>3587</v>
      </c>
      <c r="B187" s="2" t="s">
        <v>27</v>
      </c>
      <c r="C187" s="2" t="s">
        <v>26</v>
      </c>
      <c r="D187" s="2">
        <v>2404</v>
      </c>
      <c r="E187" s="2" t="s">
        <v>16</v>
      </c>
      <c r="F187" s="3" t="s">
        <v>15</v>
      </c>
      <c r="G187" s="3" t="s">
        <v>24</v>
      </c>
      <c r="H187" s="3">
        <v>248</v>
      </c>
      <c r="I187" s="29">
        <v>323</v>
      </c>
      <c r="J187" s="29">
        <v>368</v>
      </c>
      <c r="K187" s="3">
        <v>649</v>
      </c>
      <c r="L187" s="31">
        <v>703</v>
      </c>
      <c r="M187" s="31">
        <v>1.25</v>
      </c>
      <c r="N187" s="31">
        <v>1.36364</v>
      </c>
      <c r="O187" s="31">
        <v>1.67981</v>
      </c>
      <c r="P187" s="31">
        <v>1.60714</v>
      </c>
      <c r="Q187" s="31">
        <v>1.80202</v>
      </c>
      <c r="R187" s="31">
        <v>1.8318399999999999</v>
      </c>
      <c r="S187" s="31">
        <v>211</v>
      </c>
      <c r="T187" s="31">
        <v>271</v>
      </c>
    </row>
    <row r="188" spans="1:20" ht="15.75" x14ac:dyDescent="0.25">
      <c r="A188" s="2">
        <v>3588</v>
      </c>
      <c r="B188" s="2" t="s">
        <v>27</v>
      </c>
      <c r="C188" s="2" t="s">
        <v>29</v>
      </c>
      <c r="D188" s="2">
        <v>2404</v>
      </c>
      <c r="E188" s="2" t="s">
        <v>16</v>
      </c>
      <c r="F188" s="3" t="s">
        <v>15</v>
      </c>
      <c r="G188" s="3" t="s">
        <v>24</v>
      </c>
      <c r="H188" s="3">
        <v>225</v>
      </c>
      <c r="I188" s="29">
        <v>283</v>
      </c>
      <c r="J188" s="29">
        <v>335</v>
      </c>
      <c r="K188" s="3">
        <v>611</v>
      </c>
      <c r="L188" s="31">
        <v>654</v>
      </c>
      <c r="M188" s="31">
        <v>0.96591000000000005</v>
      </c>
      <c r="N188" s="31">
        <v>1.2551699999999999</v>
      </c>
      <c r="O188" s="31">
        <v>1.5825199999999999</v>
      </c>
      <c r="P188" s="31">
        <v>1.875</v>
      </c>
      <c r="Q188" s="31">
        <v>1.75786</v>
      </c>
      <c r="R188" s="31">
        <v>1.73994</v>
      </c>
      <c r="S188" s="31">
        <v>211</v>
      </c>
      <c r="T188" s="31">
        <v>271</v>
      </c>
    </row>
    <row r="189" spans="1:20" ht="15.75" x14ac:dyDescent="0.25">
      <c r="A189" s="2">
        <v>3591</v>
      </c>
      <c r="B189" s="2" t="s">
        <v>14</v>
      </c>
      <c r="C189" s="2" t="s">
        <v>13</v>
      </c>
      <c r="D189" s="2">
        <v>2404</v>
      </c>
      <c r="E189" s="2" t="s">
        <v>16</v>
      </c>
      <c r="F189" s="3" t="s">
        <v>15</v>
      </c>
      <c r="G189" s="3" t="s">
        <v>15</v>
      </c>
      <c r="H189" s="3">
        <v>211</v>
      </c>
      <c r="I189" s="29">
        <v>278</v>
      </c>
      <c r="J189" s="29">
        <v>325</v>
      </c>
      <c r="K189" s="3">
        <v>581</v>
      </c>
      <c r="L189" s="31">
        <v>725</v>
      </c>
      <c r="M189" s="31">
        <v>1.11364</v>
      </c>
      <c r="N189" s="31">
        <v>1.2964899999999999</v>
      </c>
      <c r="O189" s="31">
        <v>1.63578</v>
      </c>
      <c r="P189" s="31">
        <v>1.68831</v>
      </c>
      <c r="Q189" s="31">
        <v>1.7591300000000001</v>
      </c>
      <c r="R189" s="31">
        <v>1.7679</v>
      </c>
      <c r="S189" s="31">
        <v>254</v>
      </c>
      <c r="T189" s="31">
        <v>314</v>
      </c>
    </row>
    <row r="190" spans="1:20" ht="15.75" x14ac:dyDescent="0.25">
      <c r="A190" s="2">
        <v>3598</v>
      </c>
      <c r="B190" s="2" t="s">
        <v>27</v>
      </c>
      <c r="C190" s="2" t="s">
        <v>26</v>
      </c>
      <c r="D190" s="2">
        <v>2404</v>
      </c>
      <c r="E190" s="2" t="s">
        <v>16</v>
      </c>
      <c r="F190" s="3" t="s">
        <v>15</v>
      </c>
      <c r="G190" s="3" t="s">
        <v>24</v>
      </c>
      <c r="H190" s="3">
        <v>220</v>
      </c>
      <c r="I190" s="29">
        <v>296</v>
      </c>
      <c r="J190" s="29">
        <v>353</v>
      </c>
      <c r="K190" s="3">
        <v>662</v>
      </c>
      <c r="L190" s="31">
        <v>705</v>
      </c>
      <c r="M190" s="31">
        <v>1.26515</v>
      </c>
      <c r="N190" s="31">
        <v>1.5031000000000001</v>
      </c>
      <c r="O190" s="31">
        <v>1.78799</v>
      </c>
      <c r="P190" s="31">
        <v>2.0129899999999998</v>
      </c>
      <c r="Q190" s="31">
        <v>1.9366699999999999</v>
      </c>
      <c r="R190" s="31">
        <v>1.92499</v>
      </c>
      <c r="S190" s="31">
        <v>211</v>
      </c>
      <c r="T190" s="31">
        <v>271</v>
      </c>
    </row>
    <row r="191" spans="1:20" ht="15.75" x14ac:dyDescent="0.25">
      <c r="A191" s="2">
        <v>3602</v>
      </c>
      <c r="B191" s="2" t="s">
        <v>27</v>
      </c>
      <c r="C191" s="2" t="s">
        <v>26</v>
      </c>
      <c r="D191" s="2">
        <v>2404</v>
      </c>
      <c r="E191" s="2" t="s">
        <v>16</v>
      </c>
      <c r="F191" s="3" t="s">
        <v>15</v>
      </c>
      <c r="G191" s="3" t="s">
        <v>24</v>
      </c>
      <c r="H191" s="3">
        <v>220</v>
      </c>
      <c r="I191" s="29">
        <v>279</v>
      </c>
      <c r="J191" s="29">
        <v>326</v>
      </c>
      <c r="K191" s="3">
        <v>572</v>
      </c>
      <c r="L191" s="31">
        <v>682</v>
      </c>
      <c r="M191" s="31">
        <v>0.96970000000000001</v>
      </c>
      <c r="N191" s="31">
        <v>1.19835</v>
      </c>
      <c r="O191" s="31">
        <v>1.4693099999999999</v>
      </c>
      <c r="P191" s="31">
        <v>1.68831</v>
      </c>
      <c r="Q191" s="31">
        <v>1.5873299999999999</v>
      </c>
      <c r="R191" s="31">
        <v>1.5748200000000001</v>
      </c>
      <c r="S191" s="31">
        <v>254</v>
      </c>
      <c r="T191" s="31">
        <v>314</v>
      </c>
    </row>
    <row r="192" spans="1:20" ht="15.75" x14ac:dyDescent="0.25">
      <c r="A192" s="2">
        <v>3629</v>
      </c>
      <c r="B192" s="2" t="s">
        <v>27</v>
      </c>
      <c r="C192" s="2" t="s">
        <v>33</v>
      </c>
      <c r="D192" s="2">
        <v>2404</v>
      </c>
      <c r="E192" s="2" t="s">
        <v>16</v>
      </c>
      <c r="F192" s="3" t="s">
        <v>15</v>
      </c>
      <c r="G192" s="3" t="s">
        <v>24</v>
      </c>
      <c r="H192" s="3">
        <v>211</v>
      </c>
      <c r="I192" s="29">
        <v>264</v>
      </c>
      <c r="J192" s="29">
        <v>320</v>
      </c>
      <c r="K192" s="3">
        <v>614</v>
      </c>
      <c r="L192" s="31">
        <v>725</v>
      </c>
      <c r="M192" s="31">
        <v>0.875</v>
      </c>
      <c r="N192" s="31">
        <v>1.2344999999999999</v>
      </c>
      <c r="O192" s="31">
        <v>1.63578</v>
      </c>
      <c r="P192" s="31">
        <v>2.0048699999999999</v>
      </c>
      <c r="Q192" s="31">
        <v>1.8154999999999999</v>
      </c>
      <c r="R192" s="31">
        <v>1.7920400000000001</v>
      </c>
      <c r="S192" s="31">
        <v>254</v>
      </c>
      <c r="T192" s="31">
        <v>314</v>
      </c>
    </row>
    <row r="193" spans="1:26" ht="15.75" x14ac:dyDescent="0.25">
      <c r="A193" s="2">
        <v>3636</v>
      </c>
      <c r="B193" s="2" t="s">
        <v>27</v>
      </c>
      <c r="C193" s="2" t="s">
        <v>26</v>
      </c>
      <c r="D193" s="2">
        <v>2404</v>
      </c>
      <c r="E193" s="2" t="s">
        <v>16</v>
      </c>
      <c r="F193" s="3" t="s">
        <v>15</v>
      </c>
      <c r="G193" s="3" t="s">
        <v>24</v>
      </c>
      <c r="H193" s="3">
        <v>209</v>
      </c>
      <c r="I193" s="29">
        <v>265</v>
      </c>
      <c r="J193" s="29">
        <v>318</v>
      </c>
      <c r="K193" s="3">
        <v>620</v>
      </c>
      <c r="L193" s="31">
        <v>730</v>
      </c>
      <c r="M193" s="31">
        <v>0.93561000000000005</v>
      </c>
      <c r="N193" s="31">
        <v>1.23967</v>
      </c>
      <c r="O193" s="31">
        <v>1.6589499999999999</v>
      </c>
      <c r="P193" s="31">
        <v>1.89123</v>
      </c>
      <c r="Q193" s="31">
        <v>1.8298099999999999</v>
      </c>
      <c r="R193" s="31">
        <v>1.8222</v>
      </c>
      <c r="S193" s="31">
        <v>254</v>
      </c>
      <c r="T193" s="31">
        <v>314</v>
      </c>
    </row>
    <row r="194" spans="1:26" ht="15.75" x14ac:dyDescent="0.25">
      <c r="A194" s="2">
        <v>3639</v>
      </c>
      <c r="B194" s="2" t="s">
        <v>14</v>
      </c>
      <c r="C194" s="2" t="s">
        <v>34</v>
      </c>
      <c r="D194" s="2">
        <v>2404</v>
      </c>
      <c r="E194" s="2" t="s">
        <v>16</v>
      </c>
      <c r="F194" s="3" t="s">
        <v>15</v>
      </c>
      <c r="G194" s="3" t="s">
        <v>15</v>
      </c>
      <c r="H194" s="3">
        <v>211</v>
      </c>
      <c r="I194" s="29">
        <v>286</v>
      </c>
      <c r="J194" s="29">
        <v>353</v>
      </c>
      <c r="K194" s="3">
        <v>632</v>
      </c>
      <c r="L194" s="31">
        <v>698</v>
      </c>
      <c r="M194" s="31">
        <v>1.23864</v>
      </c>
      <c r="N194" s="31">
        <v>1.6064000000000001</v>
      </c>
      <c r="O194" s="31">
        <v>1.7963800000000001</v>
      </c>
      <c r="P194" s="31">
        <v>2.3944800000000002</v>
      </c>
      <c r="Q194" s="31">
        <v>1.9549799999999999</v>
      </c>
      <c r="R194" s="31">
        <v>1.8877299999999999</v>
      </c>
      <c r="S194" s="31">
        <v>211</v>
      </c>
      <c r="T194" s="31">
        <v>271</v>
      </c>
    </row>
    <row r="195" spans="1:26" ht="15.75" x14ac:dyDescent="0.25">
      <c r="A195" s="2">
        <v>3642</v>
      </c>
      <c r="B195" s="2" t="s">
        <v>27</v>
      </c>
      <c r="C195" s="2" t="s">
        <v>29</v>
      </c>
      <c r="D195" s="2">
        <v>2404</v>
      </c>
      <c r="E195" s="2" t="s">
        <v>16</v>
      </c>
      <c r="F195" s="3" t="s">
        <v>15</v>
      </c>
      <c r="G195" s="3" t="s">
        <v>24</v>
      </c>
      <c r="H195" s="3">
        <v>198</v>
      </c>
      <c r="I195" s="29">
        <v>246</v>
      </c>
      <c r="J195" s="29">
        <v>319</v>
      </c>
      <c r="K195" s="3">
        <v>589</v>
      </c>
      <c r="L195" s="31">
        <v>702</v>
      </c>
      <c r="M195" s="31">
        <v>0.81061000000000005</v>
      </c>
      <c r="N195" s="31">
        <v>1.37913</v>
      </c>
      <c r="O195" s="31">
        <v>1.6053900000000001</v>
      </c>
      <c r="P195" s="31">
        <v>2.5973999999999999</v>
      </c>
      <c r="Q195" s="31">
        <v>1.7931299999999999</v>
      </c>
      <c r="R195" s="31">
        <v>1.6934800000000001</v>
      </c>
      <c r="S195" s="31">
        <v>254</v>
      </c>
      <c r="T195" s="31">
        <v>314</v>
      </c>
    </row>
    <row r="196" spans="1:26" ht="15.75" x14ac:dyDescent="0.25">
      <c r="A196" s="2">
        <v>3649</v>
      </c>
      <c r="B196" s="2" t="s">
        <v>20</v>
      </c>
      <c r="C196" s="2" t="s">
        <v>35</v>
      </c>
      <c r="D196" s="2">
        <v>2404</v>
      </c>
      <c r="E196" s="2" t="s">
        <v>16</v>
      </c>
      <c r="F196" s="3" t="s">
        <v>15</v>
      </c>
      <c r="G196" s="3" t="s">
        <v>15</v>
      </c>
      <c r="H196" s="3">
        <v>182</v>
      </c>
      <c r="I196" s="29">
        <v>242</v>
      </c>
      <c r="J196" s="29">
        <v>294</v>
      </c>
      <c r="K196" s="3">
        <v>585</v>
      </c>
      <c r="L196" s="31">
        <v>635</v>
      </c>
      <c r="M196" s="31">
        <v>1</v>
      </c>
      <c r="N196" s="31">
        <v>1.2706599999999999</v>
      </c>
      <c r="O196" s="31">
        <v>1.4447000000000001</v>
      </c>
      <c r="P196" s="31">
        <v>1.8506499999999999</v>
      </c>
      <c r="Q196" s="31">
        <v>1.54975</v>
      </c>
      <c r="R196" s="31">
        <v>1.51247</v>
      </c>
      <c r="S196" s="31">
        <v>254</v>
      </c>
      <c r="T196" s="31">
        <v>314</v>
      </c>
    </row>
    <row r="197" spans="1:26" ht="15.75" x14ac:dyDescent="0.25">
      <c r="A197" s="2">
        <v>3683</v>
      </c>
      <c r="B197" s="2" t="s">
        <v>27</v>
      </c>
      <c r="C197" s="2" t="s">
        <v>33</v>
      </c>
      <c r="D197" s="2">
        <v>2404</v>
      </c>
      <c r="E197" s="2" t="s">
        <v>16</v>
      </c>
      <c r="F197" s="3" t="s">
        <v>15</v>
      </c>
      <c r="G197" s="3" t="s">
        <v>24</v>
      </c>
      <c r="H197" s="3">
        <v>198</v>
      </c>
      <c r="I197" s="29">
        <v>273</v>
      </c>
      <c r="J197" s="29">
        <v>330</v>
      </c>
      <c r="K197" s="3">
        <v>643</v>
      </c>
      <c r="L197" s="31">
        <v>716</v>
      </c>
      <c r="M197" s="31">
        <v>1.26136</v>
      </c>
      <c r="N197" s="31">
        <v>1.5082599999999999</v>
      </c>
      <c r="O197" s="31">
        <v>1.91127</v>
      </c>
      <c r="P197" s="31">
        <v>2.0373399999999999</v>
      </c>
      <c r="Q197" s="31">
        <v>2.0960800000000002</v>
      </c>
      <c r="R197" s="31">
        <v>2.10507</v>
      </c>
      <c r="S197" s="31">
        <v>211</v>
      </c>
      <c r="T197" s="31">
        <v>271</v>
      </c>
      <c r="U197">
        <f>AVERAGE(H172:H197)</f>
        <v>225.46153846153845</v>
      </c>
      <c r="V197">
        <f t="shared" ref="V197:Z197" si="6">AVERAGE(I172:I197)</f>
        <v>295.73076923076923</v>
      </c>
      <c r="W197">
        <f t="shared" si="6"/>
        <v>350.19230769230768</v>
      </c>
      <c r="X197">
        <f t="shared" si="6"/>
        <v>634.65384615384619</v>
      </c>
      <c r="Y197">
        <f t="shared" si="6"/>
        <v>704.96153846153845</v>
      </c>
      <c r="Z197">
        <f t="shared" si="6"/>
        <v>1.169436153846154</v>
      </c>
    </row>
    <row r="198" spans="1:26" ht="15.75" x14ac:dyDescent="0.25">
      <c r="A198" s="2">
        <v>3504</v>
      </c>
      <c r="B198" s="2" t="s">
        <v>20</v>
      </c>
      <c r="C198" s="2" t="s">
        <v>31</v>
      </c>
      <c r="D198" s="2">
        <v>2404</v>
      </c>
      <c r="E198" s="2" t="s">
        <v>16</v>
      </c>
      <c r="F198" s="3" t="s">
        <v>21</v>
      </c>
      <c r="G198" s="3" t="s">
        <v>15</v>
      </c>
      <c r="H198" s="3">
        <v>173</v>
      </c>
      <c r="I198" s="29">
        <v>232</v>
      </c>
      <c r="J198" s="29">
        <v>275</v>
      </c>
      <c r="K198" s="3">
        <v>545</v>
      </c>
      <c r="L198" s="31">
        <v>610</v>
      </c>
      <c r="M198" s="31">
        <v>0.98485</v>
      </c>
      <c r="N198" s="31">
        <v>1.1570199999999999</v>
      </c>
      <c r="O198" s="31">
        <v>1.3940399999999999</v>
      </c>
      <c r="P198" s="31">
        <v>1.52597</v>
      </c>
      <c r="Q198" s="31">
        <v>1.4906900000000001</v>
      </c>
      <c r="R198" s="31">
        <v>1.4863200000000001</v>
      </c>
      <c r="S198" s="31">
        <v>254</v>
      </c>
      <c r="T198" s="31">
        <v>314</v>
      </c>
      <c r="U198">
        <f>AVERAGE(H198:H230)</f>
        <v>200.12121212121212</v>
      </c>
      <c r="V198">
        <f t="shared" ref="V198:Z198" si="7">AVERAGE(I198:I230)</f>
        <v>260.969696969697</v>
      </c>
      <c r="W198">
        <f t="shared" si="7"/>
        <v>312.87878787878788</v>
      </c>
      <c r="X198">
        <f t="shared" si="7"/>
        <v>581.90625</v>
      </c>
      <c r="Y198">
        <f t="shared" si="7"/>
        <v>656.84848484848487</v>
      </c>
      <c r="Z198">
        <f t="shared" si="7"/>
        <v>1.0144633333333333</v>
      </c>
    </row>
    <row r="199" spans="1:26" ht="15.75" x14ac:dyDescent="0.25">
      <c r="A199" s="2">
        <v>3505</v>
      </c>
      <c r="B199" s="2" t="s">
        <v>20</v>
      </c>
      <c r="C199" s="2" t="s">
        <v>30</v>
      </c>
      <c r="D199" s="2">
        <v>2404</v>
      </c>
      <c r="E199" s="2" t="s">
        <v>16</v>
      </c>
      <c r="F199" s="3" t="s">
        <v>21</v>
      </c>
      <c r="G199" s="3" t="s">
        <v>15</v>
      </c>
      <c r="H199" s="3">
        <v>150</v>
      </c>
      <c r="I199" s="29">
        <v>253</v>
      </c>
      <c r="J199" s="29">
        <v>307</v>
      </c>
      <c r="K199" s="3">
        <v>565</v>
      </c>
      <c r="L199" s="31">
        <v>630</v>
      </c>
      <c r="M199" s="31">
        <v>1.7083299999999999</v>
      </c>
      <c r="N199" s="31">
        <v>1.7871900000000001</v>
      </c>
      <c r="O199" s="31">
        <v>1.5301100000000001</v>
      </c>
      <c r="P199" s="31">
        <v>1.95617</v>
      </c>
      <c r="Q199" s="31">
        <v>1.4880100000000001</v>
      </c>
      <c r="R199" s="31">
        <v>1.43001</v>
      </c>
      <c r="S199" s="31">
        <v>254</v>
      </c>
      <c r="T199" s="31">
        <v>314</v>
      </c>
    </row>
    <row r="200" spans="1:26" ht="15.75" x14ac:dyDescent="0.25">
      <c r="A200" s="2">
        <v>3509</v>
      </c>
      <c r="B200" s="2" t="s">
        <v>20</v>
      </c>
      <c r="C200" s="2" t="s">
        <v>31</v>
      </c>
      <c r="D200" s="2">
        <v>2404</v>
      </c>
      <c r="E200" s="2" t="s">
        <v>16</v>
      </c>
      <c r="F200" s="3" t="s">
        <v>21</v>
      </c>
      <c r="G200" s="3" t="s">
        <v>15</v>
      </c>
      <c r="H200" s="3">
        <v>193</v>
      </c>
      <c r="I200" s="29">
        <v>261</v>
      </c>
      <c r="J200" s="29">
        <v>316</v>
      </c>
      <c r="K200" s="3">
        <v>568</v>
      </c>
      <c r="L200" s="31">
        <v>720</v>
      </c>
      <c r="M200" s="31">
        <v>1.12879</v>
      </c>
      <c r="N200" s="31">
        <v>1.39463</v>
      </c>
      <c r="O200" s="31">
        <v>1.67632</v>
      </c>
      <c r="P200" s="31">
        <v>1.9642900000000001</v>
      </c>
      <c r="Q200" s="31">
        <v>1.80565</v>
      </c>
      <c r="R200" s="31">
        <v>1.786</v>
      </c>
      <c r="S200" s="31">
        <v>254</v>
      </c>
      <c r="T200" s="31">
        <v>314</v>
      </c>
    </row>
    <row r="201" spans="1:26" ht="15.75" x14ac:dyDescent="0.25">
      <c r="A201" s="2">
        <v>3517</v>
      </c>
      <c r="B201" s="2" t="s">
        <v>20</v>
      </c>
      <c r="C201" s="2" t="s">
        <v>30</v>
      </c>
      <c r="D201" s="2">
        <v>2404</v>
      </c>
      <c r="E201" s="2" t="s">
        <v>16</v>
      </c>
      <c r="F201" s="3" t="s">
        <v>21</v>
      </c>
      <c r="G201" s="3" t="s">
        <v>15</v>
      </c>
      <c r="H201" s="3">
        <v>200</v>
      </c>
      <c r="I201" s="29">
        <v>276</v>
      </c>
      <c r="J201" s="29">
        <v>326</v>
      </c>
      <c r="K201" s="3">
        <v>563</v>
      </c>
      <c r="L201" s="31">
        <v>661</v>
      </c>
      <c r="M201" s="31">
        <v>1.26136</v>
      </c>
      <c r="N201" s="31">
        <v>1.43079</v>
      </c>
      <c r="O201" s="31">
        <v>1.4678599999999999</v>
      </c>
      <c r="P201" s="31">
        <v>1.79383</v>
      </c>
      <c r="Q201" s="31">
        <v>1.51664</v>
      </c>
      <c r="R201" s="31">
        <v>1.4823</v>
      </c>
      <c r="S201" s="31">
        <v>254</v>
      </c>
      <c r="T201" s="31">
        <v>314</v>
      </c>
    </row>
    <row r="202" spans="1:26" ht="15.75" x14ac:dyDescent="0.25">
      <c r="A202" s="2">
        <v>3523</v>
      </c>
      <c r="B202" s="2" t="s">
        <v>20</v>
      </c>
      <c r="C202" s="2" t="s">
        <v>42</v>
      </c>
      <c r="D202" s="2">
        <v>2404</v>
      </c>
      <c r="E202" s="2" t="s">
        <v>16</v>
      </c>
      <c r="F202" s="3" t="s">
        <v>21</v>
      </c>
      <c r="G202" s="3" t="s">
        <v>15</v>
      </c>
      <c r="H202" s="3">
        <v>266</v>
      </c>
      <c r="I202" s="29">
        <v>324</v>
      </c>
      <c r="J202" s="29">
        <v>386</v>
      </c>
      <c r="K202" s="3">
        <v>654</v>
      </c>
      <c r="L202" s="31">
        <v>700</v>
      </c>
      <c r="M202" s="31">
        <v>0.96211999999999998</v>
      </c>
      <c r="N202" s="31">
        <v>1.36364</v>
      </c>
      <c r="O202" s="31">
        <v>1.6001300000000001</v>
      </c>
      <c r="P202" s="31">
        <v>2.22403</v>
      </c>
      <c r="Q202" s="31">
        <v>1.78156</v>
      </c>
      <c r="R202" s="31">
        <v>1.7138599999999999</v>
      </c>
      <c r="S202" s="31">
        <v>211</v>
      </c>
      <c r="T202" s="31">
        <v>271</v>
      </c>
    </row>
    <row r="203" spans="1:26" ht="15.75" x14ac:dyDescent="0.25">
      <c r="A203" s="2">
        <v>3534</v>
      </c>
      <c r="B203" s="2" t="s">
        <v>20</v>
      </c>
      <c r="C203" s="2" t="s">
        <v>42</v>
      </c>
      <c r="D203" s="2">
        <v>2404</v>
      </c>
      <c r="E203" s="2" t="s">
        <v>16</v>
      </c>
      <c r="F203" s="3" t="s">
        <v>21</v>
      </c>
      <c r="G203" s="3" t="s">
        <v>15</v>
      </c>
      <c r="H203" s="3">
        <v>257</v>
      </c>
      <c r="I203" s="29">
        <v>296</v>
      </c>
      <c r="J203" s="29">
        <v>360</v>
      </c>
      <c r="K203" s="3">
        <v>601</v>
      </c>
      <c r="L203" s="31">
        <v>703</v>
      </c>
      <c r="M203" s="31">
        <v>0.65529999999999999</v>
      </c>
      <c r="N203" s="31">
        <v>1.1776899999999999</v>
      </c>
      <c r="O203" s="31">
        <v>1.4200900000000001</v>
      </c>
      <c r="P203" s="31">
        <v>2.2970799999999998</v>
      </c>
      <c r="Q203" s="31">
        <v>1.6007499999999999</v>
      </c>
      <c r="R203" s="31">
        <v>1.51448</v>
      </c>
      <c r="S203" s="31">
        <v>254</v>
      </c>
      <c r="T203" s="31">
        <v>314</v>
      </c>
    </row>
    <row r="204" spans="1:26" ht="15.75" x14ac:dyDescent="0.25">
      <c r="A204" s="2">
        <v>3546</v>
      </c>
      <c r="B204" s="2" t="s">
        <v>23</v>
      </c>
      <c r="C204" s="2" t="s">
        <v>25</v>
      </c>
      <c r="D204" s="2">
        <v>2404</v>
      </c>
      <c r="E204" s="2" t="s">
        <v>16</v>
      </c>
      <c r="F204" s="3" t="s">
        <v>21</v>
      </c>
      <c r="G204" s="3" t="s">
        <v>24</v>
      </c>
      <c r="H204" s="3">
        <v>198</v>
      </c>
      <c r="I204" s="29">
        <v>246</v>
      </c>
      <c r="J204" s="29">
        <v>290</v>
      </c>
      <c r="K204" s="3">
        <v>581</v>
      </c>
      <c r="L204" s="31">
        <v>685</v>
      </c>
      <c r="M204" s="31">
        <v>0.79923999999999995</v>
      </c>
      <c r="N204" s="31">
        <v>1.04339</v>
      </c>
      <c r="O204" s="31">
        <v>1.5532699999999999</v>
      </c>
      <c r="P204" s="31">
        <v>1.56656</v>
      </c>
      <c r="Q204" s="31">
        <v>1.73139</v>
      </c>
      <c r="R204" s="31">
        <v>1.7518100000000001</v>
      </c>
      <c r="S204" s="31">
        <v>254</v>
      </c>
      <c r="T204" s="31">
        <v>314</v>
      </c>
    </row>
    <row r="205" spans="1:26" ht="15.75" x14ac:dyDescent="0.25">
      <c r="A205" s="2">
        <v>3553</v>
      </c>
      <c r="B205" s="2" t="s">
        <v>23</v>
      </c>
      <c r="C205" s="2" t="s">
        <v>25</v>
      </c>
      <c r="D205" s="2">
        <v>2404</v>
      </c>
      <c r="E205" s="2" t="s">
        <v>16</v>
      </c>
      <c r="F205" s="3" t="s">
        <v>21</v>
      </c>
      <c r="G205" s="3" t="s">
        <v>24</v>
      </c>
      <c r="H205" s="3">
        <v>223</v>
      </c>
      <c r="I205" s="29">
        <v>280</v>
      </c>
      <c r="J205" s="29">
        <v>338</v>
      </c>
      <c r="K205" s="3">
        <v>627</v>
      </c>
      <c r="L205" s="31">
        <v>672</v>
      </c>
      <c r="M205" s="31">
        <v>0.95833000000000002</v>
      </c>
      <c r="N205" s="31">
        <v>1.3068200000000001</v>
      </c>
      <c r="O205" s="31">
        <v>1.6579999999999999</v>
      </c>
      <c r="P205" s="31">
        <v>2.0535700000000001</v>
      </c>
      <c r="Q205" s="31">
        <v>1.8569599999999999</v>
      </c>
      <c r="R205" s="31">
        <v>1.8268800000000001</v>
      </c>
      <c r="S205" s="31">
        <v>211</v>
      </c>
      <c r="T205" s="31">
        <v>271</v>
      </c>
    </row>
    <row r="206" spans="1:26" ht="15.75" x14ac:dyDescent="0.25">
      <c r="A206" s="2">
        <v>3554</v>
      </c>
      <c r="B206" s="2" t="s">
        <v>20</v>
      </c>
      <c r="C206" s="2" t="s">
        <v>30</v>
      </c>
      <c r="D206" s="2">
        <v>2404</v>
      </c>
      <c r="E206" s="2" t="s">
        <v>16</v>
      </c>
      <c r="F206" s="3" t="s">
        <v>21</v>
      </c>
      <c r="G206" s="3" t="s">
        <v>15</v>
      </c>
      <c r="H206" s="3">
        <v>207</v>
      </c>
      <c r="I206" s="29">
        <v>281</v>
      </c>
      <c r="J206" s="29">
        <v>325</v>
      </c>
      <c r="K206" s="3">
        <v>632</v>
      </c>
      <c r="L206" s="31">
        <v>676</v>
      </c>
      <c r="M206" s="31">
        <v>1.23485</v>
      </c>
      <c r="N206" s="31">
        <v>1.3378099999999999</v>
      </c>
      <c r="O206" s="31">
        <v>1.7309600000000001</v>
      </c>
      <c r="P206" s="31">
        <v>1.55844</v>
      </c>
      <c r="Q206" s="31">
        <v>1.8720399999999999</v>
      </c>
      <c r="R206" s="31">
        <v>1.9200200000000001</v>
      </c>
      <c r="S206" s="31">
        <v>211</v>
      </c>
      <c r="T206" s="31">
        <v>271</v>
      </c>
    </row>
    <row r="207" spans="1:26" ht="15.75" x14ac:dyDescent="0.25">
      <c r="A207" s="2">
        <v>3557</v>
      </c>
      <c r="B207" s="2" t="s">
        <v>23</v>
      </c>
      <c r="C207" s="2" t="s">
        <v>32</v>
      </c>
      <c r="D207" s="2">
        <v>2404</v>
      </c>
      <c r="E207" s="2" t="s">
        <v>16</v>
      </c>
      <c r="F207" s="3" t="s">
        <v>21</v>
      </c>
      <c r="G207" s="3" t="s">
        <v>24</v>
      </c>
      <c r="H207" s="3">
        <v>195</v>
      </c>
      <c r="I207" s="29">
        <v>260</v>
      </c>
      <c r="J207" s="29">
        <v>323</v>
      </c>
      <c r="K207" s="3">
        <v>599</v>
      </c>
      <c r="L207" s="31">
        <v>679</v>
      </c>
      <c r="M207" s="31">
        <v>1.0719700000000001</v>
      </c>
      <c r="N207" s="31">
        <v>1.44628</v>
      </c>
      <c r="O207" s="31">
        <v>1.5387999999999999</v>
      </c>
      <c r="P207" s="31">
        <v>2.24838</v>
      </c>
      <c r="Q207" s="31">
        <v>1.64907</v>
      </c>
      <c r="R207" s="31">
        <v>1.5748200000000001</v>
      </c>
      <c r="S207" s="31">
        <v>254</v>
      </c>
      <c r="T207" s="31">
        <v>314</v>
      </c>
    </row>
    <row r="208" spans="1:26" ht="15.75" x14ac:dyDescent="0.25">
      <c r="A208" s="2">
        <v>3559</v>
      </c>
      <c r="B208" s="2" t="s">
        <v>20</v>
      </c>
      <c r="C208" s="2" t="s">
        <v>31</v>
      </c>
      <c r="D208" s="2">
        <v>2404</v>
      </c>
      <c r="E208" s="2" t="s">
        <v>16</v>
      </c>
      <c r="F208" s="3" t="s">
        <v>21</v>
      </c>
      <c r="G208" s="3" t="s">
        <v>15</v>
      </c>
      <c r="H208" s="3">
        <v>232</v>
      </c>
      <c r="I208" s="29">
        <v>272</v>
      </c>
      <c r="J208" s="29">
        <v>320</v>
      </c>
      <c r="K208" s="3">
        <v>585</v>
      </c>
      <c r="L208" s="31">
        <v>708</v>
      </c>
      <c r="M208" s="31">
        <v>0.66288000000000002</v>
      </c>
      <c r="N208" s="31">
        <v>0.99690000000000001</v>
      </c>
      <c r="O208" s="31">
        <v>1.51563</v>
      </c>
      <c r="P208" s="31">
        <v>1.7126600000000001</v>
      </c>
      <c r="Q208" s="31">
        <v>1.7170700000000001</v>
      </c>
      <c r="R208" s="31">
        <v>1.7176199999999999</v>
      </c>
      <c r="S208" s="31">
        <v>254</v>
      </c>
      <c r="T208" s="31">
        <v>314</v>
      </c>
    </row>
    <row r="209" spans="1:20" ht="15.75" x14ac:dyDescent="0.25">
      <c r="A209" s="2">
        <v>3570</v>
      </c>
      <c r="B209" s="2" t="s">
        <v>23</v>
      </c>
      <c r="C209" s="2" t="s">
        <v>32</v>
      </c>
      <c r="D209" s="2">
        <v>2404</v>
      </c>
      <c r="E209" s="2" t="s">
        <v>16</v>
      </c>
      <c r="F209" s="3" t="s">
        <v>21</v>
      </c>
      <c r="G209" s="3" t="s">
        <v>24</v>
      </c>
      <c r="H209" s="3">
        <v>182</v>
      </c>
      <c r="I209" s="29">
        <v>247</v>
      </c>
      <c r="J209" s="29">
        <v>311</v>
      </c>
      <c r="K209" s="3">
        <v>523</v>
      </c>
      <c r="L209" s="31">
        <v>623</v>
      </c>
      <c r="M209" s="31">
        <v>1.0871200000000001</v>
      </c>
      <c r="N209" s="31">
        <v>1.4669399999999999</v>
      </c>
      <c r="O209" s="31">
        <v>1.4056200000000001</v>
      </c>
      <c r="P209" s="31">
        <v>2.28084</v>
      </c>
      <c r="Q209" s="31">
        <v>1.48085</v>
      </c>
      <c r="R209" s="31">
        <v>1.38174</v>
      </c>
      <c r="S209" s="31">
        <v>254</v>
      </c>
      <c r="T209" s="31">
        <v>314</v>
      </c>
    </row>
    <row r="210" spans="1:20" ht="15.75" x14ac:dyDescent="0.25">
      <c r="A210" s="2">
        <v>3571</v>
      </c>
      <c r="B210" s="2" t="s">
        <v>20</v>
      </c>
      <c r="C210" s="2" t="s">
        <v>31</v>
      </c>
      <c r="D210" s="2">
        <v>2404</v>
      </c>
      <c r="E210" s="2" t="s">
        <v>16</v>
      </c>
      <c r="F210" s="3" t="s">
        <v>21</v>
      </c>
      <c r="G210" s="3" t="s">
        <v>15</v>
      </c>
      <c r="H210" s="3">
        <v>211</v>
      </c>
      <c r="I210" s="29">
        <v>269</v>
      </c>
      <c r="J210" s="29">
        <v>335</v>
      </c>
      <c r="K210" s="3">
        <v>615</v>
      </c>
      <c r="L210" s="31">
        <v>669</v>
      </c>
      <c r="M210" s="31">
        <v>0.96591000000000005</v>
      </c>
      <c r="N210" s="31">
        <v>1.3997900000000001</v>
      </c>
      <c r="O210" s="31">
        <v>1.68903</v>
      </c>
      <c r="P210" s="31">
        <v>2.3295499999999998</v>
      </c>
      <c r="Q210" s="31">
        <v>1.89466</v>
      </c>
      <c r="R210" s="31">
        <v>1.82812</v>
      </c>
      <c r="S210" s="31">
        <v>211</v>
      </c>
      <c r="T210" s="31">
        <v>271</v>
      </c>
    </row>
    <row r="211" spans="1:20" ht="15.75" x14ac:dyDescent="0.25">
      <c r="A211" s="2">
        <v>3579</v>
      </c>
      <c r="B211" s="2" t="s">
        <v>20</v>
      </c>
      <c r="C211" s="2" t="s">
        <v>35</v>
      </c>
      <c r="D211" s="2">
        <v>2404</v>
      </c>
      <c r="E211" s="2" t="s">
        <v>16</v>
      </c>
      <c r="F211" s="3" t="s">
        <v>21</v>
      </c>
      <c r="G211" s="3" t="s">
        <v>15</v>
      </c>
      <c r="H211" s="3">
        <v>155</v>
      </c>
      <c r="I211" s="29">
        <v>311</v>
      </c>
      <c r="J211" s="29">
        <v>278</v>
      </c>
      <c r="K211" s="3" t="s">
        <v>39</v>
      </c>
      <c r="L211" s="31">
        <v>676</v>
      </c>
      <c r="M211" s="31">
        <v>2.6136400000000002</v>
      </c>
      <c r="N211" s="31">
        <v>1.3997900000000001</v>
      </c>
      <c r="O211" s="31">
        <v>1.66039</v>
      </c>
      <c r="P211" s="31">
        <v>-1.2013</v>
      </c>
      <c r="Q211" s="31">
        <v>1.4352199999999999</v>
      </c>
      <c r="R211" s="31">
        <v>1.76187</v>
      </c>
      <c r="S211" s="31">
        <v>254</v>
      </c>
      <c r="T211" s="31">
        <v>314</v>
      </c>
    </row>
    <row r="212" spans="1:20" ht="15.75" x14ac:dyDescent="0.25">
      <c r="A212" s="2">
        <v>3580</v>
      </c>
      <c r="B212" s="2" t="s">
        <v>20</v>
      </c>
      <c r="C212" s="2" t="s">
        <v>35</v>
      </c>
      <c r="D212" s="2">
        <v>2404</v>
      </c>
      <c r="E212" s="2" t="s">
        <v>16</v>
      </c>
      <c r="F212" s="3" t="s">
        <v>21</v>
      </c>
      <c r="G212" s="3" t="s">
        <v>15</v>
      </c>
      <c r="H212" s="3">
        <v>180</v>
      </c>
      <c r="I212" s="29">
        <v>229</v>
      </c>
      <c r="J212" s="29">
        <v>261</v>
      </c>
      <c r="K212" s="3">
        <v>559</v>
      </c>
      <c r="L212" s="31">
        <v>675</v>
      </c>
      <c r="M212" s="31">
        <v>0.82955000000000001</v>
      </c>
      <c r="N212" s="31">
        <v>0.92459000000000002</v>
      </c>
      <c r="O212" s="31">
        <v>1.5778799999999999</v>
      </c>
      <c r="P212" s="31">
        <v>1.12825</v>
      </c>
      <c r="Q212" s="31">
        <v>1.75465</v>
      </c>
      <c r="R212" s="31">
        <v>1.83226</v>
      </c>
      <c r="S212" s="31">
        <v>254</v>
      </c>
      <c r="T212" s="31">
        <v>314</v>
      </c>
    </row>
    <row r="213" spans="1:20" ht="15.75" x14ac:dyDescent="0.25">
      <c r="A213" s="2">
        <v>3581</v>
      </c>
      <c r="B213" s="2" t="s">
        <v>20</v>
      </c>
      <c r="C213" s="2" t="s">
        <v>31</v>
      </c>
      <c r="D213" s="2">
        <v>2404</v>
      </c>
      <c r="E213" s="2" t="s">
        <v>16</v>
      </c>
      <c r="F213" s="3" t="s">
        <v>21</v>
      </c>
      <c r="G213" s="3" t="s">
        <v>15</v>
      </c>
      <c r="H213" s="3">
        <v>202</v>
      </c>
      <c r="I213" s="29">
        <v>271</v>
      </c>
      <c r="J213" s="29">
        <v>314</v>
      </c>
      <c r="K213" s="3">
        <v>626</v>
      </c>
      <c r="L213" s="31">
        <v>673</v>
      </c>
      <c r="M213" s="31">
        <v>1.1477299999999999</v>
      </c>
      <c r="N213" s="31">
        <v>1.2655000000000001</v>
      </c>
      <c r="O213" s="31">
        <v>1.7359899999999999</v>
      </c>
      <c r="P213" s="31">
        <v>1.51786</v>
      </c>
      <c r="Q213" s="31">
        <v>1.90327</v>
      </c>
      <c r="R213" s="31">
        <v>1.96225</v>
      </c>
      <c r="S213" s="31">
        <v>211</v>
      </c>
      <c r="T213" s="31">
        <v>271</v>
      </c>
    </row>
    <row r="214" spans="1:20" ht="15.75" x14ac:dyDescent="0.25">
      <c r="A214" s="2">
        <v>3584</v>
      </c>
      <c r="B214" s="2" t="s">
        <v>20</v>
      </c>
      <c r="C214" s="2" t="s">
        <v>31</v>
      </c>
      <c r="D214" s="2">
        <v>2404</v>
      </c>
      <c r="E214" s="2" t="s">
        <v>16</v>
      </c>
      <c r="F214" s="3" t="s">
        <v>21</v>
      </c>
      <c r="G214" s="3" t="s">
        <v>15</v>
      </c>
      <c r="H214" s="3">
        <v>239</v>
      </c>
      <c r="I214" s="29">
        <v>280</v>
      </c>
      <c r="J214" s="29">
        <v>335</v>
      </c>
      <c r="K214" s="3">
        <v>649</v>
      </c>
      <c r="L214" s="31">
        <v>710</v>
      </c>
      <c r="M214" s="31">
        <v>0.68561000000000005</v>
      </c>
      <c r="N214" s="31">
        <v>1.1002099999999999</v>
      </c>
      <c r="O214" s="31">
        <v>1.7401899999999999</v>
      </c>
      <c r="P214" s="31">
        <v>1.98864</v>
      </c>
      <c r="Q214" s="31">
        <v>2.0400700000000001</v>
      </c>
      <c r="R214" s="31">
        <v>2.0479400000000001</v>
      </c>
      <c r="S214" s="31">
        <v>211</v>
      </c>
      <c r="T214" s="31">
        <v>271</v>
      </c>
    </row>
    <row r="215" spans="1:20" ht="15.75" x14ac:dyDescent="0.25">
      <c r="A215" s="2">
        <v>3593</v>
      </c>
      <c r="B215" s="2" t="s">
        <v>23</v>
      </c>
      <c r="C215" s="2" t="s">
        <v>65</v>
      </c>
      <c r="D215" s="2">
        <v>2404</v>
      </c>
      <c r="E215" s="2" t="s">
        <v>16</v>
      </c>
      <c r="F215" s="3" t="s">
        <v>21</v>
      </c>
      <c r="G215" s="3" t="s">
        <v>24</v>
      </c>
      <c r="H215" s="3">
        <v>173</v>
      </c>
      <c r="I215" s="29">
        <v>237</v>
      </c>
      <c r="J215" s="29">
        <v>298</v>
      </c>
      <c r="K215" s="3">
        <v>537</v>
      </c>
      <c r="L215" s="31">
        <v>588</v>
      </c>
      <c r="M215" s="31">
        <v>1.0719700000000001</v>
      </c>
      <c r="N215" s="31">
        <v>1.4256200000000001</v>
      </c>
      <c r="O215" s="31">
        <v>1.3216600000000001</v>
      </c>
      <c r="P215" s="31">
        <v>2.18344</v>
      </c>
      <c r="Q215" s="31">
        <v>1.3806400000000001</v>
      </c>
      <c r="R215" s="31">
        <v>1.2811699999999999</v>
      </c>
      <c r="S215" s="31">
        <v>254</v>
      </c>
      <c r="T215" s="31">
        <v>314</v>
      </c>
    </row>
    <row r="216" spans="1:20" ht="15.75" x14ac:dyDescent="0.25">
      <c r="A216" s="2">
        <v>3599</v>
      </c>
      <c r="B216" s="2" t="s">
        <v>20</v>
      </c>
      <c r="C216" s="2" t="s">
        <v>31</v>
      </c>
      <c r="D216" s="2">
        <v>2404</v>
      </c>
      <c r="E216" s="2" t="s">
        <v>16</v>
      </c>
      <c r="F216" s="3" t="s">
        <v>21</v>
      </c>
      <c r="G216" s="3" t="s">
        <v>15</v>
      </c>
      <c r="H216" s="3">
        <v>180</v>
      </c>
      <c r="I216" s="29">
        <v>245</v>
      </c>
      <c r="J216" s="29">
        <v>300</v>
      </c>
      <c r="K216" s="3">
        <v>568</v>
      </c>
      <c r="L216" s="31">
        <v>637</v>
      </c>
      <c r="M216" s="31">
        <v>1.0984799999999999</v>
      </c>
      <c r="N216" s="31">
        <v>1.36364</v>
      </c>
      <c r="O216" s="31">
        <v>1.45628</v>
      </c>
      <c r="P216" s="31">
        <v>1.9318200000000001</v>
      </c>
      <c r="Q216" s="31">
        <v>1.5407999999999999</v>
      </c>
      <c r="R216" s="31">
        <v>1.4923599999999999</v>
      </c>
      <c r="S216" s="31">
        <v>254</v>
      </c>
      <c r="T216" s="31">
        <v>314</v>
      </c>
    </row>
    <row r="217" spans="1:20" ht="15.75" x14ac:dyDescent="0.25">
      <c r="A217" s="2">
        <v>3603</v>
      </c>
      <c r="B217" s="2" t="s">
        <v>20</v>
      </c>
      <c r="C217" s="2" t="s">
        <v>30</v>
      </c>
      <c r="D217" s="2">
        <v>2404</v>
      </c>
      <c r="E217" s="2" t="s">
        <v>16</v>
      </c>
      <c r="F217" s="3" t="s">
        <v>21</v>
      </c>
      <c r="G217" s="3" t="s">
        <v>15</v>
      </c>
      <c r="H217" s="3">
        <v>243</v>
      </c>
      <c r="I217" s="29">
        <v>285</v>
      </c>
      <c r="J217" s="29">
        <v>334</v>
      </c>
      <c r="K217" s="3">
        <v>617</v>
      </c>
      <c r="L217" s="31">
        <v>671</v>
      </c>
      <c r="M217" s="31">
        <v>0.70076000000000005</v>
      </c>
      <c r="N217" s="31">
        <v>1.02789</v>
      </c>
      <c r="O217" s="31">
        <v>1.57917</v>
      </c>
      <c r="P217" s="31">
        <v>1.7289000000000001</v>
      </c>
      <c r="Q217" s="31">
        <v>1.8289500000000001</v>
      </c>
      <c r="R217" s="31">
        <v>1.84426</v>
      </c>
      <c r="S217" s="31">
        <v>211</v>
      </c>
      <c r="T217" s="31">
        <v>271</v>
      </c>
    </row>
    <row r="218" spans="1:20" ht="15.75" x14ac:dyDescent="0.25">
      <c r="A218" s="2">
        <v>3607</v>
      </c>
      <c r="B218" s="2" t="s">
        <v>20</v>
      </c>
      <c r="C218" s="2" t="s">
        <v>30</v>
      </c>
      <c r="D218" s="2">
        <v>2404</v>
      </c>
      <c r="E218" s="2" t="s">
        <v>16</v>
      </c>
      <c r="F218" s="3" t="s">
        <v>21</v>
      </c>
      <c r="G218" s="3" t="s">
        <v>15</v>
      </c>
      <c r="H218" s="3">
        <v>223</v>
      </c>
      <c r="I218" s="29">
        <v>268</v>
      </c>
      <c r="J218" s="29">
        <v>337</v>
      </c>
      <c r="K218" s="3">
        <v>633</v>
      </c>
      <c r="L218" s="31">
        <v>688</v>
      </c>
      <c r="M218" s="31">
        <v>0.75378999999999996</v>
      </c>
      <c r="N218" s="31">
        <v>1.30165</v>
      </c>
      <c r="O218" s="31">
        <v>1.71587</v>
      </c>
      <c r="P218" s="31">
        <v>2.4756499999999999</v>
      </c>
      <c r="Q218" s="31">
        <v>1.9894400000000001</v>
      </c>
      <c r="R218" s="31">
        <v>1.9150499999999999</v>
      </c>
      <c r="S218" s="31">
        <v>211</v>
      </c>
      <c r="T218" s="31">
        <v>271</v>
      </c>
    </row>
    <row r="219" spans="1:20" ht="15.75" x14ac:dyDescent="0.25">
      <c r="A219" s="2">
        <v>3608</v>
      </c>
      <c r="B219" s="2" t="s">
        <v>20</v>
      </c>
      <c r="C219" s="2" t="s">
        <v>31</v>
      </c>
      <c r="D219" s="2">
        <v>2404</v>
      </c>
      <c r="E219" s="2" t="s">
        <v>16</v>
      </c>
      <c r="F219" s="3" t="s">
        <v>21</v>
      </c>
      <c r="G219" s="3" t="s">
        <v>15</v>
      </c>
      <c r="H219" s="3">
        <v>202</v>
      </c>
      <c r="I219" s="29">
        <v>260</v>
      </c>
      <c r="J219" s="29">
        <v>324</v>
      </c>
      <c r="K219" s="3">
        <v>624</v>
      </c>
      <c r="L219" s="31">
        <v>672</v>
      </c>
      <c r="M219" s="31">
        <v>0.96591000000000005</v>
      </c>
      <c r="N219" s="31">
        <v>1.37913</v>
      </c>
      <c r="O219" s="31">
        <v>1.73264</v>
      </c>
      <c r="P219" s="31">
        <v>2.2646099999999998</v>
      </c>
      <c r="Q219" s="31">
        <v>1.9506699999999999</v>
      </c>
      <c r="R219" s="31">
        <v>1.90263</v>
      </c>
      <c r="S219" s="31">
        <v>211</v>
      </c>
      <c r="T219" s="31">
        <v>271</v>
      </c>
    </row>
    <row r="220" spans="1:20" ht="15.75" x14ac:dyDescent="0.25">
      <c r="A220" s="2">
        <v>3609</v>
      </c>
      <c r="B220" s="2" t="s">
        <v>20</v>
      </c>
      <c r="C220" s="2" t="s">
        <v>42</v>
      </c>
      <c r="D220" s="2">
        <v>2404</v>
      </c>
      <c r="E220" s="2" t="s">
        <v>16</v>
      </c>
      <c r="F220" s="3" t="s">
        <v>21</v>
      </c>
      <c r="G220" s="3" t="s">
        <v>15</v>
      </c>
      <c r="H220" s="3">
        <v>223</v>
      </c>
      <c r="I220" s="29">
        <v>298</v>
      </c>
      <c r="J220" s="29">
        <v>361</v>
      </c>
      <c r="K220" s="3">
        <v>626</v>
      </c>
      <c r="L220" s="31">
        <v>603</v>
      </c>
      <c r="M220" s="31">
        <v>1.25</v>
      </c>
      <c r="N220" s="31">
        <v>1.57541</v>
      </c>
      <c r="O220" s="31">
        <v>1.4013800000000001</v>
      </c>
      <c r="P220" s="31">
        <v>2.2727300000000001</v>
      </c>
      <c r="Q220" s="31">
        <v>1.44442</v>
      </c>
      <c r="R220" s="31">
        <v>1.31769</v>
      </c>
      <c r="S220" s="31">
        <v>211</v>
      </c>
      <c r="T220" s="31">
        <v>271</v>
      </c>
    </row>
    <row r="221" spans="1:20" ht="15.75" x14ac:dyDescent="0.25">
      <c r="A221" s="2">
        <v>3610</v>
      </c>
      <c r="B221" s="2" t="s">
        <v>23</v>
      </c>
      <c r="C221" s="2" t="s">
        <v>22</v>
      </c>
      <c r="D221" s="2">
        <v>2404</v>
      </c>
      <c r="E221" s="2" t="s">
        <v>16</v>
      </c>
      <c r="F221" s="3" t="s">
        <v>21</v>
      </c>
      <c r="G221" s="3" t="s">
        <v>24</v>
      </c>
      <c r="H221" s="3">
        <v>195</v>
      </c>
      <c r="I221" s="29">
        <v>264</v>
      </c>
      <c r="J221" s="29">
        <v>317</v>
      </c>
      <c r="K221" s="3">
        <v>548</v>
      </c>
      <c r="L221" s="31">
        <v>646</v>
      </c>
      <c r="M221" s="31">
        <v>1.1477299999999999</v>
      </c>
      <c r="N221" s="31">
        <v>1.37913</v>
      </c>
      <c r="O221" s="31">
        <v>1.4345699999999999</v>
      </c>
      <c r="P221" s="31">
        <v>1.875</v>
      </c>
      <c r="Q221" s="31">
        <v>1.5023299999999999</v>
      </c>
      <c r="R221" s="31">
        <v>1.4561500000000001</v>
      </c>
      <c r="S221" s="31">
        <v>254</v>
      </c>
      <c r="T221" s="31">
        <v>314</v>
      </c>
    </row>
    <row r="222" spans="1:20" ht="15.75" x14ac:dyDescent="0.25">
      <c r="A222" s="2">
        <v>3617</v>
      </c>
      <c r="B222" s="2" t="s">
        <v>20</v>
      </c>
      <c r="C222" s="2" t="s">
        <v>35</v>
      </c>
      <c r="D222" s="2">
        <v>2404</v>
      </c>
      <c r="E222" s="2" t="s">
        <v>16</v>
      </c>
      <c r="F222" s="3" t="s">
        <v>21</v>
      </c>
      <c r="G222" s="3" t="s">
        <v>15</v>
      </c>
      <c r="H222" s="3">
        <v>168</v>
      </c>
      <c r="I222" s="29">
        <v>209</v>
      </c>
      <c r="J222" s="29">
        <v>264</v>
      </c>
      <c r="K222" s="3">
        <v>492</v>
      </c>
      <c r="L222" s="31">
        <v>595</v>
      </c>
      <c r="M222" s="31">
        <v>0.67423999999999995</v>
      </c>
      <c r="N222" s="31">
        <v>1.0847100000000001</v>
      </c>
      <c r="O222" s="31">
        <v>1.3607400000000001</v>
      </c>
      <c r="P222" s="31">
        <v>1.9642900000000001</v>
      </c>
      <c r="Q222" s="31">
        <v>1.52291</v>
      </c>
      <c r="R222" s="31">
        <v>1.4682200000000001</v>
      </c>
      <c r="S222" s="31">
        <v>254</v>
      </c>
      <c r="T222" s="31">
        <v>314</v>
      </c>
    </row>
    <row r="223" spans="1:20" ht="15.75" x14ac:dyDescent="0.25">
      <c r="A223" s="2">
        <v>3623</v>
      </c>
      <c r="B223" s="2" t="s">
        <v>20</v>
      </c>
      <c r="C223" s="2" t="s">
        <v>30</v>
      </c>
      <c r="D223" s="2">
        <v>2404</v>
      </c>
      <c r="E223" s="2" t="s">
        <v>16</v>
      </c>
      <c r="F223" s="3" t="s">
        <v>21</v>
      </c>
      <c r="G223" s="3" t="s">
        <v>15</v>
      </c>
      <c r="H223" s="3">
        <v>211</v>
      </c>
      <c r="I223" s="29">
        <v>282</v>
      </c>
      <c r="J223" s="29">
        <v>335</v>
      </c>
      <c r="K223" s="3">
        <v>633</v>
      </c>
      <c r="L223" s="31">
        <v>638</v>
      </c>
      <c r="M223" s="31">
        <v>1.1818200000000001</v>
      </c>
      <c r="N223" s="31">
        <v>1.40496</v>
      </c>
      <c r="O223" s="31">
        <v>1.57497</v>
      </c>
      <c r="P223" s="31">
        <v>1.8831199999999999</v>
      </c>
      <c r="Q223" s="31">
        <v>1.6867700000000001</v>
      </c>
      <c r="R223" s="31">
        <v>1.65673</v>
      </c>
      <c r="S223" s="31">
        <v>211</v>
      </c>
      <c r="T223" s="31">
        <v>271</v>
      </c>
    </row>
    <row r="224" spans="1:20" ht="15.75" x14ac:dyDescent="0.25">
      <c r="A224" s="2">
        <v>3651</v>
      </c>
      <c r="B224" s="2" t="s">
        <v>20</v>
      </c>
      <c r="C224" s="2" t="s">
        <v>42</v>
      </c>
      <c r="D224" s="2">
        <v>2404</v>
      </c>
      <c r="E224" s="2" t="s">
        <v>16</v>
      </c>
      <c r="F224" s="3" t="s">
        <v>21</v>
      </c>
      <c r="G224" s="3" t="s">
        <v>15</v>
      </c>
      <c r="H224" s="3">
        <v>182</v>
      </c>
      <c r="I224" s="29">
        <v>230</v>
      </c>
      <c r="J224" s="29">
        <v>297</v>
      </c>
      <c r="K224" s="3">
        <v>587</v>
      </c>
      <c r="L224" s="31">
        <v>666</v>
      </c>
      <c r="M224" s="31">
        <v>0.80303000000000002</v>
      </c>
      <c r="N224" s="31">
        <v>1.3068200000000001</v>
      </c>
      <c r="O224" s="31">
        <v>1.54314</v>
      </c>
      <c r="P224" s="31">
        <v>2.3863599999999998</v>
      </c>
      <c r="Q224" s="31">
        <v>1.71797</v>
      </c>
      <c r="R224" s="31">
        <v>1.6351599999999999</v>
      </c>
      <c r="S224" s="31">
        <v>254</v>
      </c>
      <c r="T224" s="31">
        <v>314</v>
      </c>
    </row>
    <row r="225" spans="1:20" ht="15.75" x14ac:dyDescent="0.25">
      <c r="A225" s="2">
        <v>3653</v>
      </c>
      <c r="B225" s="2" t="s">
        <v>20</v>
      </c>
      <c r="C225" s="2" t="s">
        <v>42</v>
      </c>
      <c r="D225" s="2">
        <v>2404</v>
      </c>
      <c r="E225" s="2" t="s">
        <v>16</v>
      </c>
      <c r="F225" s="3" t="s">
        <v>21</v>
      </c>
      <c r="G225" s="3" t="s">
        <v>15</v>
      </c>
      <c r="H225" s="3">
        <v>230</v>
      </c>
      <c r="I225" s="29">
        <v>265</v>
      </c>
      <c r="J225" s="29">
        <v>315</v>
      </c>
      <c r="K225" s="3">
        <v>643</v>
      </c>
      <c r="L225" s="31">
        <v>685</v>
      </c>
      <c r="M225" s="31">
        <v>0.58333000000000002</v>
      </c>
      <c r="N225" s="31">
        <v>0.97106999999999999</v>
      </c>
      <c r="O225" s="31">
        <v>1.6806399999999999</v>
      </c>
      <c r="P225" s="31">
        <v>1.8019499999999999</v>
      </c>
      <c r="Q225" s="31">
        <v>1.99268</v>
      </c>
      <c r="R225" s="31">
        <v>2.0218600000000002</v>
      </c>
      <c r="S225" s="31">
        <v>211</v>
      </c>
      <c r="T225" s="31">
        <v>271</v>
      </c>
    </row>
    <row r="226" spans="1:20" ht="15.75" x14ac:dyDescent="0.25">
      <c r="A226" s="2">
        <v>3655</v>
      </c>
      <c r="B226" s="2" t="s">
        <v>20</v>
      </c>
      <c r="C226" s="2" t="s">
        <v>42</v>
      </c>
      <c r="D226" s="2">
        <v>2404</v>
      </c>
      <c r="E226" s="2" t="s">
        <v>16</v>
      </c>
      <c r="F226" s="3" t="s">
        <v>21</v>
      </c>
      <c r="G226" s="3" t="s">
        <v>15</v>
      </c>
      <c r="H226" s="3">
        <v>202</v>
      </c>
      <c r="I226" s="29">
        <v>251</v>
      </c>
      <c r="J226" s="29">
        <v>324</v>
      </c>
      <c r="K226" s="3">
        <v>586</v>
      </c>
      <c r="L226" s="31">
        <v>690</v>
      </c>
      <c r="M226" s="31">
        <v>0.81061000000000005</v>
      </c>
      <c r="N226" s="31">
        <v>1.3843000000000001</v>
      </c>
      <c r="O226" s="31">
        <v>1.5547200000000001</v>
      </c>
      <c r="P226" s="31">
        <v>2.6136400000000002</v>
      </c>
      <c r="Q226" s="31">
        <v>1.7304900000000001</v>
      </c>
      <c r="R226" s="31">
        <v>1.6210800000000001</v>
      </c>
      <c r="S226" s="31">
        <v>254</v>
      </c>
      <c r="T226" s="31">
        <v>314</v>
      </c>
    </row>
    <row r="227" spans="1:20" ht="15.75" x14ac:dyDescent="0.25">
      <c r="A227" s="2">
        <v>3660</v>
      </c>
      <c r="B227" s="2" t="s">
        <v>23</v>
      </c>
      <c r="C227" s="2" t="s">
        <v>22</v>
      </c>
      <c r="D227" s="2">
        <v>2404</v>
      </c>
      <c r="E227" s="2" t="s">
        <v>16</v>
      </c>
      <c r="F227" s="3" t="s">
        <v>21</v>
      </c>
      <c r="G227" s="3" t="s">
        <v>24</v>
      </c>
      <c r="H227" s="3">
        <v>225</v>
      </c>
      <c r="I227" s="29">
        <v>263</v>
      </c>
      <c r="J227" s="29">
        <v>308</v>
      </c>
      <c r="K227" s="3">
        <v>495</v>
      </c>
      <c r="L227" s="31">
        <v>651</v>
      </c>
      <c r="M227" s="31">
        <v>0.625</v>
      </c>
      <c r="N227" s="31">
        <v>0.94008000000000003</v>
      </c>
      <c r="O227" s="31">
        <v>1.3564000000000001</v>
      </c>
      <c r="P227" s="31">
        <v>1.6152599999999999</v>
      </c>
      <c r="Q227" s="31">
        <v>1.5291699999999999</v>
      </c>
      <c r="R227" s="31">
        <v>1.5185</v>
      </c>
      <c r="S227" s="31">
        <v>254</v>
      </c>
      <c r="T227" s="31">
        <v>314</v>
      </c>
    </row>
    <row r="228" spans="1:20" ht="15.75" x14ac:dyDescent="0.25">
      <c r="A228" s="2">
        <v>3662</v>
      </c>
      <c r="B228" s="2" t="s">
        <v>23</v>
      </c>
      <c r="C228" s="2" t="s">
        <v>22</v>
      </c>
      <c r="D228" s="2">
        <v>2404</v>
      </c>
      <c r="E228" s="2" t="s">
        <v>16</v>
      </c>
      <c r="F228" s="3" t="s">
        <v>21</v>
      </c>
      <c r="G228" s="3" t="s">
        <v>24</v>
      </c>
      <c r="H228" s="3">
        <v>145</v>
      </c>
      <c r="I228" s="29">
        <v>215</v>
      </c>
      <c r="J228" s="29">
        <v>259</v>
      </c>
      <c r="K228" s="3">
        <v>492</v>
      </c>
      <c r="L228" s="31">
        <v>587</v>
      </c>
      <c r="M228" s="31">
        <v>1.1515200000000001</v>
      </c>
      <c r="N228" s="31">
        <v>1.28616</v>
      </c>
      <c r="O228" s="31">
        <v>1.4056200000000001</v>
      </c>
      <c r="P228" s="31">
        <v>1.5746800000000001</v>
      </c>
      <c r="Q228" s="31">
        <v>1.4656400000000001</v>
      </c>
      <c r="R228" s="31">
        <v>1.4521299999999999</v>
      </c>
      <c r="S228" s="31">
        <v>254</v>
      </c>
      <c r="T228" s="31">
        <v>314</v>
      </c>
    </row>
    <row r="229" spans="1:20" ht="15.75" x14ac:dyDescent="0.25">
      <c r="A229" s="2">
        <v>3677</v>
      </c>
      <c r="B229" s="2" t="s">
        <v>27</v>
      </c>
      <c r="C229" s="2" t="s">
        <v>33</v>
      </c>
      <c r="D229" s="2">
        <v>2404</v>
      </c>
      <c r="E229" s="2" t="s">
        <v>16</v>
      </c>
      <c r="F229" s="3" t="s">
        <v>21</v>
      </c>
      <c r="G229" s="3" t="s">
        <v>24</v>
      </c>
      <c r="H229" s="3">
        <v>164</v>
      </c>
      <c r="I229" s="29">
        <v>218</v>
      </c>
      <c r="J229" s="29">
        <v>271</v>
      </c>
      <c r="K229" s="3">
        <v>520</v>
      </c>
      <c r="L229" s="31">
        <v>610</v>
      </c>
      <c r="M229" s="31">
        <v>0.91288000000000002</v>
      </c>
      <c r="N229" s="31">
        <v>1.2190099999999999</v>
      </c>
      <c r="O229" s="31">
        <v>1.42154</v>
      </c>
      <c r="P229" s="31">
        <v>1.875</v>
      </c>
      <c r="Q229" s="31">
        <v>1.5417000000000001</v>
      </c>
      <c r="R229" s="31">
        <v>1.5004</v>
      </c>
      <c r="S229" s="31">
        <v>254</v>
      </c>
      <c r="T229" s="31">
        <v>314</v>
      </c>
    </row>
    <row r="230" spans="1:20" ht="15.75" x14ac:dyDescent="0.25">
      <c r="A230" s="2">
        <v>3678</v>
      </c>
      <c r="B230" s="2" t="s">
        <v>20</v>
      </c>
      <c r="C230" s="2" t="s">
        <v>42</v>
      </c>
      <c r="D230" s="2">
        <v>2404</v>
      </c>
      <c r="E230" s="2" t="s">
        <v>16</v>
      </c>
      <c r="F230" s="3" t="s">
        <v>21</v>
      </c>
      <c r="G230" s="3" t="s">
        <v>24</v>
      </c>
      <c r="H230" s="3">
        <v>175</v>
      </c>
      <c r="I230" s="29">
        <v>234</v>
      </c>
      <c r="J230" s="29">
        <v>281</v>
      </c>
      <c r="K230" s="3">
        <v>528</v>
      </c>
      <c r="L230" s="31">
        <v>579</v>
      </c>
      <c r="M230" s="31">
        <v>0.98863999999999996</v>
      </c>
      <c r="N230" s="31">
        <v>1.20868</v>
      </c>
      <c r="O230" s="31">
        <v>1.28691</v>
      </c>
      <c r="P230" s="31">
        <v>1.6801900000000001</v>
      </c>
      <c r="Q230" s="31">
        <v>1.35737</v>
      </c>
      <c r="R230" s="31">
        <v>1.31738</v>
      </c>
      <c r="S230" s="31">
        <v>254</v>
      </c>
      <c r="T230" s="31">
        <v>314</v>
      </c>
    </row>
  </sheetData>
  <sortState xmlns:xlrd2="http://schemas.microsoft.com/office/spreadsheetml/2017/richdata2" ref="A2:T230">
    <sortCondition ref="D2:D230"/>
    <sortCondition ref="F2:F23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C567-2513-4939-831D-D13FC5400333}">
  <dimension ref="A1:G1380"/>
  <sheetViews>
    <sheetView zoomScaleNormal="100" workbookViewId="0">
      <selection activeCell="E1350" sqref="E1350"/>
    </sheetView>
  </sheetViews>
  <sheetFormatPr defaultRowHeight="15" x14ac:dyDescent="0.25"/>
  <sheetData>
    <row r="1" spans="1:7" ht="15.75" x14ac:dyDescent="0.25">
      <c r="A1" s="33" t="s">
        <v>0</v>
      </c>
      <c r="B1" s="33" t="s">
        <v>8</v>
      </c>
      <c r="C1" s="33" t="s">
        <v>106</v>
      </c>
      <c r="D1" s="33" t="s">
        <v>49</v>
      </c>
      <c r="E1" s="33" t="s">
        <v>50</v>
      </c>
      <c r="F1" s="33" t="s">
        <v>6</v>
      </c>
      <c r="G1" s="34" t="s">
        <v>128</v>
      </c>
    </row>
    <row r="2" spans="1:7" ht="15.75" x14ac:dyDescent="0.25">
      <c r="A2" s="33">
        <v>2002</v>
      </c>
      <c r="B2" s="33">
        <v>2214</v>
      </c>
      <c r="C2" s="33" t="s">
        <v>14</v>
      </c>
      <c r="D2" s="33" t="s">
        <v>15</v>
      </c>
      <c r="E2" s="33" t="s">
        <v>15</v>
      </c>
      <c r="F2" s="33">
        <v>0</v>
      </c>
      <c r="G2" s="34">
        <v>355.90909090000002</v>
      </c>
    </row>
    <row r="3" spans="1:7" ht="15.75" x14ac:dyDescent="0.25">
      <c r="A3" s="33">
        <v>2002</v>
      </c>
      <c r="B3" s="33">
        <v>2214</v>
      </c>
      <c r="C3" s="33" t="s">
        <v>14</v>
      </c>
      <c r="D3" s="33" t="s">
        <v>15</v>
      </c>
      <c r="E3" s="33" t="s">
        <v>15</v>
      </c>
      <c r="F3" s="33">
        <v>14</v>
      </c>
      <c r="G3" s="34">
        <v>383.63636359999998</v>
      </c>
    </row>
    <row r="4" spans="1:7" ht="15.75" x14ac:dyDescent="0.25">
      <c r="A4" s="33">
        <v>2002</v>
      </c>
      <c r="B4" s="33">
        <v>2214</v>
      </c>
      <c r="C4" s="33" t="s">
        <v>14</v>
      </c>
      <c r="D4" s="33" t="s">
        <v>15</v>
      </c>
      <c r="E4" s="33" t="s">
        <v>15</v>
      </c>
      <c r="F4" s="33">
        <v>28</v>
      </c>
      <c r="G4" s="34">
        <v>414.09090909999998</v>
      </c>
    </row>
    <row r="5" spans="1:7" ht="15.75" x14ac:dyDescent="0.25">
      <c r="A5" s="33">
        <v>2002</v>
      </c>
      <c r="B5" s="33">
        <v>2214</v>
      </c>
      <c r="C5" s="33" t="s">
        <v>14</v>
      </c>
      <c r="D5" s="33" t="s">
        <v>15</v>
      </c>
      <c r="E5" s="33" t="s">
        <v>15</v>
      </c>
      <c r="F5" s="33">
        <v>42</v>
      </c>
      <c r="G5" s="34">
        <v>441.81818179999999</v>
      </c>
    </row>
    <row r="6" spans="1:7" ht="15.75" x14ac:dyDescent="0.25">
      <c r="A6" s="33">
        <v>2002</v>
      </c>
      <c r="B6" s="33">
        <v>2214</v>
      </c>
      <c r="C6" s="33" t="s">
        <v>14</v>
      </c>
      <c r="D6" s="33" t="s">
        <v>15</v>
      </c>
      <c r="E6" s="33" t="s">
        <v>15</v>
      </c>
      <c r="F6" s="33">
        <v>56</v>
      </c>
      <c r="G6" s="34">
        <v>460.45454549999999</v>
      </c>
    </row>
    <row r="7" spans="1:7" ht="15.75" x14ac:dyDescent="0.25">
      <c r="A7" s="33">
        <v>2002</v>
      </c>
      <c r="B7" s="33">
        <v>2214</v>
      </c>
      <c r="C7" s="33" t="s">
        <v>14</v>
      </c>
      <c r="D7" s="33" t="s">
        <v>15</v>
      </c>
      <c r="E7" s="33" t="s">
        <v>15</v>
      </c>
      <c r="F7" s="33">
        <v>70</v>
      </c>
      <c r="G7" s="35">
        <v>485</v>
      </c>
    </row>
    <row r="8" spans="1:7" ht="15.75" x14ac:dyDescent="0.25">
      <c r="A8" s="33">
        <v>2003</v>
      </c>
      <c r="B8" s="33">
        <v>2214</v>
      </c>
      <c r="C8" s="33" t="s">
        <v>23</v>
      </c>
      <c r="D8" s="33" t="s">
        <v>21</v>
      </c>
      <c r="E8" s="33" t="s">
        <v>24</v>
      </c>
      <c r="F8" s="33">
        <v>0</v>
      </c>
      <c r="G8" s="34">
        <v>324.09090909999998</v>
      </c>
    </row>
    <row r="9" spans="1:7" ht="15.75" x14ac:dyDescent="0.25">
      <c r="A9" s="33">
        <v>2003</v>
      </c>
      <c r="B9" s="33">
        <v>2214</v>
      </c>
      <c r="C9" s="33" t="s">
        <v>23</v>
      </c>
      <c r="D9" s="33" t="s">
        <v>21</v>
      </c>
      <c r="E9" s="33" t="s">
        <v>24</v>
      </c>
      <c r="F9" s="33">
        <v>14</v>
      </c>
      <c r="G9" s="34">
        <v>353.18181820000001</v>
      </c>
    </row>
    <row r="10" spans="1:7" ht="15.75" x14ac:dyDescent="0.25">
      <c r="A10" s="33">
        <v>2003</v>
      </c>
      <c r="B10" s="33">
        <v>2214</v>
      </c>
      <c r="C10" s="33" t="s">
        <v>23</v>
      </c>
      <c r="D10" s="33" t="s">
        <v>21</v>
      </c>
      <c r="E10" s="33" t="s">
        <v>24</v>
      </c>
      <c r="F10" s="33">
        <v>28</v>
      </c>
      <c r="G10" s="34">
        <v>389.09090909999998</v>
      </c>
    </row>
    <row r="11" spans="1:7" ht="15.75" x14ac:dyDescent="0.25">
      <c r="A11" s="33">
        <v>2003</v>
      </c>
      <c r="B11" s="33">
        <v>2214</v>
      </c>
      <c r="C11" s="33" t="s">
        <v>23</v>
      </c>
      <c r="D11" s="33" t="s">
        <v>21</v>
      </c>
      <c r="E11" s="33" t="s">
        <v>24</v>
      </c>
      <c r="F11" s="33">
        <v>42</v>
      </c>
      <c r="G11" s="34">
        <v>404.09090909999998</v>
      </c>
    </row>
    <row r="12" spans="1:7" ht="15.75" x14ac:dyDescent="0.25">
      <c r="A12" s="33">
        <v>2003</v>
      </c>
      <c r="B12" s="33">
        <v>2214</v>
      </c>
      <c r="C12" s="33" t="s">
        <v>23</v>
      </c>
      <c r="D12" s="33" t="s">
        <v>21</v>
      </c>
      <c r="E12" s="33" t="s">
        <v>24</v>
      </c>
      <c r="F12" s="33">
        <v>56</v>
      </c>
      <c r="G12" s="34">
        <v>428.63636359999998</v>
      </c>
    </row>
    <row r="13" spans="1:7" ht="15.75" x14ac:dyDescent="0.25">
      <c r="A13" s="33">
        <v>2003</v>
      </c>
      <c r="B13" s="33">
        <v>2214</v>
      </c>
      <c r="C13" s="33" t="s">
        <v>23</v>
      </c>
      <c r="D13" s="33" t="s">
        <v>21</v>
      </c>
      <c r="E13" s="33" t="s">
        <v>24</v>
      </c>
      <c r="F13" s="33">
        <v>70</v>
      </c>
      <c r="G13" s="35">
        <v>452.27272729999999</v>
      </c>
    </row>
    <row r="14" spans="1:7" ht="15.75" x14ac:dyDescent="0.25">
      <c r="A14" s="33">
        <v>2006</v>
      </c>
      <c r="B14" s="33">
        <v>2214</v>
      </c>
      <c r="C14" s="33" t="s">
        <v>20</v>
      </c>
      <c r="D14" s="33" t="s">
        <v>21</v>
      </c>
      <c r="E14" s="33" t="s">
        <v>15</v>
      </c>
      <c r="F14" s="33">
        <v>0</v>
      </c>
      <c r="G14" s="34">
        <v>391.81818179999999</v>
      </c>
    </row>
    <row r="15" spans="1:7" ht="15.75" x14ac:dyDescent="0.25">
      <c r="A15" s="33">
        <v>2006</v>
      </c>
      <c r="B15" s="33">
        <v>2214</v>
      </c>
      <c r="C15" s="33" t="s">
        <v>20</v>
      </c>
      <c r="D15" s="33" t="s">
        <v>21</v>
      </c>
      <c r="E15" s="33" t="s">
        <v>15</v>
      </c>
      <c r="F15" s="33">
        <v>14</v>
      </c>
      <c r="G15" s="34">
        <v>427.72727270000001</v>
      </c>
    </row>
    <row r="16" spans="1:7" ht="15.75" x14ac:dyDescent="0.25">
      <c r="A16" s="33">
        <v>2006</v>
      </c>
      <c r="B16" s="33">
        <v>2214</v>
      </c>
      <c r="C16" s="33" t="s">
        <v>20</v>
      </c>
      <c r="D16" s="33" t="s">
        <v>21</v>
      </c>
      <c r="E16" s="33" t="s">
        <v>15</v>
      </c>
      <c r="F16" s="33">
        <v>28</v>
      </c>
      <c r="G16" s="34">
        <v>465.90909090000002</v>
      </c>
    </row>
    <row r="17" spans="1:7" ht="15.75" x14ac:dyDescent="0.25">
      <c r="A17" s="33">
        <v>2006</v>
      </c>
      <c r="B17" s="33">
        <v>2214</v>
      </c>
      <c r="C17" s="33" t="s">
        <v>20</v>
      </c>
      <c r="D17" s="33" t="s">
        <v>21</v>
      </c>
      <c r="E17" s="33" t="s">
        <v>15</v>
      </c>
      <c r="F17" s="33">
        <v>42</v>
      </c>
      <c r="G17" s="34">
        <v>481.36363640000002</v>
      </c>
    </row>
    <row r="18" spans="1:7" ht="15.75" x14ac:dyDescent="0.25">
      <c r="A18" s="33">
        <v>2006</v>
      </c>
      <c r="B18" s="33">
        <v>2214</v>
      </c>
      <c r="C18" s="33" t="s">
        <v>20</v>
      </c>
      <c r="D18" s="33" t="s">
        <v>21</v>
      </c>
      <c r="E18" s="33" t="s">
        <v>15</v>
      </c>
      <c r="F18" s="33">
        <v>56</v>
      </c>
      <c r="G18" s="34">
        <v>508.18181820000001</v>
      </c>
    </row>
    <row r="19" spans="1:7" ht="15.75" x14ac:dyDescent="0.25">
      <c r="A19" s="33">
        <v>2006</v>
      </c>
      <c r="B19" s="33">
        <v>2214</v>
      </c>
      <c r="C19" s="33" t="s">
        <v>20</v>
      </c>
      <c r="D19" s="33" t="s">
        <v>21</v>
      </c>
      <c r="E19" s="33" t="s">
        <v>15</v>
      </c>
      <c r="F19" s="33">
        <v>70</v>
      </c>
      <c r="G19" s="35">
        <v>517.27272730000004</v>
      </c>
    </row>
    <row r="20" spans="1:7" ht="15.75" x14ac:dyDescent="0.25">
      <c r="A20" s="33">
        <v>2015</v>
      </c>
      <c r="B20" s="33">
        <v>2214</v>
      </c>
      <c r="C20" s="33" t="s">
        <v>23</v>
      </c>
      <c r="D20" s="33" t="s">
        <v>21</v>
      </c>
      <c r="E20" s="33" t="s">
        <v>24</v>
      </c>
      <c r="F20" s="33">
        <v>0</v>
      </c>
      <c r="G20" s="34">
        <v>365.45454549999999</v>
      </c>
    </row>
    <row r="21" spans="1:7" ht="15.75" x14ac:dyDescent="0.25">
      <c r="A21" s="33">
        <v>2015</v>
      </c>
      <c r="B21" s="33">
        <v>2214</v>
      </c>
      <c r="C21" s="33" t="s">
        <v>23</v>
      </c>
      <c r="D21" s="33" t="s">
        <v>21</v>
      </c>
      <c r="E21" s="33" t="s">
        <v>24</v>
      </c>
      <c r="F21" s="33">
        <v>14</v>
      </c>
      <c r="G21" s="34">
        <v>416.81818179999999</v>
      </c>
    </row>
    <row r="22" spans="1:7" ht="15.75" x14ac:dyDescent="0.25">
      <c r="A22" s="33">
        <v>2015</v>
      </c>
      <c r="B22" s="33">
        <v>2214</v>
      </c>
      <c r="C22" s="33" t="s">
        <v>23</v>
      </c>
      <c r="D22" s="33" t="s">
        <v>21</v>
      </c>
      <c r="E22" s="33" t="s">
        <v>24</v>
      </c>
      <c r="F22" s="33">
        <v>28</v>
      </c>
      <c r="G22" s="34">
        <v>449.54545450000001</v>
      </c>
    </row>
    <row r="23" spans="1:7" ht="15.75" x14ac:dyDescent="0.25">
      <c r="A23" s="33">
        <v>2015</v>
      </c>
      <c r="B23" s="33">
        <v>2214</v>
      </c>
      <c r="C23" s="33" t="s">
        <v>23</v>
      </c>
      <c r="D23" s="33" t="s">
        <v>21</v>
      </c>
      <c r="E23" s="33" t="s">
        <v>24</v>
      </c>
      <c r="F23" s="33">
        <v>42</v>
      </c>
      <c r="G23" s="34">
        <v>476.81818179999999</v>
      </c>
    </row>
    <row r="24" spans="1:7" ht="15.75" x14ac:dyDescent="0.25">
      <c r="A24" s="33">
        <v>2015</v>
      </c>
      <c r="B24" s="33">
        <v>2214</v>
      </c>
      <c r="C24" s="33" t="s">
        <v>23</v>
      </c>
      <c r="D24" s="33" t="s">
        <v>21</v>
      </c>
      <c r="E24" s="33" t="s">
        <v>24</v>
      </c>
      <c r="F24" s="33">
        <v>56</v>
      </c>
      <c r="G24" s="34">
        <v>499.09090909999998</v>
      </c>
    </row>
    <row r="25" spans="1:7" ht="15.75" x14ac:dyDescent="0.25">
      <c r="A25" s="33">
        <v>2015</v>
      </c>
      <c r="B25" s="33">
        <v>2214</v>
      </c>
      <c r="C25" s="33" t="s">
        <v>23</v>
      </c>
      <c r="D25" s="33" t="s">
        <v>21</v>
      </c>
      <c r="E25" s="33" t="s">
        <v>24</v>
      </c>
      <c r="F25" s="33">
        <v>70</v>
      </c>
      <c r="G25" s="35">
        <v>500.90909090000002</v>
      </c>
    </row>
    <row r="26" spans="1:7" ht="15.75" x14ac:dyDescent="0.25">
      <c r="A26" s="33">
        <v>2017</v>
      </c>
      <c r="B26" s="33">
        <v>2214</v>
      </c>
      <c r="C26" s="33" t="s">
        <v>23</v>
      </c>
      <c r="D26" s="33" t="s">
        <v>21</v>
      </c>
      <c r="E26" s="33" t="s">
        <v>24</v>
      </c>
      <c r="F26" s="33">
        <v>0</v>
      </c>
      <c r="G26" s="34">
        <v>290</v>
      </c>
    </row>
    <row r="27" spans="1:7" ht="15.75" x14ac:dyDescent="0.25">
      <c r="A27" s="33">
        <v>2017</v>
      </c>
      <c r="B27" s="33">
        <v>2214</v>
      </c>
      <c r="C27" s="33" t="s">
        <v>23</v>
      </c>
      <c r="D27" s="33" t="s">
        <v>21</v>
      </c>
      <c r="E27" s="33" t="s">
        <v>24</v>
      </c>
      <c r="F27" s="33">
        <v>14</v>
      </c>
      <c r="G27" s="34">
        <v>310.90909090000002</v>
      </c>
    </row>
    <row r="28" spans="1:7" ht="15.75" x14ac:dyDescent="0.25">
      <c r="A28" s="33">
        <v>2017</v>
      </c>
      <c r="B28" s="33">
        <v>2214</v>
      </c>
      <c r="C28" s="33" t="s">
        <v>23</v>
      </c>
      <c r="D28" s="33" t="s">
        <v>21</v>
      </c>
      <c r="E28" s="33" t="s">
        <v>24</v>
      </c>
      <c r="F28" s="33">
        <v>28</v>
      </c>
      <c r="G28" s="34">
        <v>333.63636359999998</v>
      </c>
    </row>
    <row r="29" spans="1:7" ht="15.75" x14ac:dyDescent="0.25">
      <c r="A29" s="33">
        <v>2017</v>
      </c>
      <c r="B29" s="33">
        <v>2214</v>
      </c>
      <c r="C29" s="33" t="s">
        <v>23</v>
      </c>
      <c r="D29" s="33" t="s">
        <v>21</v>
      </c>
      <c r="E29" s="33" t="s">
        <v>24</v>
      </c>
      <c r="F29" s="33">
        <v>42</v>
      </c>
      <c r="G29" s="34">
        <v>352.27272729999999</v>
      </c>
    </row>
    <row r="30" spans="1:7" ht="15.75" x14ac:dyDescent="0.25">
      <c r="A30" s="33">
        <v>2017</v>
      </c>
      <c r="B30" s="33">
        <v>2214</v>
      </c>
      <c r="C30" s="33" t="s">
        <v>23</v>
      </c>
      <c r="D30" s="33" t="s">
        <v>21</v>
      </c>
      <c r="E30" s="33" t="s">
        <v>24</v>
      </c>
      <c r="F30" s="33">
        <v>56</v>
      </c>
      <c r="G30" s="34">
        <v>370.45454549999999</v>
      </c>
    </row>
    <row r="31" spans="1:7" ht="15.75" x14ac:dyDescent="0.25">
      <c r="A31" s="33">
        <v>2017</v>
      </c>
      <c r="B31" s="33">
        <v>2214</v>
      </c>
      <c r="C31" s="33" t="s">
        <v>23</v>
      </c>
      <c r="D31" s="33" t="s">
        <v>21</v>
      </c>
      <c r="E31" s="33" t="s">
        <v>24</v>
      </c>
      <c r="F31" s="33">
        <v>70</v>
      </c>
      <c r="G31" s="35">
        <v>372.72727270000001</v>
      </c>
    </row>
    <row r="32" spans="1:7" ht="15.75" x14ac:dyDescent="0.25">
      <c r="A32" s="33">
        <v>2021</v>
      </c>
      <c r="B32" s="33">
        <v>2214</v>
      </c>
      <c r="C32" s="33" t="s">
        <v>23</v>
      </c>
      <c r="D32" s="33" t="s">
        <v>21</v>
      </c>
      <c r="E32" s="33" t="s">
        <v>24</v>
      </c>
      <c r="F32" s="33">
        <v>0</v>
      </c>
      <c r="G32" s="34">
        <v>370.45454549999999</v>
      </c>
    </row>
    <row r="33" spans="1:7" ht="15.75" x14ac:dyDescent="0.25">
      <c r="A33" s="33">
        <v>2021</v>
      </c>
      <c r="B33" s="33">
        <v>2214</v>
      </c>
      <c r="C33" s="33" t="s">
        <v>23</v>
      </c>
      <c r="D33" s="33" t="s">
        <v>21</v>
      </c>
      <c r="E33" s="33" t="s">
        <v>24</v>
      </c>
      <c r="F33" s="33">
        <v>14</v>
      </c>
      <c r="G33" s="34">
        <v>420</v>
      </c>
    </row>
    <row r="34" spans="1:7" ht="15.75" x14ac:dyDescent="0.25">
      <c r="A34" s="33">
        <v>2021</v>
      </c>
      <c r="B34" s="33">
        <v>2214</v>
      </c>
      <c r="C34" s="33" t="s">
        <v>23</v>
      </c>
      <c r="D34" s="33" t="s">
        <v>21</v>
      </c>
      <c r="E34" s="33" t="s">
        <v>24</v>
      </c>
      <c r="F34" s="33">
        <v>28</v>
      </c>
      <c r="G34" s="34">
        <v>453.63636359999998</v>
      </c>
    </row>
    <row r="35" spans="1:7" ht="15.75" x14ac:dyDescent="0.25">
      <c r="A35" s="33">
        <v>2021</v>
      </c>
      <c r="B35" s="33">
        <v>2214</v>
      </c>
      <c r="C35" s="33" t="s">
        <v>23</v>
      </c>
      <c r="D35" s="33" t="s">
        <v>21</v>
      </c>
      <c r="E35" s="33" t="s">
        <v>24</v>
      </c>
      <c r="F35" s="33">
        <v>42</v>
      </c>
      <c r="G35" s="34">
        <v>480.90909090000002</v>
      </c>
    </row>
    <row r="36" spans="1:7" ht="15.75" x14ac:dyDescent="0.25">
      <c r="A36" s="33">
        <v>2021</v>
      </c>
      <c r="B36" s="33">
        <v>2214</v>
      </c>
      <c r="C36" s="33" t="s">
        <v>23</v>
      </c>
      <c r="D36" s="33" t="s">
        <v>21</v>
      </c>
      <c r="E36" s="33" t="s">
        <v>24</v>
      </c>
      <c r="F36" s="33">
        <v>56</v>
      </c>
      <c r="G36" s="34">
        <v>517.72727269999996</v>
      </c>
    </row>
    <row r="37" spans="1:7" ht="15.75" x14ac:dyDescent="0.25">
      <c r="A37" s="33">
        <v>2021</v>
      </c>
      <c r="B37" s="33">
        <v>2214</v>
      </c>
      <c r="C37" s="33" t="s">
        <v>23</v>
      </c>
      <c r="D37" s="33" t="s">
        <v>21</v>
      </c>
      <c r="E37" s="33" t="s">
        <v>24</v>
      </c>
      <c r="F37" s="33">
        <v>70</v>
      </c>
      <c r="G37" s="35">
        <v>484.54545450000001</v>
      </c>
    </row>
    <row r="38" spans="1:7" ht="15.75" x14ac:dyDescent="0.25">
      <c r="A38" s="33">
        <v>2025</v>
      </c>
      <c r="B38" s="33">
        <v>2214</v>
      </c>
      <c r="C38" s="33" t="s">
        <v>23</v>
      </c>
      <c r="D38" s="33" t="s">
        <v>21</v>
      </c>
      <c r="E38" s="33" t="s">
        <v>24</v>
      </c>
      <c r="F38" s="33">
        <v>0</v>
      </c>
      <c r="G38" s="34">
        <v>371.36363640000002</v>
      </c>
    </row>
    <row r="39" spans="1:7" ht="15.75" x14ac:dyDescent="0.25">
      <c r="A39" s="33">
        <v>2025</v>
      </c>
      <c r="B39" s="33">
        <v>2214</v>
      </c>
      <c r="C39" s="33" t="s">
        <v>23</v>
      </c>
      <c r="D39" s="33" t="s">
        <v>21</v>
      </c>
      <c r="E39" s="33" t="s">
        <v>24</v>
      </c>
      <c r="F39" s="33">
        <v>14</v>
      </c>
      <c r="G39" s="34">
        <v>411.81818179999999</v>
      </c>
    </row>
    <row r="40" spans="1:7" ht="15.75" x14ac:dyDescent="0.25">
      <c r="A40" s="33">
        <v>2025</v>
      </c>
      <c r="B40" s="33">
        <v>2214</v>
      </c>
      <c r="C40" s="33" t="s">
        <v>23</v>
      </c>
      <c r="D40" s="33" t="s">
        <v>21</v>
      </c>
      <c r="E40" s="33" t="s">
        <v>24</v>
      </c>
      <c r="F40" s="33">
        <v>28</v>
      </c>
      <c r="G40" s="34">
        <v>441.81818179999999</v>
      </c>
    </row>
    <row r="41" spans="1:7" ht="15.75" x14ac:dyDescent="0.25">
      <c r="A41" s="33">
        <v>2025</v>
      </c>
      <c r="B41" s="33">
        <v>2214</v>
      </c>
      <c r="C41" s="33" t="s">
        <v>23</v>
      </c>
      <c r="D41" s="33" t="s">
        <v>21</v>
      </c>
      <c r="E41" s="33" t="s">
        <v>24</v>
      </c>
      <c r="F41" s="33">
        <v>42</v>
      </c>
      <c r="G41" s="34">
        <v>473.18181820000001</v>
      </c>
    </row>
    <row r="42" spans="1:7" ht="15.75" x14ac:dyDescent="0.25">
      <c r="A42" s="33">
        <v>2025</v>
      </c>
      <c r="B42" s="33">
        <v>2214</v>
      </c>
      <c r="C42" s="33" t="s">
        <v>23</v>
      </c>
      <c r="D42" s="33" t="s">
        <v>21</v>
      </c>
      <c r="E42" s="33" t="s">
        <v>24</v>
      </c>
      <c r="F42" s="33">
        <v>56</v>
      </c>
      <c r="G42" s="34">
        <v>502.27272729999999</v>
      </c>
    </row>
    <row r="43" spans="1:7" ht="15.75" x14ac:dyDescent="0.25">
      <c r="A43" s="33">
        <v>2025</v>
      </c>
      <c r="B43" s="33">
        <v>2214</v>
      </c>
      <c r="C43" s="33" t="s">
        <v>23</v>
      </c>
      <c r="D43" s="33" t="s">
        <v>21</v>
      </c>
      <c r="E43" s="33" t="s">
        <v>24</v>
      </c>
      <c r="F43" s="33">
        <v>70</v>
      </c>
      <c r="G43" s="35">
        <v>501.36363640000002</v>
      </c>
    </row>
    <row r="44" spans="1:7" ht="15.75" x14ac:dyDescent="0.25">
      <c r="A44" s="33">
        <v>2027</v>
      </c>
      <c r="B44" s="33">
        <v>2214</v>
      </c>
      <c r="C44" s="33" t="s">
        <v>23</v>
      </c>
      <c r="D44" s="33" t="s">
        <v>21</v>
      </c>
      <c r="E44" s="33" t="s">
        <v>24</v>
      </c>
      <c r="F44" s="33">
        <v>0</v>
      </c>
      <c r="G44" s="34">
        <v>312.72727270000001</v>
      </c>
    </row>
    <row r="45" spans="1:7" ht="15.75" x14ac:dyDescent="0.25">
      <c r="A45" s="33">
        <v>2027</v>
      </c>
      <c r="B45" s="33">
        <v>2214</v>
      </c>
      <c r="C45" s="33" t="s">
        <v>23</v>
      </c>
      <c r="D45" s="33" t="s">
        <v>21</v>
      </c>
      <c r="E45" s="33" t="s">
        <v>24</v>
      </c>
      <c r="F45" s="33">
        <v>14</v>
      </c>
      <c r="G45" s="34">
        <v>363.63636359999998</v>
      </c>
    </row>
    <row r="46" spans="1:7" ht="15.75" x14ac:dyDescent="0.25">
      <c r="A46" s="33">
        <v>2027</v>
      </c>
      <c r="B46" s="33">
        <v>2214</v>
      </c>
      <c r="C46" s="33" t="s">
        <v>23</v>
      </c>
      <c r="D46" s="33" t="s">
        <v>21</v>
      </c>
      <c r="E46" s="33" t="s">
        <v>24</v>
      </c>
      <c r="F46" s="33">
        <v>28</v>
      </c>
      <c r="G46" s="34">
        <v>392.72727270000001</v>
      </c>
    </row>
    <row r="47" spans="1:7" ht="15.75" x14ac:dyDescent="0.25">
      <c r="A47" s="33">
        <v>2027</v>
      </c>
      <c r="B47" s="33">
        <v>2214</v>
      </c>
      <c r="C47" s="33" t="s">
        <v>23</v>
      </c>
      <c r="D47" s="33" t="s">
        <v>21</v>
      </c>
      <c r="E47" s="33" t="s">
        <v>24</v>
      </c>
      <c r="F47" s="33">
        <v>42</v>
      </c>
      <c r="G47" s="34">
        <v>416.36363640000002</v>
      </c>
    </row>
    <row r="48" spans="1:7" ht="15.75" x14ac:dyDescent="0.25">
      <c r="A48" s="33">
        <v>2027</v>
      </c>
      <c r="B48" s="33">
        <v>2214</v>
      </c>
      <c r="C48" s="33" t="s">
        <v>23</v>
      </c>
      <c r="D48" s="33" t="s">
        <v>21</v>
      </c>
      <c r="E48" s="33" t="s">
        <v>24</v>
      </c>
      <c r="F48" s="33">
        <v>56</v>
      </c>
      <c r="G48" s="34">
        <v>428.18181820000001</v>
      </c>
    </row>
    <row r="49" spans="1:7" ht="15.75" x14ac:dyDescent="0.25">
      <c r="A49" s="33">
        <v>2027</v>
      </c>
      <c r="B49" s="33">
        <v>2214</v>
      </c>
      <c r="C49" s="33" t="s">
        <v>23</v>
      </c>
      <c r="D49" s="33" t="s">
        <v>21</v>
      </c>
      <c r="E49" s="33" t="s">
        <v>24</v>
      </c>
      <c r="F49" s="33">
        <v>70</v>
      </c>
      <c r="G49" s="35">
        <v>450.90909090000002</v>
      </c>
    </row>
    <row r="50" spans="1:7" ht="15.75" x14ac:dyDescent="0.25">
      <c r="A50" s="33">
        <v>2029</v>
      </c>
      <c r="B50" s="33">
        <v>2214</v>
      </c>
      <c r="C50" s="33" t="s">
        <v>23</v>
      </c>
      <c r="D50" s="33" t="s">
        <v>21</v>
      </c>
      <c r="E50" s="33" t="s">
        <v>24</v>
      </c>
      <c r="F50" s="33">
        <v>0</v>
      </c>
      <c r="G50" s="34">
        <v>335.90909090000002</v>
      </c>
    </row>
    <row r="51" spans="1:7" ht="15.75" x14ac:dyDescent="0.25">
      <c r="A51" s="33">
        <v>2029</v>
      </c>
      <c r="B51" s="33">
        <v>2214</v>
      </c>
      <c r="C51" s="33" t="s">
        <v>23</v>
      </c>
      <c r="D51" s="33" t="s">
        <v>21</v>
      </c>
      <c r="E51" s="33" t="s">
        <v>24</v>
      </c>
      <c r="F51" s="33">
        <v>14</v>
      </c>
      <c r="G51" s="34">
        <v>383.63636359999998</v>
      </c>
    </row>
    <row r="52" spans="1:7" ht="15.75" x14ac:dyDescent="0.25">
      <c r="A52" s="33">
        <v>2029</v>
      </c>
      <c r="B52" s="33">
        <v>2214</v>
      </c>
      <c r="C52" s="33" t="s">
        <v>23</v>
      </c>
      <c r="D52" s="33" t="s">
        <v>21</v>
      </c>
      <c r="E52" s="33" t="s">
        <v>24</v>
      </c>
      <c r="F52" s="33">
        <v>28</v>
      </c>
      <c r="G52" s="34">
        <v>412.72727270000001</v>
      </c>
    </row>
    <row r="53" spans="1:7" ht="15.75" x14ac:dyDescent="0.25">
      <c r="A53" s="33">
        <v>2029</v>
      </c>
      <c r="B53" s="33">
        <v>2214</v>
      </c>
      <c r="C53" s="33" t="s">
        <v>23</v>
      </c>
      <c r="D53" s="33" t="s">
        <v>21</v>
      </c>
      <c r="E53" s="33" t="s">
        <v>24</v>
      </c>
      <c r="F53" s="33">
        <v>42</v>
      </c>
      <c r="G53" s="34">
        <v>443.63636359999998</v>
      </c>
    </row>
    <row r="54" spans="1:7" ht="15.75" x14ac:dyDescent="0.25">
      <c r="A54" s="33">
        <v>2029</v>
      </c>
      <c r="B54" s="33">
        <v>2214</v>
      </c>
      <c r="C54" s="33" t="s">
        <v>23</v>
      </c>
      <c r="D54" s="33" t="s">
        <v>21</v>
      </c>
      <c r="E54" s="33" t="s">
        <v>24</v>
      </c>
      <c r="F54" s="33">
        <v>56</v>
      </c>
      <c r="G54" s="34">
        <v>478.18181820000001</v>
      </c>
    </row>
    <row r="55" spans="1:7" ht="15.75" x14ac:dyDescent="0.25">
      <c r="A55" s="33">
        <v>2029</v>
      </c>
      <c r="B55" s="33">
        <v>2214</v>
      </c>
      <c r="C55" s="33" t="s">
        <v>23</v>
      </c>
      <c r="D55" s="33" t="s">
        <v>21</v>
      </c>
      <c r="E55" s="33" t="s">
        <v>24</v>
      </c>
      <c r="F55" s="33">
        <v>70</v>
      </c>
      <c r="G55" s="35">
        <v>482.27272729999999</v>
      </c>
    </row>
    <row r="56" spans="1:7" ht="15.75" x14ac:dyDescent="0.25">
      <c r="A56" s="33">
        <v>2030</v>
      </c>
      <c r="B56" s="33">
        <v>2214</v>
      </c>
      <c r="C56" s="33" t="s">
        <v>23</v>
      </c>
      <c r="D56" s="33" t="s">
        <v>21</v>
      </c>
      <c r="E56" s="33" t="s">
        <v>24</v>
      </c>
      <c r="F56" s="33">
        <v>0</v>
      </c>
      <c r="G56" s="34">
        <v>330.90909090000002</v>
      </c>
    </row>
    <row r="57" spans="1:7" ht="15.75" x14ac:dyDescent="0.25">
      <c r="A57" s="33">
        <v>2030</v>
      </c>
      <c r="B57" s="33">
        <v>2214</v>
      </c>
      <c r="C57" s="33" t="s">
        <v>23</v>
      </c>
      <c r="D57" s="33" t="s">
        <v>21</v>
      </c>
      <c r="E57" s="33" t="s">
        <v>24</v>
      </c>
      <c r="F57" s="33">
        <v>14</v>
      </c>
      <c r="G57" s="34">
        <v>368.18181820000001</v>
      </c>
    </row>
    <row r="58" spans="1:7" ht="15.75" x14ac:dyDescent="0.25">
      <c r="A58" s="33">
        <v>2030</v>
      </c>
      <c r="B58" s="33">
        <v>2214</v>
      </c>
      <c r="C58" s="33" t="s">
        <v>23</v>
      </c>
      <c r="D58" s="33" t="s">
        <v>21</v>
      </c>
      <c r="E58" s="33" t="s">
        <v>24</v>
      </c>
      <c r="F58" s="33">
        <v>28</v>
      </c>
      <c r="G58" s="34">
        <v>400.90909090000002</v>
      </c>
    </row>
    <row r="59" spans="1:7" ht="15.75" x14ac:dyDescent="0.25">
      <c r="A59" s="33">
        <v>2030</v>
      </c>
      <c r="B59" s="33">
        <v>2214</v>
      </c>
      <c r="C59" s="33" t="s">
        <v>23</v>
      </c>
      <c r="D59" s="33" t="s">
        <v>21</v>
      </c>
      <c r="E59" s="33" t="s">
        <v>24</v>
      </c>
      <c r="F59" s="33">
        <v>42</v>
      </c>
      <c r="G59" s="34">
        <v>435</v>
      </c>
    </row>
    <row r="60" spans="1:7" ht="15.75" x14ac:dyDescent="0.25">
      <c r="A60" s="33">
        <v>2030</v>
      </c>
      <c r="B60" s="33">
        <v>2214</v>
      </c>
      <c r="C60" s="33" t="s">
        <v>23</v>
      </c>
      <c r="D60" s="33" t="s">
        <v>21</v>
      </c>
      <c r="E60" s="33" t="s">
        <v>24</v>
      </c>
      <c r="F60" s="33">
        <v>56</v>
      </c>
      <c r="G60" s="34">
        <v>414.09090909999998</v>
      </c>
    </row>
    <row r="61" spans="1:7" ht="15.75" x14ac:dyDescent="0.25">
      <c r="A61" s="33">
        <v>2030</v>
      </c>
      <c r="B61" s="33">
        <v>2214</v>
      </c>
      <c r="C61" s="33" t="s">
        <v>23</v>
      </c>
      <c r="D61" s="33" t="s">
        <v>21</v>
      </c>
      <c r="E61" s="33" t="s">
        <v>24</v>
      </c>
      <c r="F61" s="33">
        <v>70</v>
      </c>
      <c r="G61" s="35">
        <v>478.18181820000001</v>
      </c>
    </row>
    <row r="62" spans="1:7" ht="15.75" x14ac:dyDescent="0.25">
      <c r="A62" s="33">
        <v>2032</v>
      </c>
      <c r="B62" s="33">
        <v>2214</v>
      </c>
      <c r="C62" s="33" t="s">
        <v>20</v>
      </c>
      <c r="D62" s="33" t="s">
        <v>21</v>
      </c>
      <c r="E62" s="33" t="s">
        <v>15</v>
      </c>
      <c r="F62" s="33">
        <v>0</v>
      </c>
      <c r="G62" s="34">
        <v>317.72727270000001</v>
      </c>
    </row>
    <row r="63" spans="1:7" ht="15.75" x14ac:dyDescent="0.25">
      <c r="A63" s="33">
        <v>2032</v>
      </c>
      <c r="B63" s="33">
        <v>2214</v>
      </c>
      <c r="C63" s="33" t="s">
        <v>20</v>
      </c>
      <c r="D63" s="33" t="s">
        <v>21</v>
      </c>
      <c r="E63" s="33" t="s">
        <v>15</v>
      </c>
      <c r="F63" s="33">
        <v>14</v>
      </c>
      <c r="G63" s="34">
        <v>361.81818179999999</v>
      </c>
    </row>
    <row r="64" spans="1:7" ht="15.75" x14ac:dyDescent="0.25">
      <c r="A64" s="33">
        <v>2032</v>
      </c>
      <c r="B64" s="33">
        <v>2214</v>
      </c>
      <c r="C64" s="33" t="s">
        <v>20</v>
      </c>
      <c r="D64" s="33" t="s">
        <v>21</v>
      </c>
      <c r="E64" s="33" t="s">
        <v>15</v>
      </c>
      <c r="F64" s="33">
        <v>28</v>
      </c>
      <c r="G64" s="34">
        <v>388.18181820000001</v>
      </c>
    </row>
    <row r="65" spans="1:7" ht="15.75" x14ac:dyDescent="0.25">
      <c r="A65" s="33">
        <v>2032</v>
      </c>
      <c r="B65" s="33">
        <v>2214</v>
      </c>
      <c r="C65" s="33" t="s">
        <v>20</v>
      </c>
      <c r="D65" s="33" t="s">
        <v>21</v>
      </c>
      <c r="E65" s="33" t="s">
        <v>15</v>
      </c>
      <c r="F65" s="33">
        <v>42</v>
      </c>
      <c r="G65" s="34">
        <v>421.36363640000002</v>
      </c>
    </row>
    <row r="66" spans="1:7" ht="15.75" x14ac:dyDescent="0.25">
      <c r="A66" s="33">
        <v>2032</v>
      </c>
      <c r="B66" s="33">
        <v>2214</v>
      </c>
      <c r="C66" s="33" t="s">
        <v>20</v>
      </c>
      <c r="D66" s="33" t="s">
        <v>21</v>
      </c>
      <c r="E66" s="33" t="s">
        <v>15</v>
      </c>
      <c r="F66" s="33">
        <v>56</v>
      </c>
      <c r="G66" s="34">
        <v>455</v>
      </c>
    </row>
    <row r="67" spans="1:7" ht="15.75" x14ac:dyDescent="0.25">
      <c r="A67" s="33">
        <v>2032</v>
      </c>
      <c r="B67" s="33">
        <v>2214</v>
      </c>
      <c r="C67" s="33" t="s">
        <v>20</v>
      </c>
      <c r="D67" s="33" t="s">
        <v>21</v>
      </c>
      <c r="E67" s="33" t="s">
        <v>15</v>
      </c>
      <c r="F67" s="33">
        <v>70</v>
      </c>
      <c r="G67" s="35">
        <v>457.27272729999999</v>
      </c>
    </row>
    <row r="68" spans="1:7" ht="15.75" x14ac:dyDescent="0.25">
      <c r="A68" s="33">
        <v>2101</v>
      </c>
      <c r="B68" s="33">
        <v>2214</v>
      </c>
      <c r="C68" s="33" t="s">
        <v>23</v>
      </c>
      <c r="D68" s="33" t="s">
        <v>21</v>
      </c>
      <c r="E68" s="33" t="s">
        <v>24</v>
      </c>
      <c r="F68" s="33">
        <v>0</v>
      </c>
      <c r="G68" s="34">
        <v>382.27272729999999</v>
      </c>
    </row>
    <row r="69" spans="1:7" ht="15.75" x14ac:dyDescent="0.25">
      <c r="A69" s="33">
        <v>2101</v>
      </c>
      <c r="B69" s="33">
        <v>2214</v>
      </c>
      <c r="C69" s="33" t="s">
        <v>23</v>
      </c>
      <c r="D69" s="33" t="s">
        <v>21</v>
      </c>
      <c r="E69" s="33" t="s">
        <v>24</v>
      </c>
      <c r="F69" s="33">
        <v>14</v>
      </c>
      <c r="G69" s="34">
        <v>415.45454549999999</v>
      </c>
    </row>
    <row r="70" spans="1:7" ht="15.75" x14ac:dyDescent="0.25">
      <c r="A70" s="33">
        <v>2101</v>
      </c>
      <c r="B70" s="33">
        <v>2214</v>
      </c>
      <c r="C70" s="33" t="s">
        <v>23</v>
      </c>
      <c r="D70" s="33" t="s">
        <v>21</v>
      </c>
      <c r="E70" s="33" t="s">
        <v>24</v>
      </c>
      <c r="F70" s="33">
        <v>28</v>
      </c>
      <c r="G70" s="34">
        <v>452.27272729999999</v>
      </c>
    </row>
    <row r="71" spans="1:7" ht="15.75" x14ac:dyDescent="0.25">
      <c r="A71" s="33">
        <v>2101</v>
      </c>
      <c r="B71" s="33">
        <v>2214</v>
      </c>
      <c r="C71" s="33" t="s">
        <v>23</v>
      </c>
      <c r="D71" s="33" t="s">
        <v>21</v>
      </c>
      <c r="E71" s="33" t="s">
        <v>24</v>
      </c>
      <c r="F71" s="33">
        <v>42</v>
      </c>
      <c r="G71" s="34">
        <v>466.36363640000002</v>
      </c>
    </row>
    <row r="72" spans="1:7" ht="15.75" x14ac:dyDescent="0.25">
      <c r="A72" s="33">
        <v>2101</v>
      </c>
      <c r="B72" s="33">
        <v>2214</v>
      </c>
      <c r="C72" s="33" t="s">
        <v>23</v>
      </c>
      <c r="D72" s="33" t="s">
        <v>21</v>
      </c>
      <c r="E72" s="33" t="s">
        <v>24</v>
      </c>
      <c r="F72" s="33">
        <v>56</v>
      </c>
      <c r="G72" s="34">
        <v>486.36363640000002</v>
      </c>
    </row>
    <row r="73" spans="1:7" ht="15.75" x14ac:dyDescent="0.25">
      <c r="A73" s="33">
        <v>2101</v>
      </c>
      <c r="B73" s="33">
        <v>2214</v>
      </c>
      <c r="C73" s="33" t="s">
        <v>23</v>
      </c>
      <c r="D73" s="33" t="s">
        <v>21</v>
      </c>
      <c r="E73" s="33" t="s">
        <v>24</v>
      </c>
      <c r="F73" s="33">
        <v>70</v>
      </c>
      <c r="G73" s="35">
        <v>490.90909090000002</v>
      </c>
    </row>
    <row r="74" spans="1:7" ht="15.75" x14ac:dyDescent="0.25">
      <c r="A74" s="33">
        <v>2102</v>
      </c>
      <c r="B74" s="33">
        <v>2214</v>
      </c>
      <c r="C74" s="33" t="s">
        <v>20</v>
      </c>
      <c r="D74" s="33" t="s">
        <v>21</v>
      </c>
      <c r="E74" s="33" t="s">
        <v>15</v>
      </c>
      <c r="F74" s="33">
        <v>0</v>
      </c>
      <c r="G74" s="34">
        <v>396.81818179999999</v>
      </c>
    </row>
    <row r="75" spans="1:7" ht="15.75" x14ac:dyDescent="0.25">
      <c r="A75" s="33">
        <v>2102</v>
      </c>
      <c r="B75" s="33">
        <v>2214</v>
      </c>
      <c r="C75" s="33" t="s">
        <v>20</v>
      </c>
      <c r="D75" s="33" t="s">
        <v>21</v>
      </c>
      <c r="E75" s="33" t="s">
        <v>15</v>
      </c>
      <c r="F75" s="33">
        <v>14</v>
      </c>
      <c r="G75" s="34">
        <v>425</v>
      </c>
    </row>
    <row r="76" spans="1:7" ht="15.75" x14ac:dyDescent="0.25">
      <c r="A76" s="33">
        <v>2102</v>
      </c>
      <c r="B76" s="33">
        <v>2214</v>
      </c>
      <c r="C76" s="33" t="s">
        <v>20</v>
      </c>
      <c r="D76" s="33" t="s">
        <v>21</v>
      </c>
      <c r="E76" s="33" t="s">
        <v>15</v>
      </c>
      <c r="F76" s="33">
        <v>28</v>
      </c>
      <c r="G76" s="34">
        <v>472.72727270000001</v>
      </c>
    </row>
    <row r="77" spans="1:7" ht="15.75" x14ac:dyDescent="0.25">
      <c r="A77" s="33">
        <v>2102</v>
      </c>
      <c r="B77" s="33">
        <v>2214</v>
      </c>
      <c r="C77" s="33" t="s">
        <v>20</v>
      </c>
      <c r="D77" s="33" t="s">
        <v>21</v>
      </c>
      <c r="E77" s="33" t="s">
        <v>15</v>
      </c>
      <c r="F77" s="33">
        <v>42</v>
      </c>
      <c r="G77" s="34">
        <v>494.54545450000001</v>
      </c>
    </row>
    <row r="78" spans="1:7" ht="15.75" x14ac:dyDescent="0.25">
      <c r="A78" s="33">
        <v>2102</v>
      </c>
      <c r="B78" s="33">
        <v>2214</v>
      </c>
      <c r="C78" s="33" t="s">
        <v>20</v>
      </c>
      <c r="D78" s="33" t="s">
        <v>21</v>
      </c>
      <c r="E78" s="33" t="s">
        <v>15</v>
      </c>
      <c r="F78" s="33">
        <v>56</v>
      </c>
      <c r="G78" s="34">
        <v>520.45454549999999</v>
      </c>
    </row>
    <row r="79" spans="1:7" ht="15.75" x14ac:dyDescent="0.25">
      <c r="A79" s="33">
        <v>2102</v>
      </c>
      <c r="B79" s="33">
        <v>2214</v>
      </c>
      <c r="C79" s="33" t="s">
        <v>20</v>
      </c>
      <c r="D79" s="33" t="s">
        <v>21</v>
      </c>
      <c r="E79" s="33" t="s">
        <v>15</v>
      </c>
      <c r="F79" s="33">
        <v>70</v>
      </c>
      <c r="G79" s="35">
        <v>561.81818180000005</v>
      </c>
    </row>
    <row r="80" spans="1:7" ht="15.75" x14ac:dyDescent="0.25">
      <c r="A80" s="33">
        <v>2105</v>
      </c>
      <c r="B80" s="33">
        <v>2214</v>
      </c>
      <c r="C80" s="33" t="s">
        <v>14</v>
      </c>
      <c r="D80" s="33" t="s">
        <v>15</v>
      </c>
      <c r="E80" s="33" t="s">
        <v>15</v>
      </c>
      <c r="F80" s="33">
        <v>0</v>
      </c>
      <c r="G80" s="34">
        <v>411.36363640000002</v>
      </c>
    </row>
    <row r="81" spans="1:7" ht="15.75" x14ac:dyDescent="0.25">
      <c r="A81" s="33">
        <v>2105</v>
      </c>
      <c r="B81" s="33">
        <v>2214</v>
      </c>
      <c r="C81" s="33" t="s">
        <v>14</v>
      </c>
      <c r="D81" s="33" t="s">
        <v>15</v>
      </c>
      <c r="E81" s="33" t="s">
        <v>15</v>
      </c>
      <c r="F81" s="33">
        <v>14</v>
      </c>
      <c r="G81" s="34">
        <v>447.27272729999999</v>
      </c>
    </row>
    <row r="82" spans="1:7" ht="15.75" x14ac:dyDescent="0.25">
      <c r="A82" s="33">
        <v>2105</v>
      </c>
      <c r="B82" s="33">
        <v>2214</v>
      </c>
      <c r="C82" s="33" t="s">
        <v>14</v>
      </c>
      <c r="D82" s="33" t="s">
        <v>15</v>
      </c>
      <c r="E82" s="33" t="s">
        <v>15</v>
      </c>
      <c r="F82" s="33">
        <v>28</v>
      </c>
      <c r="G82" s="34">
        <v>481.81818179999999</v>
      </c>
    </row>
    <row r="83" spans="1:7" ht="15.75" x14ac:dyDescent="0.25">
      <c r="A83" s="33">
        <v>2105</v>
      </c>
      <c r="B83" s="33">
        <v>2214</v>
      </c>
      <c r="C83" s="33" t="s">
        <v>14</v>
      </c>
      <c r="D83" s="33" t="s">
        <v>15</v>
      </c>
      <c r="E83" s="33" t="s">
        <v>15</v>
      </c>
      <c r="F83" s="33">
        <v>42</v>
      </c>
      <c r="G83" s="34">
        <v>510.45454549999999</v>
      </c>
    </row>
    <row r="84" spans="1:7" ht="15.75" x14ac:dyDescent="0.25">
      <c r="A84" s="33">
        <v>2105</v>
      </c>
      <c r="B84" s="33">
        <v>2214</v>
      </c>
      <c r="C84" s="33" t="s">
        <v>14</v>
      </c>
      <c r="D84" s="33" t="s">
        <v>15</v>
      </c>
      <c r="E84" s="33" t="s">
        <v>15</v>
      </c>
      <c r="F84" s="33">
        <v>56</v>
      </c>
      <c r="G84" s="34">
        <v>537.27272730000004</v>
      </c>
    </row>
    <row r="85" spans="1:7" ht="15.75" x14ac:dyDescent="0.25">
      <c r="A85" s="33">
        <v>2105</v>
      </c>
      <c r="B85" s="33">
        <v>2214</v>
      </c>
      <c r="C85" s="33" t="s">
        <v>14</v>
      </c>
      <c r="D85" s="33" t="s">
        <v>15</v>
      </c>
      <c r="E85" s="33" t="s">
        <v>15</v>
      </c>
      <c r="F85" s="33">
        <v>70</v>
      </c>
      <c r="G85" s="35">
        <v>522.27272730000004</v>
      </c>
    </row>
    <row r="86" spans="1:7" ht="15.75" x14ac:dyDescent="0.25">
      <c r="A86" s="33">
        <v>2107</v>
      </c>
      <c r="B86" s="33">
        <v>2214</v>
      </c>
      <c r="C86" s="33" t="s">
        <v>27</v>
      </c>
      <c r="D86" s="33" t="s">
        <v>15</v>
      </c>
      <c r="E86" s="33" t="s">
        <v>24</v>
      </c>
      <c r="F86" s="33">
        <v>0</v>
      </c>
      <c r="G86" s="34">
        <v>411.81818179999999</v>
      </c>
    </row>
    <row r="87" spans="1:7" ht="15.75" x14ac:dyDescent="0.25">
      <c r="A87" s="33">
        <v>2107</v>
      </c>
      <c r="B87" s="33">
        <v>2214</v>
      </c>
      <c r="C87" s="33" t="s">
        <v>27</v>
      </c>
      <c r="D87" s="33" t="s">
        <v>15</v>
      </c>
      <c r="E87" s="33" t="s">
        <v>24</v>
      </c>
      <c r="F87" s="33">
        <v>14</v>
      </c>
      <c r="G87" s="34">
        <v>469.54545450000001</v>
      </c>
    </row>
    <row r="88" spans="1:7" ht="15.75" x14ac:dyDescent="0.25">
      <c r="A88" s="33">
        <v>2107</v>
      </c>
      <c r="B88" s="33">
        <v>2214</v>
      </c>
      <c r="C88" s="33" t="s">
        <v>27</v>
      </c>
      <c r="D88" s="33" t="s">
        <v>15</v>
      </c>
      <c r="E88" s="33" t="s">
        <v>24</v>
      </c>
      <c r="F88" s="33">
        <v>28</v>
      </c>
      <c r="G88" s="34">
        <v>485.45454549999999</v>
      </c>
    </row>
    <row r="89" spans="1:7" ht="15.75" x14ac:dyDescent="0.25">
      <c r="A89" s="33">
        <v>2107</v>
      </c>
      <c r="B89" s="33">
        <v>2214</v>
      </c>
      <c r="C89" s="33" t="s">
        <v>27</v>
      </c>
      <c r="D89" s="33" t="s">
        <v>15</v>
      </c>
      <c r="E89" s="33" t="s">
        <v>24</v>
      </c>
      <c r="F89" s="33">
        <v>42</v>
      </c>
      <c r="G89" s="34">
        <v>496.36363640000002</v>
      </c>
    </row>
    <row r="90" spans="1:7" ht="15.75" x14ac:dyDescent="0.25">
      <c r="A90" s="33">
        <v>2107</v>
      </c>
      <c r="B90" s="33">
        <v>2214</v>
      </c>
      <c r="C90" s="33" t="s">
        <v>27</v>
      </c>
      <c r="D90" s="33" t="s">
        <v>15</v>
      </c>
      <c r="E90" s="33" t="s">
        <v>24</v>
      </c>
      <c r="F90" s="33">
        <v>56</v>
      </c>
      <c r="G90" s="34">
        <v>515.45454549999999</v>
      </c>
    </row>
    <row r="91" spans="1:7" ht="15.75" x14ac:dyDescent="0.25">
      <c r="A91" s="33">
        <v>2107</v>
      </c>
      <c r="B91" s="33">
        <v>2214</v>
      </c>
      <c r="C91" s="33" t="s">
        <v>27</v>
      </c>
      <c r="D91" s="33" t="s">
        <v>15</v>
      </c>
      <c r="E91" s="33" t="s">
        <v>24</v>
      </c>
      <c r="F91" s="33">
        <v>70</v>
      </c>
      <c r="G91" s="35">
        <v>541.36363640000002</v>
      </c>
    </row>
    <row r="92" spans="1:7" ht="15.75" x14ac:dyDescent="0.25">
      <c r="A92" s="33">
        <v>2108</v>
      </c>
      <c r="B92" s="33">
        <v>2214</v>
      </c>
      <c r="C92" s="33" t="s">
        <v>27</v>
      </c>
      <c r="D92" s="33" t="s">
        <v>15</v>
      </c>
      <c r="E92" s="33" t="s">
        <v>24</v>
      </c>
      <c r="F92" s="33">
        <v>0</v>
      </c>
      <c r="G92" s="34">
        <v>410.45454549999999</v>
      </c>
    </row>
    <row r="93" spans="1:7" ht="15.75" x14ac:dyDescent="0.25">
      <c r="A93" s="33">
        <v>2108</v>
      </c>
      <c r="B93" s="33">
        <v>2214</v>
      </c>
      <c r="C93" s="33" t="s">
        <v>27</v>
      </c>
      <c r="D93" s="33" t="s">
        <v>15</v>
      </c>
      <c r="E93" s="33" t="s">
        <v>24</v>
      </c>
      <c r="F93" s="33">
        <v>14</v>
      </c>
      <c r="G93" s="34">
        <v>463.63636359999998</v>
      </c>
    </row>
    <row r="94" spans="1:7" ht="15.75" x14ac:dyDescent="0.25">
      <c r="A94" s="33">
        <v>2108</v>
      </c>
      <c r="B94" s="33">
        <v>2214</v>
      </c>
      <c r="C94" s="33" t="s">
        <v>27</v>
      </c>
      <c r="D94" s="33" t="s">
        <v>15</v>
      </c>
      <c r="E94" s="33" t="s">
        <v>24</v>
      </c>
      <c r="F94" s="33">
        <v>28</v>
      </c>
      <c r="G94" s="34">
        <v>507.72727270000001</v>
      </c>
    </row>
    <row r="95" spans="1:7" ht="15.75" x14ac:dyDescent="0.25">
      <c r="A95" s="33">
        <v>2108</v>
      </c>
      <c r="B95" s="33">
        <v>2214</v>
      </c>
      <c r="C95" s="33" t="s">
        <v>27</v>
      </c>
      <c r="D95" s="33" t="s">
        <v>15</v>
      </c>
      <c r="E95" s="33" t="s">
        <v>24</v>
      </c>
      <c r="F95" s="33">
        <v>42</v>
      </c>
      <c r="G95" s="34">
        <v>524.09090909999998</v>
      </c>
    </row>
    <row r="96" spans="1:7" ht="15.75" x14ac:dyDescent="0.25">
      <c r="A96" s="33">
        <v>2108</v>
      </c>
      <c r="B96" s="33">
        <v>2214</v>
      </c>
      <c r="C96" s="33" t="s">
        <v>27</v>
      </c>
      <c r="D96" s="33" t="s">
        <v>15</v>
      </c>
      <c r="E96" s="33" t="s">
        <v>24</v>
      </c>
      <c r="F96" s="33">
        <v>56</v>
      </c>
      <c r="G96" s="34">
        <v>543.63636359999998</v>
      </c>
    </row>
    <row r="97" spans="1:7" ht="15.75" x14ac:dyDescent="0.25">
      <c r="A97" s="33">
        <v>2108</v>
      </c>
      <c r="B97" s="33">
        <v>2214</v>
      </c>
      <c r="C97" s="33" t="s">
        <v>27</v>
      </c>
      <c r="D97" s="33" t="s">
        <v>15</v>
      </c>
      <c r="E97" s="33" t="s">
        <v>24</v>
      </c>
      <c r="F97" s="33">
        <v>70</v>
      </c>
      <c r="G97" s="35">
        <v>577.27272730000004</v>
      </c>
    </row>
    <row r="98" spans="1:7" ht="15.75" x14ac:dyDescent="0.25">
      <c r="A98" s="33">
        <v>2109</v>
      </c>
      <c r="B98" s="33">
        <v>2214</v>
      </c>
      <c r="C98" s="33" t="s">
        <v>23</v>
      </c>
      <c r="D98" s="33" t="s">
        <v>21</v>
      </c>
      <c r="E98" s="33" t="s">
        <v>24</v>
      </c>
      <c r="F98" s="33">
        <v>0</v>
      </c>
      <c r="G98" s="34">
        <v>370.45454549999999</v>
      </c>
    </row>
    <row r="99" spans="1:7" ht="15.75" x14ac:dyDescent="0.25">
      <c r="A99" s="33">
        <v>2109</v>
      </c>
      <c r="B99" s="33">
        <v>2214</v>
      </c>
      <c r="C99" s="33" t="s">
        <v>23</v>
      </c>
      <c r="D99" s="33" t="s">
        <v>21</v>
      </c>
      <c r="E99" s="33" t="s">
        <v>24</v>
      </c>
      <c r="F99" s="33">
        <v>14</v>
      </c>
      <c r="G99" s="34">
        <v>410.90909090000002</v>
      </c>
    </row>
    <row r="100" spans="1:7" ht="15.75" x14ac:dyDescent="0.25">
      <c r="A100" s="33">
        <v>2109</v>
      </c>
      <c r="B100" s="33">
        <v>2214</v>
      </c>
      <c r="C100" s="33" t="s">
        <v>23</v>
      </c>
      <c r="D100" s="33" t="s">
        <v>21</v>
      </c>
      <c r="E100" s="33" t="s">
        <v>24</v>
      </c>
      <c r="F100" s="33">
        <v>28</v>
      </c>
      <c r="G100" s="34">
        <v>442.72727270000001</v>
      </c>
    </row>
    <row r="101" spans="1:7" ht="15.75" x14ac:dyDescent="0.25">
      <c r="A101" s="33">
        <v>2109</v>
      </c>
      <c r="B101" s="33">
        <v>2214</v>
      </c>
      <c r="C101" s="33" t="s">
        <v>23</v>
      </c>
      <c r="D101" s="33" t="s">
        <v>21</v>
      </c>
      <c r="E101" s="33" t="s">
        <v>24</v>
      </c>
      <c r="F101" s="33">
        <v>42</v>
      </c>
      <c r="G101" s="34">
        <v>474.09090909999998</v>
      </c>
    </row>
    <row r="102" spans="1:7" ht="15.75" x14ac:dyDescent="0.25">
      <c r="A102" s="33">
        <v>2109</v>
      </c>
      <c r="B102" s="33">
        <v>2214</v>
      </c>
      <c r="C102" s="33" t="s">
        <v>23</v>
      </c>
      <c r="D102" s="33" t="s">
        <v>21</v>
      </c>
      <c r="E102" s="33" t="s">
        <v>24</v>
      </c>
      <c r="F102" s="33">
        <v>56</v>
      </c>
      <c r="G102" s="34">
        <v>506.81818179999999</v>
      </c>
    </row>
    <row r="103" spans="1:7" ht="15.75" x14ac:dyDescent="0.25">
      <c r="A103" s="33">
        <v>2109</v>
      </c>
      <c r="B103" s="33">
        <v>2214</v>
      </c>
      <c r="C103" s="33" t="s">
        <v>23</v>
      </c>
      <c r="D103" s="33" t="s">
        <v>21</v>
      </c>
      <c r="E103" s="33" t="s">
        <v>24</v>
      </c>
      <c r="F103" s="33">
        <v>70</v>
      </c>
      <c r="G103" s="35">
        <v>510.90909090000002</v>
      </c>
    </row>
    <row r="104" spans="1:7" ht="15.75" x14ac:dyDescent="0.25">
      <c r="A104" s="33">
        <v>2111</v>
      </c>
      <c r="B104" s="33">
        <v>2214</v>
      </c>
      <c r="C104" s="33" t="s">
        <v>23</v>
      </c>
      <c r="D104" s="33" t="s">
        <v>21</v>
      </c>
      <c r="E104" s="33" t="s">
        <v>24</v>
      </c>
      <c r="F104" s="33">
        <v>0</v>
      </c>
      <c r="G104" s="34">
        <v>376.36363640000002</v>
      </c>
    </row>
    <row r="105" spans="1:7" ht="15.75" x14ac:dyDescent="0.25">
      <c r="A105" s="33">
        <v>2111</v>
      </c>
      <c r="B105" s="33">
        <v>2214</v>
      </c>
      <c r="C105" s="33" t="s">
        <v>23</v>
      </c>
      <c r="D105" s="33" t="s">
        <v>21</v>
      </c>
      <c r="E105" s="33" t="s">
        <v>24</v>
      </c>
      <c r="F105" s="33">
        <v>14</v>
      </c>
      <c r="G105" s="34">
        <v>403.63636359999998</v>
      </c>
    </row>
    <row r="106" spans="1:7" ht="15.75" x14ac:dyDescent="0.25">
      <c r="A106" s="33">
        <v>2111</v>
      </c>
      <c r="B106" s="33">
        <v>2214</v>
      </c>
      <c r="C106" s="33" t="s">
        <v>23</v>
      </c>
      <c r="D106" s="33" t="s">
        <v>21</v>
      </c>
      <c r="E106" s="33" t="s">
        <v>24</v>
      </c>
      <c r="F106" s="33">
        <v>28</v>
      </c>
      <c r="G106" s="34">
        <v>436.36363640000002</v>
      </c>
    </row>
    <row r="107" spans="1:7" ht="15.75" x14ac:dyDescent="0.25">
      <c r="A107" s="33">
        <v>2111</v>
      </c>
      <c r="B107" s="33">
        <v>2214</v>
      </c>
      <c r="C107" s="33" t="s">
        <v>23</v>
      </c>
      <c r="D107" s="33" t="s">
        <v>21</v>
      </c>
      <c r="E107" s="33" t="s">
        <v>24</v>
      </c>
      <c r="F107" s="33">
        <v>42</v>
      </c>
      <c r="G107" s="34">
        <v>458.63636359999998</v>
      </c>
    </row>
    <row r="108" spans="1:7" ht="15.75" x14ac:dyDescent="0.25">
      <c r="A108" s="33">
        <v>2111</v>
      </c>
      <c r="B108" s="33">
        <v>2214</v>
      </c>
      <c r="C108" s="33" t="s">
        <v>23</v>
      </c>
      <c r="D108" s="33" t="s">
        <v>21</v>
      </c>
      <c r="E108" s="33" t="s">
        <v>24</v>
      </c>
      <c r="F108" s="33">
        <v>56</v>
      </c>
      <c r="G108" s="34">
        <v>495</v>
      </c>
    </row>
    <row r="109" spans="1:7" ht="15.75" x14ac:dyDescent="0.25">
      <c r="A109" s="33">
        <v>2111</v>
      </c>
      <c r="B109" s="33">
        <v>2214</v>
      </c>
      <c r="C109" s="33" t="s">
        <v>23</v>
      </c>
      <c r="D109" s="33" t="s">
        <v>21</v>
      </c>
      <c r="E109" s="33" t="s">
        <v>24</v>
      </c>
      <c r="F109" s="33">
        <v>70</v>
      </c>
      <c r="G109" s="35">
        <v>511.36363640000002</v>
      </c>
    </row>
    <row r="110" spans="1:7" ht="15.75" x14ac:dyDescent="0.25">
      <c r="A110" s="33">
        <v>2113</v>
      </c>
      <c r="B110" s="33">
        <v>2214</v>
      </c>
      <c r="C110" s="33" t="s">
        <v>20</v>
      </c>
      <c r="D110" s="33" t="s">
        <v>21</v>
      </c>
      <c r="E110" s="33" t="s">
        <v>15</v>
      </c>
      <c r="F110" s="33">
        <v>0</v>
      </c>
      <c r="G110" s="34">
        <v>392.27272729999999</v>
      </c>
    </row>
    <row r="111" spans="1:7" ht="15.75" x14ac:dyDescent="0.25">
      <c r="A111" s="33">
        <v>2113</v>
      </c>
      <c r="B111" s="33">
        <v>2214</v>
      </c>
      <c r="C111" s="33" t="s">
        <v>20</v>
      </c>
      <c r="D111" s="33" t="s">
        <v>21</v>
      </c>
      <c r="E111" s="33" t="s">
        <v>15</v>
      </c>
      <c r="F111" s="33">
        <v>14</v>
      </c>
      <c r="G111" s="34">
        <v>417.27272729999999</v>
      </c>
    </row>
    <row r="112" spans="1:7" ht="15.75" x14ac:dyDescent="0.25">
      <c r="A112" s="33">
        <v>2113</v>
      </c>
      <c r="B112" s="33">
        <v>2214</v>
      </c>
      <c r="C112" s="33" t="s">
        <v>20</v>
      </c>
      <c r="D112" s="33" t="s">
        <v>21</v>
      </c>
      <c r="E112" s="33" t="s">
        <v>15</v>
      </c>
      <c r="F112" s="33">
        <v>28</v>
      </c>
      <c r="G112" s="34">
        <v>450</v>
      </c>
    </row>
    <row r="113" spans="1:7" ht="15.75" x14ac:dyDescent="0.25">
      <c r="A113" s="33">
        <v>2113</v>
      </c>
      <c r="B113" s="33">
        <v>2214</v>
      </c>
      <c r="C113" s="33" t="s">
        <v>20</v>
      </c>
      <c r="D113" s="33" t="s">
        <v>21</v>
      </c>
      <c r="E113" s="33" t="s">
        <v>15</v>
      </c>
      <c r="F113" s="33">
        <v>42</v>
      </c>
      <c r="G113" s="34">
        <v>453.18181820000001</v>
      </c>
    </row>
    <row r="114" spans="1:7" ht="15.75" x14ac:dyDescent="0.25">
      <c r="A114" s="33">
        <v>2113</v>
      </c>
      <c r="B114" s="33">
        <v>2214</v>
      </c>
      <c r="C114" s="33" t="s">
        <v>20</v>
      </c>
      <c r="D114" s="33" t="s">
        <v>21</v>
      </c>
      <c r="E114" s="33" t="s">
        <v>15</v>
      </c>
      <c r="F114" s="33">
        <v>56</v>
      </c>
      <c r="G114" s="34">
        <v>467.72727270000001</v>
      </c>
    </row>
    <row r="115" spans="1:7" ht="15.75" x14ac:dyDescent="0.25">
      <c r="A115" s="33">
        <v>2113</v>
      </c>
      <c r="B115" s="33">
        <v>2214</v>
      </c>
      <c r="C115" s="33" t="s">
        <v>20</v>
      </c>
      <c r="D115" s="33" t="s">
        <v>21</v>
      </c>
      <c r="E115" s="33" t="s">
        <v>15</v>
      </c>
      <c r="F115" s="33">
        <v>70</v>
      </c>
      <c r="G115" s="35">
        <v>458.63636359999998</v>
      </c>
    </row>
    <row r="116" spans="1:7" ht="15.75" x14ac:dyDescent="0.25">
      <c r="A116" s="33">
        <v>2116</v>
      </c>
      <c r="B116" s="33">
        <v>2214</v>
      </c>
      <c r="C116" s="33" t="s">
        <v>20</v>
      </c>
      <c r="D116" s="33" t="s">
        <v>21</v>
      </c>
      <c r="E116" s="33" t="s">
        <v>15</v>
      </c>
      <c r="F116" s="33">
        <v>0</v>
      </c>
      <c r="G116" s="34">
        <v>384.09090909999998</v>
      </c>
    </row>
    <row r="117" spans="1:7" ht="15.75" x14ac:dyDescent="0.25">
      <c r="A117" s="33">
        <v>2116</v>
      </c>
      <c r="B117" s="33">
        <v>2214</v>
      </c>
      <c r="C117" s="33" t="s">
        <v>20</v>
      </c>
      <c r="D117" s="33" t="s">
        <v>21</v>
      </c>
      <c r="E117" s="33" t="s">
        <v>15</v>
      </c>
      <c r="F117" s="33">
        <v>14</v>
      </c>
      <c r="G117" s="34">
        <v>411.81818179999999</v>
      </c>
    </row>
    <row r="118" spans="1:7" ht="15.75" x14ac:dyDescent="0.25">
      <c r="A118" s="33">
        <v>2116</v>
      </c>
      <c r="B118" s="33">
        <v>2214</v>
      </c>
      <c r="C118" s="33" t="s">
        <v>20</v>
      </c>
      <c r="D118" s="33" t="s">
        <v>21</v>
      </c>
      <c r="E118" s="33" t="s">
        <v>15</v>
      </c>
      <c r="F118" s="33">
        <v>28</v>
      </c>
      <c r="G118" s="34">
        <v>437.72727270000001</v>
      </c>
    </row>
    <row r="119" spans="1:7" ht="15.75" x14ac:dyDescent="0.25">
      <c r="A119" s="33">
        <v>2116</v>
      </c>
      <c r="B119" s="33">
        <v>2214</v>
      </c>
      <c r="C119" s="33" t="s">
        <v>20</v>
      </c>
      <c r="D119" s="33" t="s">
        <v>21</v>
      </c>
      <c r="E119" s="33" t="s">
        <v>15</v>
      </c>
      <c r="F119" s="33">
        <v>42</v>
      </c>
      <c r="G119" s="34">
        <v>462.72727270000001</v>
      </c>
    </row>
    <row r="120" spans="1:7" ht="15.75" x14ac:dyDescent="0.25">
      <c r="A120" s="33">
        <v>2116</v>
      </c>
      <c r="B120" s="33">
        <v>2214</v>
      </c>
      <c r="C120" s="33" t="s">
        <v>20</v>
      </c>
      <c r="D120" s="33" t="s">
        <v>21</v>
      </c>
      <c r="E120" s="33" t="s">
        <v>15</v>
      </c>
      <c r="F120" s="33">
        <v>56</v>
      </c>
      <c r="G120" s="34">
        <v>481.36363640000002</v>
      </c>
    </row>
    <row r="121" spans="1:7" ht="15.75" x14ac:dyDescent="0.25">
      <c r="A121" s="33">
        <v>2116</v>
      </c>
      <c r="B121" s="33">
        <v>2214</v>
      </c>
      <c r="C121" s="33" t="s">
        <v>20</v>
      </c>
      <c r="D121" s="33" t="s">
        <v>21</v>
      </c>
      <c r="E121" s="33" t="s">
        <v>15</v>
      </c>
      <c r="F121" s="33">
        <v>70</v>
      </c>
      <c r="G121" s="35">
        <v>490.90909090000002</v>
      </c>
    </row>
    <row r="122" spans="1:7" ht="15.75" x14ac:dyDescent="0.25">
      <c r="A122" s="33">
        <v>2117</v>
      </c>
      <c r="B122" s="33">
        <v>2214</v>
      </c>
      <c r="C122" s="33" t="s">
        <v>20</v>
      </c>
      <c r="D122" s="33" t="s">
        <v>21</v>
      </c>
      <c r="E122" s="33" t="s">
        <v>15</v>
      </c>
      <c r="F122" s="33">
        <v>0</v>
      </c>
      <c r="G122" s="34">
        <v>375</v>
      </c>
    </row>
    <row r="123" spans="1:7" ht="15.75" x14ac:dyDescent="0.25">
      <c r="A123" s="33">
        <v>2117</v>
      </c>
      <c r="B123" s="33">
        <v>2214</v>
      </c>
      <c r="C123" s="33" t="s">
        <v>20</v>
      </c>
      <c r="D123" s="33" t="s">
        <v>21</v>
      </c>
      <c r="E123" s="33" t="s">
        <v>15</v>
      </c>
      <c r="F123" s="33">
        <v>14</v>
      </c>
      <c r="G123" s="34">
        <v>415.45454549999999</v>
      </c>
    </row>
    <row r="124" spans="1:7" ht="15.75" x14ac:dyDescent="0.25">
      <c r="A124" s="33">
        <v>2117</v>
      </c>
      <c r="B124" s="33">
        <v>2214</v>
      </c>
      <c r="C124" s="33" t="s">
        <v>20</v>
      </c>
      <c r="D124" s="33" t="s">
        <v>21</v>
      </c>
      <c r="E124" s="33" t="s">
        <v>15</v>
      </c>
      <c r="F124" s="33">
        <v>28</v>
      </c>
      <c r="G124" s="34">
        <v>447.27272729999999</v>
      </c>
    </row>
    <row r="125" spans="1:7" ht="15.75" x14ac:dyDescent="0.25">
      <c r="A125" s="33">
        <v>2117</v>
      </c>
      <c r="B125" s="33">
        <v>2214</v>
      </c>
      <c r="C125" s="33" t="s">
        <v>20</v>
      </c>
      <c r="D125" s="33" t="s">
        <v>21</v>
      </c>
      <c r="E125" s="33" t="s">
        <v>15</v>
      </c>
      <c r="F125" s="33">
        <v>42</v>
      </c>
      <c r="G125" s="34">
        <v>461.81818179999999</v>
      </c>
    </row>
    <row r="126" spans="1:7" ht="15.75" x14ac:dyDescent="0.25">
      <c r="A126" s="33">
        <v>2117</v>
      </c>
      <c r="B126" s="33">
        <v>2214</v>
      </c>
      <c r="C126" s="33" t="s">
        <v>20</v>
      </c>
      <c r="D126" s="33" t="s">
        <v>21</v>
      </c>
      <c r="E126" s="33" t="s">
        <v>15</v>
      </c>
      <c r="F126" s="33">
        <v>56</v>
      </c>
      <c r="G126" s="34">
        <v>482.72727270000001</v>
      </c>
    </row>
    <row r="127" spans="1:7" ht="15.75" x14ac:dyDescent="0.25">
      <c r="A127" s="33">
        <v>2117</v>
      </c>
      <c r="B127" s="33">
        <v>2214</v>
      </c>
      <c r="C127" s="33" t="s">
        <v>20</v>
      </c>
      <c r="D127" s="33" t="s">
        <v>21</v>
      </c>
      <c r="E127" s="33" t="s">
        <v>15</v>
      </c>
      <c r="F127" s="33">
        <v>70</v>
      </c>
      <c r="G127" s="35">
        <v>510.45454549999999</v>
      </c>
    </row>
    <row r="128" spans="1:7" ht="15.75" x14ac:dyDescent="0.25">
      <c r="A128" s="33">
        <v>2120</v>
      </c>
      <c r="B128" s="33">
        <v>2214</v>
      </c>
      <c r="C128" s="33" t="s">
        <v>20</v>
      </c>
      <c r="D128" s="33" t="s">
        <v>21</v>
      </c>
      <c r="E128" s="33" t="s">
        <v>15</v>
      </c>
      <c r="F128" s="33">
        <v>0</v>
      </c>
      <c r="G128" s="34">
        <v>355.90909090000002</v>
      </c>
    </row>
    <row r="129" spans="1:7" ht="15.75" x14ac:dyDescent="0.25">
      <c r="A129" s="33">
        <v>2120</v>
      </c>
      <c r="B129" s="33">
        <v>2214</v>
      </c>
      <c r="C129" s="33" t="s">
        <v>20</v>
      </c>
      <c r="D129" s="33" t="s">
        <v>21</v>
      </c>
      <c r="E129" s="33" t="s">
        <v>15</v>
      </c>
      <c r="F129" s="33">
        <v>14</v>
      </c>
      <c r="G129" s="34">
        <v>399.09090909999998</v>
      </c>
    </row>
    <row r="130" spans="1:7" ht="15.75" x14ac:dyDescent="0.25">
      <c r="A130" s="33">
        <v>2120</v>
      </c>
      <c r="B130" s="33">
        <v>2214</v>
      </c>
      <c r="C130" s="33" t="s">
        <v>20</v>
      </c>
      <c r="D130" s="33" t="s">
        <v>21</v>
      </c>
      <c r="E130" s="33" t="s">
        <v>15</v>
      </c>
      <c r="F130" s="33">
        <v>28</v>
      </c>
      <c r="G130" s="34">
        <v>442.27272729999999</v>
      </c>
    </row>
    <row r="131" spans="1:7" ht="15.75" x14ac:dyDescent="0.25">
      <c r="A131" s="33">
        <v>2120</v>
      </c>
      <c r="B131" s="33">
        <v>2214</v>
      </c>
      <c r="C131" s="33" t="s">
        <v>20</v>
      </c>
      <c r="D131" s="33" t="s">
        <v>21</v>
      </c>
      <c r="E131" s="33" t="s">
        <v>15</v>
      </c>
      <c r="F131" s="33">
        <v>42</v>
      </c>
      <c r="G131" s="34">
        <v>460</v>
      </c>
    </row>
    <row r="132" spans="1:7" ht="15.75" x14ac:dyDescent="0.25">
      <c r="A132" s="33">
        <v>2120</v>
      </c>
      <c r="B132" s="33">
        <v>2214</v>
      </c>
      <c r="C132" s="33" t="s">
        <v>20</v>
      </c>
      <c r="D132" s="33" t="s">
        <v>21</v>
      </c>
      <c r="E132" s="33" t="s">
        <v>15</v>
      </c>
      <c r="F132" s="33">
        <v>56</v>
      </c>
      <c r="G132" s="34">
        <v>488.18181820000001</v>
      </c>
    </row>
    <row r="133" spans="1:7" ht="15.75" x14ac:dyDescent="0.25">
      <c r="A133" s="33">
        <v>2120</v>
      </c>
      <c r="B133" s="33">
        <v>2214</v>
      </c>
      <c r="C133" s="33" t="s">
        <v>20</v>
      </c>
      <c r="D133" s="33" t="s">
        <v>21</v>
      </c>
      <c r="E133" s="33" t="s">
        <v>15</v>
      </c>
      <c r="F133" s="33">
        <v>70</v>
      </c>
      <c r="G133" s="35">
        <v>491.36363640000002</v>
      </c>
    </row>
    <row r="134" spans="1:7" ht="15.75" x14ac:dyDescent="0.25">
      <c r="A134" s="33">
        <v>2121</v>
      </c>
      <c r="B134" s="33">
        <v>2214</v>
      </c>
      <c r="C134" s="33" t="s">
        <v>23</v>
      </c>
      <c r="D134" s="33" t="s">
        <v>21</v>
      </c>
      <c r="E134" s="33" t="s">
        <v>24</v>
      </c>
      <c r="F134" s="33">
        <v>0</v>
      </c>
      <c r="G134" s="34">
        <v>402.27272729999999</v>
      </c>
    </row>
    <row r="135" spans="1:7" ht="15.75" x14ac:dyDescent="0.25">
      <c r="A135" s="33">
        <v>2121</v>
      </c>
      <c r="B135" s="33">
        <v>2214</v>
      </c>
      <c r="C135" s="33" t="s">
        <v>23</v>
      </c>
      <c r="D135" s="33" t="s">
        <v>21</v>
      </c>
      <c r="E135" s="33" t="s">
        <v>24</v>
      </c>
      <c r="F135" s="33">
        <v>14</v>
      </c>
      <c r="G135" s="34">
        <v>445.90909090000002</v>
      </c>
    </row>
    <row r="136" spans="1:7" ht="15.75" x14ac:dyDescent="0.25">
      <c r="A136" s="33">
        <v>2121</v>
      </c>
      <c r="B136" s="33">
        <v>2214</v>
      </c>
      <c r="C136" s="33" t="s">
        <v>23</v>
      </c>
      <c r="D136" s="33" t="s">
        <v>21</v>
      </c>
      <c r="E136" s="33" t="s">
        <v>24</v>
      </c>
      <c r="F136" s="33">
        <v>28</v>
      </c>
      <c r="G136" s="34">
        <v>487.27272729999999</v>
      </c>
    </row>
    <row r="137" spans="1:7" ht="15.75" x14ac:dyDescent="0.25">
      <c r="A137" s="33">
        <v>2121</v>
      </c>
      <c r="B137" s="33">
        <v>2214</v>
      </c>
      <c r="C137" s="33" t="s">
        <v>23</v>
      </c>
      <c r="D137" s="33" t="s">
        <v>21</v>
      </c>
      <c r="E137" s="33" t="s">
        <v>24</v>
      </c>
      <c r="F137" s="33">
        <v>42</v>
      </c>
      <c r="G137" s="34">
        <v>510</v>
      </c>
    </row>
    <row r="138" spans="1:7" ht="15.75" x14ac:dyDescent="0.25">
      <c r="A138" s="33">
        <v>2121</v>
      </c>
      <c r="B138" s="33">
        <v>2214</v>
      </c>
      <c r="C138" s="33" t="s">
        <v>23</v>
      </c>
      <c r="D138" s="33" t="s">
        <v>21</v>
      </c>
      <c r="E138" s="33" t="s">
        <v>24</v>
      </c>
      <c r="F138" s="33">
        <v>56</v>
      </c>
      <c r="G138" s="34">
        <v>539.54545450000001</v>
      </c>
    </row>
    <row r="139" spans="1:7" ht="15.75" x14ac:dyDescent="0.25">
      <c r="A139" s="33">
        <v>2121</v>
      </c>
      <c r="B139" s="33">
        <v>2214</v>
      </c>
      <c r="C139" s="33" t="s">
        <v>23</v>
      </c>
      <c r="D139" s="33" t="s">
        <v>21</v>
      </c>
      <c r="E139" s="33" t="s">
        <v>24</v>
      </c>
      <c r="F139" s="33">
        <v>70</v>
      </c>
      <c r="G139" s="35">
        <v>540.90909090000002</v>
      </c>
    </row>
    <row r="140" spans="1:7" ht="15.75" x14ac:dyDescent="0.25">
      <c r="A140" s="33">
        <v>2122</v>
      </c>
      <c r="B140" s="33">
        <v>2214</v>
      </c>
      <c r="C140" s="33" t="s">
        <v>14</v>
      </c>
      <c r="D140" s="33" t="s">
        <v>15</v>
      </c>
      <c r="E140" s="33" t="s">
        <v>15</v>
      </c>
      <c r="F140" s="33">
        <v>0</v>
      </c>
      <c r="G140" s="34">
        <v>400.45454549999999</v>
      </c>
    </row>
    <row r="141" spans="1:7" ht="15.75" x14ac:dyDescent="0.25">
      <c r="A141" s="33">
        <v>2122</v>
      </c>
      <c r="B141" s="33">
        <v>2214</v>
      </c>
      <c r="C141" s="33" t="s">
        <v>14</v>
      </c>
      <c r="D141" s="33" t="s">
        <v>15</v>
      </c>
      <c r="E141" s="33" t="s">
        <v>15</v>
      </c>
      <c r="F141" s="33">
        <v>14</v>
      </c>
      <c r="G141" s="34">
        <v>451.81818179999999</v>
      </c>
    </row>
    <row r="142" spans="1:7" ht="15.75" x14ac:dyDescent="0.25">
      <c r="A142" s="33">
        <v>2122</v>
      </c>
      <c r="B142" s="33">
        <v>2214</v>
      </c>
      <c r="C142" s="33" t="s">
        <v>14</v>
      </c>
      <c r="D142" s="33" t="s">
        <v>15</v>
      </c>
      <c r="E142" s="33" t="s">
        <v>15</v>
      </c>
      <c r="F142" s="33">
        <v>28</v>
      </c>
      <c r="G142" s="34">
        <v>470.90909090000002</v>
      </c>
    </row>
    <row r="143" spans="1:7" ht="15.75" x14ac:dyDescent="0.25">
      <c r="A143" s="33">
        <v>2122</v>
      </c>
      <c r="B143" s="33">
        <v>2214</v>
      </c>
      <c r="C143" s="33" t="s">
        <v>14</v>
      </c>
      <c r="D143" s="33" t="s">
        <v>15</v>
      </c>
      <c r="E143" s="33" t="s">
        <v>15</v>
      </c>
      <c r="F143" s="33">
        <v>42</v>
      </c>
      <c r="G143" s="34">
        <v>500.90909090000002</v>
      </c>
    </row>
    <row r="144" spans="1:7" ht="15.75" x14ac:dyDescent="0.25">
      <c r="A144" s="33">
        <v>2122</v>
      </c>
      <c r="B144" s="33">
        <v>2214</v>
      </c>
      <c r="C144" s="33" t="s">
        <v>14</v>
      </c>
      <c r="D144" s="33" t="s">
        <v>15</v>
      </c>
      <c r="E144" s="33" t="s">
        <v>15</v>
      </c>
      <c r="F144" s="33">
        <v>56</v>
      </c>
      <c r="G144" s="34">
        <v>524.09090909999998</v>
      </c>
    </row>
    <row r="145" spans="1:7" ht="15.75" x14ac:dyDescent="0.25">
      <c r="A145" s="33">
        <v>2122</v>
      </c>
      <c r="B145" s="33">
        <v>2214</v>
      </c>
      <c r="C145" s="33" t="s">
        <v>14</v>
      </c>
      <c r="D145" s="33" t="s">
        <v>15</v>
      </c>
      <c r="E145" s="33" t="s">
        <v>15</v>
      </c>
      <c r="F145" s="33">
        <v>70</v>
      </c>
      <c r="G145" s="35">
        <v>545.90909090000002</v>
      </c>
    </row>
    <row r="146" spans="1:7" ht="15.75" x14ac:dyDescent="0.25">
      <c r="A146" s="33">
        <v>2123</v>
      </c>
      <c r="B146" s="33">
        <v>2214</v>
      </c>
      <c r="C146" s="33" t="s">
        <v>20</v>
      </c>
      <c r="D146" s="33" t="s">
        <v>21</v>
      </c>
      <c r="E146" s="33" t="s">
        <v>15</v>
      </c>
      <c r="F146" s="33">
        <v>0</v>
      </c>
      <c r="G146" s="34">
        <v>371.36363640000002</v>
      </c>
    </row>
    <row r="147" spans="1:7" ht="15.75" x14ac:dyDescent="0.25">
      <c r="A147" s="33">
        <v>2123</v>
      </c>
      <c r="B147" s="33">
        <v>2214</v>
      </c>
      <c r="C147" s="33" t="s">
        <v>20</v>
      </c>
      <c r="D147" s="33" t="s">
        <v>21</v>
      </c>
      <c r="E147" s="33" t="s">
        <v>15</v>
      </c>
      <c r="F147" s="33">
        <v>14</v>
      </c>
      <c r="G147" s="34">
        <v>411.81818179999999</v>
      </c>
    </row>
    <row r="148" spans="1:7" ht="15.75" x14ac:dyDescent="0.25">
      <c r="A148" s="33">
        <v>2123</v>
      </c>
      <c r="B148" s="33">
        <v>2214</v>
      </c>
      <c r="C148" s="33" t="s">
        <v>20</v>
      </c>
      <c r="D148" s="33" t="s">
        <v>21</v>
      </c>
      <c r="E148" s="33" t="s">
        <v>15</v>
      </c>
      <c r="F148" s="33">
        <v>28</v>
      </c>
      <c r="G148" s="34">
        <v>422.27272729999999</v>
      </c>
    </row>
    <row r="149" spans="1:7" ht="15.75" x14ac:dyDescent="0.25">
      <c r="A149" s="33">
        <v>2123</v>
      </c>
      <c r="B149" s="33">
        <v>2214</v>
      </c>
      <c r="C149" s="33" t="s">
        <v>20</v>
      </c>
      <c r="D149" s="33" t="s">
        <v>21</v>
      </c>
      <c r="E149" s="33" t="s">
        <v>15</v>
      </c>
      <c r="F149" s="33">
        <v>42</v>
      </c>
      <c r="G149" s="34">
        <v>432.27272729999999</v>
      </c>
    </row>
    <row r="150" spans="1:7" ht="15.75" x14ac:dyDescent="0.25">
      <c r="A150" s="33">
        <v>2123</v>
      </c>
      <c r="B150" s="33">
        <v>2214</v>
      </c>
      <c r="C150" s="33" t="s">
        <v>20</v>
      </c>
      <c r="D150" s="33" t="s">
        <v>21</v>
      </c>
      <c r="E150" s="33" t="s">
        <v>15</v>
      </c>
      <c r="F150" s="33">
        <v>56</v>
      </c>
      <c r="G150" s="34">
        <v>468.18181820000001</v>
      </c>
    </row>
    <row r="151" spans="1:7" ht="15.75" x14ac:dyDescent="0.25">
      <c r="A151" s="33">
        <v>2123</v>
      </c>
      <c r="B151" s="33">
        <v>2214</v>
      </c>
      <c r="C151" s="33" t="s">
        <v>20</v>
      </c>
      <c r="D151" s="33" t="s">
        <v>21</v>
      </c>
      <c r="E151" s="33" t="s">
        <v>15</v>
      </c>
      <c r="F151" s="33">
        <v>70</v>
      </c>
      <c r="G151" s="35">
        <v>469.54545450000001</v>
      </c>
    </row>
    <row r="152" spans="1:7" ht="15.75" x14ac:dyDescent="0.25">
      <c r="A152" s="33">
        <v>2125</v>
      </c>
      <c r="B152" s="33">
        <v>2214</v>
      </c>
      <c r="C152" s="33" t="s">
        <v>23</v>
      </c>
      <c r="D152" s="33" t="s">
        <v>21</v>
      </c>
      <c r="E152" s="33" t="s">
        <v>24</v>
      </c>
      <c r="F152" s="33">
        <v>0</v>
      </c>
      <c r="G152" s="34">
        <v>380.45454549999999</v>
      </c>
    </row>
    <row r="153" spans="1:7" ht="15.75" x14ac:dyDescent="0.25">
      <c r="A153" s="33">
        <v>2125</v>
      </c>
      <c r="B153" s="33">
        <v>2214</v>
      </c>
      <c r="C153" s="33" t="s">
        <v>23</v>
      </c>
      <c r="D153" s="33" t="s">
        <v>21</v>
      </c>
      <c r="E153" s="33" t="s">
        <v>24</v>
      </c>
      <c r="F153" s="33">
        <v>14</v>
      </c>
      <c r="G153" s="34">
        <v>414.09090909999998</v>
      </c>
    </row>
    <row r="154" spans="1:7" ht="15.75" x14ac:dyDescent="0.25">
      <c r="A154" s="33">
        <v>2125</v>
      </c>
      <c r="B154" s="33">
        <v>2214</v>
      </c>
      <c r="C154" s="33" t="s">
        <v>23</v>
      </c>
      <c r="D154" s="33" t="s">
        <v>21</v>
      </c>
      <c r="E154" s="33" t="s">
        <v>24</v>
      </c>
      <c r="F154" s="33">
        <v>28</v>
      </c>
      <c r="G154" s="34">
        <v>437.27272729999999</v>
      </c>
    </row>
    <row r="155" spans="1:7" ht="15.75" x14ac:dyDescent="0.25">
      <c r="A155" s="33">
        <v>2125</v>
      </c>
      <c r="B155" s="33">
        <v>2214</v>
      </c>
      <c r="C155" s="33" t="s">
        <v>23</v>
      </c>
      <c r="D155" s="33" t="s">
        <v>21</v>
      </c>
      <c r="E155" s="33" t="s">
        <v>24</v>
      </c>
      <c r="F155" s="33">
        <v>42</v>
      </c>
      <c r="G155" s="34">
        <v>458.63636359999998</v>
      </c>
    </row>
    <row r="156" spans="1:7" ht="15.75" x14ac:dyDescent="0.25">
      <c r="A156" s="33">
        <v>2125</v>
      </c>
      <c r="B156" s="33">
        <v>2214</v>
      </c>
      <c r="C156" s="33" t="s">
        <v>23</v>
      </c>
      <c r="D156" s="33" t="s">
        <v>21</v>
      </c>
      <c r="E156" s="33" t="s">
        <v>24</v>
      </c>
      <c r="F156" s="33">
        <v>56</v>
      </c>
      <c r="G156" s="34">
        <v>490</v>
      </c>
    </row>
    <row r="157" spans="1:7" ht="15.75" x14ac:dyDescent="0.25">
      <c r="A157" s="33">
        <v>2125</v>
      </c>
      <c r="B157" s="33">
        <v>2214</v>
      </c>
      <c r="C157" s="33" t="s">
        <v>23</v>
      </c>
      <c r="D157" s="33" t="s">
        <v>21</v>
      </c>
      <c r="E157" s="33" t="s">
        <v>24</v>
      </c>
      <c r="F157" s="33">
        <v>70</v>
      </c>
      <c r="G157" s="35">
        <v>520</v>
      </c>
    </row>
    <row r="158" spans="1:7" ht="15.75" x14ac:dyDescent="0.25">
      <c r="A158" s="33">
        <v>2126</v>
      </c>
      <c r="B158" s="33">
        <v>2214</v>
      </c>
      <c r="C158" s="33" t="s">
        <v>14</v>
      </c>
      <c r="D158" s="33" t="s">
        <v>15</v>
      </c>
      <c r="E158" s="33" t="s">
        <v>15</v>
      </c>
      <c r="F158" s="33">
        <v>0</v>
      </c>
      <c r="G158" s="34">
        <v>429.09090909999998</v>
      </c>
    </row>
    <row r="159" spans="1:7" ht="15.75" x14ac:dyDescent="0.25">
      <c r="A159" s="33">
        <v>2126</v>
      </c>
      <c r="B159" s="33">
        <v>2214</v>
      </c>
      <c r="C159" s="33" t="s">
        <v>14</v>
      </c>
      <c r="D159" s="33" t="s">
        <v>15</v>
      </c>
      <c r="E159" s="33" t="s">
        <v>15</v>
      </c>
      <c r="F159" s="33">
        <v>14</v>
      </c>
      <c r="G159" s="34">
        <v>461.36363640000002</v>
      </c>
    </row>
    <row r="160" spans="1:7" ht="15.75" x14ac:dyDescent="0.25">
      <c r="A160" s="33">
        <v>2126</v>
      </c>
      <c r="B160" s="33">
        <v>2214</v>
      </c>
      <c r="C160" s="33" t="s">
        <v>14</v>
      </c>
      <c r="D160" s="33" t="s">
        <v>15</v>
      </c>
      <c r="E160" s="33" t="s">
        <v>15</v>
      </c>
      <c r="F160" s="33">
        <v>28</v>
      </c>
      <c r="G160" s="34">
        <v>521.36363640000002</v>
      </c>
    </row>
    <row r="161" spans="1:7" ht="15.75" x14ac:dyDescent="0.25">
      <c r="A161" s="33">
        <v>2126</v>
      </c>
      <c r="B161" s="33">
        <v>2214</v>
      </c>
      <c r="C161" s="33" t="s">
        <v>14</v>
      </c>
      <c r="D161" s="33" t="s">
        <v>15</v>
      </c>
      <c r="E161" s="33" t="s">
        <v>15</v>
      </c>
      <c r="F161" s="33">
        <v>42</v>
      </c>
      <c r="G161" s="34">
        <v>556.36363640000002</v>
      </c>
    </row>
    <row r="162" spans="1:7" ht="15.75" x14ac:dyDescent="0.25">
      <c r="A162" s="33">
        <v>2126</v>
      </c>
      <c r="B162" s="33">
        <v>2214</v>
      </c>
      <c r="C162" s="33" t="s">
        <v>14</v>
      </c>
      <c r="D162" s="33" t="s">
        <v>15</v>
      </c>
      <c r="E162" s="33" t="s">
        <v>15</v>
      </c>
      <c r="F162" s="33">
        <v>56</v>
      </c>
      <c r="G162" s="34">
        <v>582.72727269999996</v>
      </c>
    </row>
    <row r="163" spans="1:7" ht="15.75" x14ac:dyDescent="0.25">
      <c r="A163" s="33">
        <v>2126</v>
      </c>
      <c r="B163" s="33">
        <v>2214</v>
      </c>
      <c r="C163" s="33" t="s">
        <v>14</v>
      </c>
      <c r="D163" s="33" t="s">
        <v>15</v>
      </c>
      <c r="E163" s="33" t="s">
        <v>15</v>
      </c>
      <c r="F163" s="33">
        <v>70</v>
      </c>
      <c r="G163" s="35">
        <v>616.36363640000002</v>
      </c>
    </row>
    <row r="164" spans="1:7" ht="15.75" x14ac:dyDescent="0.25">
      <c r="A164" s="33">
        <v>2129</v>
      </c>
      <c r="B164" s="33">
        <v>2214</v>
      </c>
      <c r="C164" s="33" t="s">
        <v>23</v>
      </c>
      <c r="D164" s="33" t="s">
        <v>21</v>
      </c>
      <c r="E164" s="33" t="s">
        <v>24</v>
      </c>
      <c r="F164" s="33">
        <v>0</v>
      </c>
      <c r="G164" s="34">
        <v>400.90909090000002</v>
      </c>
    </row>
    <row r="165" spans="1:7" ht="15.75" x14ac:dyDescent="0.25">
      <c r="A165" s="33">
        <v>2129</v>
      </c>
      <c r="B165" s="33">
        <v>2214</v>
      </c>
      <c r="C165" s="33" t="s">
        <v>23</v>
      </c>
      <c r="D165" s="33" t="s">
        <v>21</v>
      </c>
      <c r="E165" s="33" t="s">
        <v>24</v>
      </c>
      <c r="F165" s="33">
        <v>14</v>
      </c>
      <c r="G165" s="34">
        <v>432.27272729999999</v>
      </c>
    </row>
    <row r="166" spans="1:7" ht="15.75" x14ac:dyDescent="0.25">
      <c r="A166" s="33">
        <v>2129</v>
      </c>
      <c r="B166" s="33">
        <v>2214</v>
      </c>
      <c r="C166" s="33" t="s">
        <v>23</v>
      </c>
      <c r="D166" s="33" t="s">
        <v>21</v>
      </c>
      <c r="E166" s="33" t="s">
        <v>24</v>
      </c>
      <c r="F166" s="33">
        <v>28</v>
      </c>
      <c r="G166" s="34">
        <v>464.54545450000001</v>
      </c>
    </row>
    <row r="167" spans="1:7" ht="15.75" x14ac:dyDescent="0.25">
      <c r="A167" s="33">
        <v>2129</v>
      </c>
      <c r="B167" s="33">
        <v>2214</v>
      </c>
      <c r="C167" s="33" t="s">
        <v>23</v>
      </c>
      <c r="D167" s="33" t="s">
        <v>21</v>
      </c>
      <c r="E167" s="33" t="s">
        <v>24</v>
      </c>
      <c r="F167" s="33">
        <v>42</v>
      </c>
      <c r="G167" s="34">
        <v>481.36363640000002</v>
      </c>
    </row>
    <row r="168" spans="1:7" ht="15.75" x14ac:dyDescent="0.25">
      <c r="A168" s="33">
        <v>2129</v>
      </c>
      <c r="B168" s="33">
        <v>2214</v>
      </c>
      <c r="C168" s="33" t="s">
        <v>23</v>
      </c>
      <c r="D168" s="33" t="s">
        <v>21</v>
      </c>
      <c r="E168" s="33" t="s">
        <v>24</v>
      </c>
      <c r="F168" s="33">
        <v>56</v>
      </c>
      <c r="G168" s="34">
        <v>522.72727269999996</v>
      </c>
    </row>
    <row r="169" spans="1:7" ht="15.75" x14ac:dyDescent="0.25">
      <c r="A169" s="33">
        <v>2129</v>
      </c>
      <c r="B169" s="33">
        <v>2214</v>
      </c>
      <c r="C169" s="33" t="s">
        <v>23</v>
      </c>
      <c r="D169" s="33" t="s">
        <v>21</v>
      </c>
      <c r="E169" s="33" t="s">
        <v>24</v>
      </c>
      <c r="F169" s="33">
        <v>70</v>
      </c>
      <c r="G169" s="35">
        <v>518.18181819999995</v>
      </c>
    </row>
    <row r="170" spans="1:7" ht="15.75" x14ac:dyDescent="0.25">
      <c r="A170" s="33">
        <v>2131</v>
      </c>
      <c r="B170" s="33">
        <v>2214</v>
      </c>
      <c r="C170" s="33" t="s">
        <v>27</v>
      </c>
      <c r="D170" s="33" t="s">
        <v>15</v>
      </c>
      <c r="E170" s="33" t="s">
        <v>24</v>
      </c>
      <c r="F170" s="33">
        <v>0</v>
      </c>
      <c r="G170" s="34">
        <v>412.72727270000001</v>
      </c>
    </row>
    <row r="171" spans="1:7" ht="15.75" x14ac:dyDescent="0.25">
      <c r="A171" s="33">
        <v>2131</v>
      </c>
      <c r="B171" s="33">
        <v>2214</v>
      </c>
      <c r="C171" s="33" t="s">
        <v>27</v>
      </c>
      <c r="D171" s="33" t="s">
        <v>15</v>
      </c>
      <c r="E171" s="33" t="s">
        <v>24</v>
      </c>
      <c r="F171" s="33">
        <v>14</v>
      </c>
      <c r="G171" s="34">
        <v>454.54545450000001</v>
      </c>
    </row>
    <row r="172" spans="1:7" ht="15.75" x14ac:dyDescent="0.25">
      <c r="A172" s="33">
        <v>2131</v>
      </c>
      <c r="B172" s="33">
        <v>2214</v>
      </c>
      <c r="C172" s="33" t="s">
        <v>27</v>
      </c>
      <c r="D172" s="33" t="s">
        <v>15</v>
      </c>
      <c r="E172" s="33" t="s">
        <v>24</v>
      </c>
      <c r="F172" s="33">
        <v>28</v>
      </c>
      <c r="G172" s="34">
        <v>501.36363640000002</v>
      </c>
    </row>
    <row r="173" spans="1:7" ht="15.75" x14ac:dyDescent="0.25">
      <c r="A173" s="33">
        <v>2131</v>
      </c>
      <c r="B173" s="33">
        <v>2214</v>
      </c>
      <c r="C173" s="33" t="s">
        <v>27</v>
      </c>
      <c r="D173" s="33" t="s">
        <v>15</v>
      </c>
      <c r="E173" s="33" t="s">
        <v>24</v>
      </c>
      <c r="F173" s="33">
        <v>42</v>
      </c>
      <c r="G173" s="34">
        <v>509.09090909999998</v>
      </c>
    </row>
    <row r="174" spans="1:7" ht="15.75" x14ac:dyDescent="0.25">
      <c r="A174" s="33">
        <v>2131</v>
      </c>
      <c r="B174" s="33">
        <v>2214</v>
      </c>
      <c r="C174" s="33" t="s">
        <v>27</v>
      </c>
      <c r="D174" s="33" t="s">
        <v>15</v>
      </c>
      <c r="E174" s="33" t="s">
        <v>24</v>
      </c>
      <c r="F174" s="33">
        <v>56</v>
      </c>
      <c r="G174" s="34">
        <v>538.18181819999995</v>
      </c>
    </row>
    <row r="175" spans="1:7" ht="15.75" x14ac:dyDescent="0.25">
      <c r="A175" s="33">
        <v>2131</v>
      </c>
      <c r="B175" s="33">
        <v>2214</v>
      </c>
      <c r="C175" s="33" t="s">
        <v>27</v>
      </c>
      <c r="D175" s="33" t="s">
        <v>15</v>
      </c>
      <c r="E175" s="33" t="s">
        <v>24</v>
      </c>
      <c r="F175" s="33">
        <v>70</v>
      </c>
      <c r="G175" s="35">
        <v>548.63636359999998</v>
      </c>
    </row>
    <row r="176" spans="1:7" ht="15.75" x14ac:dyDescent="0.25">
      <c r="A176" s="33">
        <v>2132</v>
      </c>
      <c r="B176" s="33">
        <v>2214</v>
      </c>
      <c r="C176" s="33" t="s">
        <v>20</v>
      </c>
      <c r="D176" s="33" t="s">
        <v>21</v>
      </c>
      <c r="E176" s="33" t="s">
        <v>15</v>
      </c>
      <c r="F176" s="33">
        <v>0</v>
      </c>
      <c r="G176" s="34">
        <v>381.36363640000002</v>
      </c>
    </row>
    <row r="177" spans="1:7" ht="15.75" x14ac:dyDescent="0.25">
      <c r="A177" s="33">
        <v>2132</v>
      </c>
      <c r="B177" s="33">
        <v>2214</v>
      </c>
      <c r="C177" s="33" t="s">
        <v>20</v>
      </c>
      <c r="D177" s="33" t="s">
        <v>21</v>
      </c>
      <c r="E177" s="33" t="s">
        <v>15</v>
      </c>
      <c r="F177" s="33">
        <v>14</v>
      </c>
      <c r="G177" s="34">
        <v>419.09090909999998</v>
      </c>
    </row>
    <row r="178" spans="1:7" ht="15.75" x14ac:dyDescent="0.25">
      <c r="A178" s="33">
        <v>2132</v>
      </c>
      <c r="B178" s="33">
        <v>2214</v>
      </c>
      <c r="C178" s="33" t="s">
        <v>20</v>
      </c>
      <c r="D178" s="33" t="s">
        <v>21</v>
      </c>
      <c r="E178" s="33" t="s">
        <v>15</v>
      </c>
      <c r="F178" s="33">
        <v>28</v>
      </c>
      <c r="G178" s="34">
        <v>450.45454549999999</v>
      </c>
    </row>
    <row r="179" spans="1:7" ht="15.75" x14ac:dyDescent="0.25">
      <c r="A179" s="33">
        <v>2132</v>
      </c>
      <c r="B179" s="33">
        <v>2214</v>
      </c>
      <c r="C179" s="33" t="s">
        <v>20</v>
      </c>
      <c r="D179" s="33" t="s">
        <v>21</v>
      </c>
      <c r="E179" s="33" t="s">
        <v>15</v>
      </c>
      <c r="F179" s="33">
        <v>42</v>
      </c>
      <c r="G179" s="34">
        <v>470.90909090000002</v>
      </c>
    </row>
    <row r="180" spans="1:7" ht="15.75" x14ac:dyDescent="0.25">
      <c r="A180" s="33">
        <v>2132</v>
      </c>
      <c r="B180" s="33">
        <v>2214</v>
      </c>
      <c r="C180" s="33" t="s">
        <v>20</v>
      </c>
      <c r="D180" s="33" t="s">
        <v>21</v>
      </c>
      <c r="E180" s="33" t="s">
        <v>15</v>
      </c>
      <c r="F180" s="33">
        <v>56</v>
      </c>
      <c r="G180" s="34">
        <v>499.54545450000001</v>
      </c>
    </row>
    <row r="181" spans="1:7" ht="15.75" x14ac:dyDescent="0.25">
      <c r="A181" s="33">
        <v>2132</v>
      </c>
      <c r="B181" s="33">
        <v>2214</v>
      </c>
      <c r="C181" s="33" t="s">
        <v>20</v>
      </c>
      <c r="D181" s="33" t="s">
        <v>21</v>
      </c>
      <c r="E181" s="33" t="s">
        <v>15</v>
      </c>
      <c r="F181" s="33">
        <v>70</v>
      </c>
      <c r="G181" s="35">
        <v>500</v>
      </c>
    </row>
    <row r="182" spans="1:7" ht="15.75" x14ac:dyDescent="0.25">
      <c r="A182" s="33">
        <v>2141</v>
      </c>
      <c r="B182" s="33">
        <v>2214</v>
      </c>
      <c r="C182" s="33" t="s">
        <v>20</v>
      </c>
      <c r="D182" s="33" t="s">
        <v>21</v>
      </c>
      <c r="E182" s="33" t="s">
        <v>15</v>
      </c>
      <c r="F182" s="33">
        <v>0</v>
      </c>
      <c r="G182" s="34">
        <v>356.36363640000002</v>
      </c>
    </row>
    <row r="183" spans="1:7" ht="15.75" x14ac:dyDescent="0.25">
      <c r="A183" s="33">
        <v>2141</v>
      </c>
      <c r="B183" s="33">
        <v>2214</v>
      </c>
      <c r="C183" s="33" t="s">
        <v>20</v>
      </c>
      <c r="D183" s="33" t="s">
        <v>21</v>
      </c>
      <c r="E183" s="33" t="s">
        <v>15</v>
      </c>
      <c r="F183" s="33">
        <v>14</v>
      </c>
      <c r="G183" s="34">
        <v>392.72727270000001</v>
      </c>
    </row>
    <row r="184" spans="1:7" ht="15.75" x14ac:dyDescent="0.25">
      <c r="A184" s="33">
        <v>2141</v>
      </c>
      <c r="B184" s="33">
        <v>2214</v>
      </c>
      <c r="C184" s="33" t="s">
        <v>20</v>
      </c>
      <c r="D184" s="33" t="s">
        <v>21</v>
      </c>
      <c r="E184" s="33" t="s">
        <v>15</v>
      </c>
      <c r="F184" s="33">
        <v>28</v>
      </c>
      <c r="G184" s="34">
        <v>421.36363640000002</v>
      </c>
    </row>
    <row r="185" spans="1:7" ht="15.75" x14ac:dyDescent="0.25">
      <c r="A185" s="33">
        <v>2141</v>
      </c>
      <c r="B185" s="33">
        <v>2214</v>
      </c>
      <c r="C185" s="33" t="s">
        <v>20</v>
      </c>
      <c r="D185" s="33" t="s">
        <v>21</v>
      </c>
      <c r="E185" s="33" t="s">
        <v>15</v>
      </c>
      <c r="F185" s="33">
        <v>42</v>
      </c>
      <c r="G185" s="34">
        <v>443.63636359999998</v>
      </c>
    </row>
    <row r="186" spans="1:7" ht="15.75" x14ac:dyDescent="0.25">
      <c r="A186" s="33">
        <v>2141</v>
      </c>
      <c r="B186" s="33">
        <v>2214</v>
      </c>
      <c r="C186" s="33" t="s">
        <v>20</v>
      </c>
      <c r="D186" s="33" t="s">
        <v>21</v>
      </c>
      <c r="E186" s="33" t="s">
        <v>15</v>
      </c>
      <c r="F186" s="33">
        <v>56</v>
      </c>
      <c r="G186" s="34">
        <v>470.90909090000002</v>
      </c>
    </row>
    <row r="187" spans="1:7" ht="15.75" x14ac:dyDescent="0.25">
      <c r="A187" s="33">
        <v>2141</v>
      </c>
      <c r="B187" s="33">
        <v>2214</v>
      </c>
      <c r="C187" s="33" t="s">
        <v>20</v>
      </c>
      <c r="D187" s="33" t="s">
        <v>21</v>
      </c>
      <c r="E187" s="33" t="s">
        <v>15</v>
      </c>
      <c r="F187" s="33">
        <v>70</v>
      </c>
      <c r="G187" s="35">
        <v>469.09090909999998</v>
      </c>
    </row>
    <row r="188" spans="1:7" ht="15.75" x14ac:dyDescent="0.25">
      <c r="A188" s="33">
        <v>2201</v>
      </c>
      <c r="B188" s="33">
        <v>2214</v>
      </c>
      <c r="C188" s="33" t="s">
        <v>14</v>
      </c>
      <c r="D188" s="33" t="s">
        <v>15</v>
      </c>
      <c r="E188" s="33" t="s">
        <v>15</v>
      </c>
      <c r="F188" s="33">
        <v>0</v>
      </c>
      <c r="G188" s="34">
        <v>385</v>
      </c>
    </row>
    <row r="189" spans="1:7" ht="15.75" x14ac:dyDescent="0.25">
      <c r="A189" s="33">
        <v>2201</v>
      </c>
      <c r="B189" s="33">
        <v>2214</v>
      </c>
      <c r="C189" s="33" t="s">
        <v>14</v>
      </c>
      <c r="D189" s="33" t="s">
        <v>15</v>
      </c>
      <c r="E189" s="33" t="s">
        <v>15</v>
      </c>
      <c r="F189" s="33">
        <v>14</v>
      </c>
      <c r="G189" s="34">
        <v>411.36363640000002</v>
      </c>
    </row>
    <row r="190" spans="1:7" ht="15.75" x14ac:dyDescent="0.25">
      <c r="A190" s="33">
        <v>2201</v>
      </c>
      <c r="B190" s="33">
        <v>2214</v>
      </c>
      <c r="C190" s="33" t="s">
        <v>14</v>
      </c>
      <c r="D190" s="33" t="s">
        <v>15</v>
      </c>
      <c r="E190" s="33" t="s">
        <v>15</v>
      </c>
      <c r="F190" s="33">
        <v>28</v>
      </c>
      <c r="G190" s="34">
        <v>452.72727270000001</v>
      </c>
    </row>
    <row r="191" spans="1:7" ht="15.75" x14ac:dyDescent="0.25">
      <c r="A191" s="33">
        <v>2201</v>
      </c>
      <c r="B191" s="33">
        <v>2214</v>
      </c>
      <c r="C191" s="33" t="s">
        <v>14</v>
      </c>
      <c r="D191" s="33" t="s">
        <v>15</v>
      </c>
      <c r="E191" s="33" t="s">
        <v>15</v>
      </c>
      <c r="F191" s="33">
        <v>42</v>
      </c>
      <c r="G191" s="34">
        <v>495.45454549999999</v>
      </c>
    </row>
    <row r="192" spans="1:7" ht="15.75" x14ac:dyDescent="0.25">
      <c r="A192" s="33">
        <v>2201</v>
      </c>
      <c r="B192" s="33">
        <v>2214</v>
      </c>
      <c r="C192" s="33" t="s">
        <v>14</v>
      </c>
      <c r="D192" s="33" t="s">
        <v>15</v>
      </c>
      <c r="E192" s="33" t="s">
        <v>15</v>
      </c>
      <c r="F192" s="33">
        <v>56</v>
      </c>
      <c r="G192" s="34">
        <v>520.90909090000002</v>
      </c>
    </row>
    <row r="193" spans="1:7" ht="15.75" x14ac:dyDescent="0.25">
      <c r="A193" s="33">
        <v>2201</v>
      </c>
      <c r="B193" s="33">
        <v>2214</v>
      </c>
      <c r="C193" s="33" t="s">
        <v>14</v>
      </c>
      <c r="D193" s="33" t="s">
        <v>15</v>
      </c>
      <c r="E193" s="33" t="s">
        <v>15</v>
      </c>
      <c r="F193" s="33">
        <v>70</v>
      </c>
      <c r="G193" s="35">
        <v>541.81818180000005</v>
      </c>
    </row>
    <row r="194" spans="1:7" ht="15.75" x14ac:dyDescent="0.25">
      <c r="A194" s="33">
        <v>2202</v>
      </c>
      <c r="B194" s="33">
        <v>2214</v>
      </c>
      <c r="C194" s="33" t="s">
        <v>14</v>
      </c>
      <c r="D194" s="33" t="s">
        <v>15</v>
      </c>
      <c r="E194" s="33" t="s">
        <v>15</v>
      </c>
      <c r="F194" s="33">
        <v>0</v>
      </c>
      <c r="G194" s="34">
        <v>293.18181820000001</v>
      </c>
    </row>
    <row r="195" spans="1:7" ht="15.75" x14ac:dyDescent="0.25">
      <c r="A195" s="33">
        <v>2202</v>
      </c>
      <c r="B195" s="33">
        <v>2214</v>
      </c>
      <c r="C195" s="33" t="s">
        <v>14</v>
      </c>
      <c r="D195" s="33" t="s">
        <v>15</v>
      </c>
      <c r="E195" s="33" t="s">
        <v>15</v>
      </c>
      <c r="F195" s="33">
        <v>14</v>
      </c>
      <c r="G195" s="34">
        <v>298.18181820000001</v>
      </c>
    </row>
    <row r="196" spans="1:7" ht="15.75" x14ac:dyDescent="0.25">
      <c r="A196" s="33">
        <v>2202</v>
      </c>
      <c r="B196" s="33">
        <v>2214</v>
      </c>
      <c r="C196" s="33" t="s">
        <v>14</v>
      </c>
      <c r="D196" s="33" t="s">
        <v>15</v>
      </c>
      <c r="E196" s="33" t="s">
        <v>15</v>
      </c>
      <c r="F196" s="33">
        <v>28</v>
      </c>
      <c r="G196" s="34">
        <v>331.36363640000002</v>
      </c>
    </row>
    <row r="197" spans="1:7" ht="15.75" x14ac:dyDescent="0.25">
      <c r="A197" s="33">
        <v>2202</v>
      </c>
      <c r="B197" s="33">
        <v>2214</v>
      </c>
      <c r="C197" s="33" t="s">
        <v>14</v>
      </c>
      <c r="D197" s="33" t="s">
        <v>15</v>
      </c>
      <c r="E197" s="33" t="s">
        <v>15</v>
      </c>
      <c r="F197" s="33">
        <v>42</v>
      </c>
      <c r="G197" s="34">
        <v>353.63636359999998</v>
      </c>
    </row>
    <row r="198" spans="1:7" ht="15.75" x14ac:dyDescent="0.25">
      <c r="A198" s="33">
        <v>2202</v>
      </c>
      <c r="B198" s="33">
        <v>2214</v>
      </c>
      <c r="C198" s="33" t="s">
        <v>14</v>
      </c>
      <c r="D198" s="33" t="s">
        <v>15</v>
      </c>
      <c r="E198" s="33" t="s">
        <v>15</v>
      </c>
      <c r="F198" s="33">
        <v>56</v>
      </c>
      <c r="G198" s="34">
        <v>380</v>
      </c>
    </row>
    <row r="199" spans="1:7" ht="15.75" x14ac:dyDescent="0.25">
      <c r="A199" s="33">
        <v>2202</v>
      </c>
      <c r="B199" s="33">
        <v>2214</v>
      </c>
      <c r="C199" s="33" t="s">
        <v>14</v>
      </c>
      <c r="D199" s="33" t="s">
        <v>15</v>
      </c>
      <c r="E199" s="33" t="s">
        <v>15</v>
      </c>
      <c r="F199" s="33">
        <v>70</v>
      </c>
      <c r="G199" s="35">
        <v>395.90909090000002</v>
      </c>
    </row>
    <row r="200" spans="1:7" ht="15.75" x14ac:dyDescent="0.25">
      <c r="A200" s="33">
        <v>2205</v>
      </c>
      <c r="B200" s="33">
        <v>2214</v>
      </c>
      <c r="C200" s="33" t="s">
        <v>14</v>
      </c>
      <c r="D200" s="33" t="s">
        <v>15</v>
      </c>
      <c r="E200" s="33" t="s">
        <v>15</v>
      </c>
      <c r="F200" s="33">
        <v>0</v>
      </c>
      <c r="G200" s="34">
        <v>441.36363640000002</v>
      </c>
    </row>
    <row r="201" spans="1:7" ht="15.75" x14ac:dyDescent="0.25">
      <c r="A201" s="33">
        <v>2205</v>
      </c>
      <c r="B201" s="33">
        <v>2214</v>
      </c>
      <c r="C201" s="33" t="s">
        <v>14</v>
      </c>
      <c r="D201" s="33" t="s">
        <v>15</v>
      </c>
      <c r="E201" s="33" t="s">
        <v>15</v>
      </c>
      <c r="F201" s="33">
        <v>14</v>
      </c>
      <c r="G201" s="34">
        <v>481.36363640000002</v>
      </c>
    </row>
    <row r="202" spans="1:7" ht="15.75" x14ac:dyDescent="0.25">
      <c r="A202" s="33">
        <v>2205</v>
      </c>
      <c r="B202" s="33">
        <v>2214</v>
      </c>
      <c r="C202" s="33" t="s">
        <v>14</v>
      </c>
      <c r="D202" s="33" t="s">
        <v>15</v>
      </c>
      <c r="E202" s="33" t="s">
        <v>15</v>
      </c>
      <c r="F202" s="33">
        <v>28</v>
      </c>
      <c r="G202" s="34">
        <v>514.54545450000001</v>
      </c>
    </row>
    <row r="203" spans="1:7" ht="15.75" x14ac:dyDescent="0.25">
      <c r="A203" s="33">
        <v>2205</v>
      </c>
      <c r="B203" s="33">
        <v>2214</v>
      </c>
      <c r="C203" s="33" t="s">
        <v>14</v>
      </c>
      <c r="D203" s="33" t="s">
        <v>15</v>
      </c>
      <c r="E203" s="33" t="s">
        <v>15</v>
      </c>
      <c r="F203" s="33">
        <v>42</v>
      </c>
      <c r="G203" s="34">
        <v>545.90909090000002</v>
      </c>
    </row>
    <row r="204" spans="1:7" ht="15.75" x14ac:dyDescent="0.25">
      <c r="A204" s="33">
        <v>2205</v>
      </c>
      <c r="B204" s="33">
        <v>2214</v>
      </c>
      <c r="C204" s="33" t="s">
        <v>14</v>
      </c>
      <c r="D204" s="33" t="s">
        <v>15</v>
      </c>
      <c r="E204" s="33" t="s">
        <v>15</v>
      </c>
      <c r="F204" s="33">
        <v>56</v>
      </c>
      <c r="G204" s="34">
        <v>577.72727269999996</v>
      </c>
    </row>
    <row r="205" spans="1:7" ht="15.75" x14ac:dyDescent="0.25">
      <c r="A205" s="33">
        <v>2205</v>
      </c>
      <c r="B205" s="33">
        <v>2214</v>
      </c>
      <c r="C205" s="33" t="s">
        <v>14</v>
      </c>
      <c r="D205" s="33" t="s">
        <v>15</v>
      </c>
      <c r="E205" s="33" t="s">
        <v>15</v>
      </c>
      <c r="F205" s="33">
        <v>70</v>
      </c>
      <c r="G205" s="35">
        <v>610.90909090000002</v>
      </c>
    </row>
    <row r="206" spans="1:7" ht="15.75" x14ac:dyDescent="0.25">
      <c r="A206" s="33">
        <v>2206</v>
      </c>
      <c r="B206" s="33">
        <v>2214</v>
      </c>
      <c r="C206" s="33" t="s">
        <v>14</v>
      </c>
      <c r="D206" s="33" t="s">
        <v>15</v>
      </c>
      <c r="E206" s="33" t="s">
        <v>15</v>
      </c>
      <c r="F206" s="33">
        <v>0</v>
      </c>
      <c r="G206" s="34">
        <v>417.72727270000001</v>
      </c>
    </row>
    <row r="207" spans="1:7" ht="15.75" x14ac:dyDescent="0.25">
      <c r="A207" s="33">
        <v>2206</v>
      </c>
      <c r="B207" s="33">
        <v>2214</v>
      </c>
      <c r="C207" s="33" t="s">
        <v>14</v>
      </c>
      <c r="D207" s="33" t="s">
        <v>15</v>
      </c>
      <c r="E207" s="33" t="s">
        <v>15</v>
      </c>
      <c r="F207" s="33">
        <v>14</v>
      </c>
      <c r="G207" s="34">
        <v>444.54545450000001</v>
      </c>
    </row>
    <row r="208" spans="1:7" ht="15.75" x14ac:dyDescent="0.25">
      <c r="A208" s="33">
        <v>2206</v>
      </c>
      <c r="B208" s="33">
        <v>2214</v>
      </c>
      <c r="C208" s="33" t="s">
        <v>14</v>
      </c>
      <c r="D208" s="33" t="s">
        <v>15</v>
      </c>
      <c r="E208" s="33" t="s">
        <v>15</v>
      </c>
      <c r="F208" s="33">
        <v>28</v>
      </c>
      <c r="G208" s="34">
        <v>480.90909090000002</v>
      </c>
    </row>
    <row r="209" spans="1:7" ht="15.75" x14ac:dyDescent="0.25">
      <c r="A209" s="33">
        <v>2206</v>
      </c>
      <c r="B209" s="33">
        <v>2214</v>
      </c>
      <c r="C209" s="33" t="s">
        <v>14</v>
      </c>
      <c r="D209" s="33" t="s">
        <v>15</v>
      </c>
      <c r="E209" s="33" t="s">
        <v>15</v>
      </c>
      <c r="F209" s="33">
        <v>42</v>
      </c>
      <c r="G209" s="34">
        <v>512.72727269999996</v>
      </c>
    </row>
    <row r="210" spans="1:7" ht="15.75" x14ac:dyDescent="0.25">
      <c r="A210" s="33">
        <v>2206</v>
      </c>
      <c r="B210" s="33">
        <v>2214</v>
      </c>
      <c r="C210" s="33" t="s">
        <v>14</v>
      </c>
      <c r="D210" s="33" t="s">
        <v>15</v>
      </c>
      <c r="E210" s="33" t="s">
        <v>15</v>
      </c>
      <c r="F210" s="33">
        <v>56</v>
      </c>
      <c r="G210" s="34">
        <v>542.72727269999996</v>
      </c>
    </row>
    <row r="211" spans="1:7" ht="15.75" x14ac:dyDescent="0.25">
      <c r="A211" s="33">
        <v>2206</v>
      </c>
      <c r="B211" s="33">
        <v>2214</v>
      </c>
      <c r="C211" s="33" t="s">
        <v>14</v>
      </c>
      <c r="D211" s="33" t="s">
        <v>15</v>
      </c>
      <c r="E211" s="33" t="s">
        <v>15</v>
      </c>
      <c r="F211" s="33">
        <v>70</v>
      </c>
      <c r="G211" s="35">
        <v>539.09090909999998</v>
      </c>
    </row>
    <row r="212" spans="1:7" ht="15.75" x14ac:dyDescent="0.25">
      <c r="A212" s="33">
        <v>2207</v>
      </c>
      <c r="B212" s="33">
        <v>2214</v>
      </c>
      <c r="C212" s="33" t="s">
        <v>20</v>
      </c>
      <c r="D212" s="33" t="s">
        <v>21</v>
      </c>
      <c r="E212" s="33" t="s">
        <v>15</v>
      </c>
      <c r="F212" s="33">
        <v>0</v>
      </c>
      <c r="G212" s="34">
        <v>400.90909090000002</v>
      </c>
    </row>
    <row r="213" spans="1:7" ht="15.75" x14ac:dyDescent="0.25">
      <c r="A213" s="33">
        <v>2207</v>
      </c>
      <c r="B213" s="33">
        <v>2214</v>
      </c>
      <c r="C213" s="33" t="s">
        <v>20</v>
      </c>
      <c r="D213" s="33" t="s">
        <v>21</v>
      </c>
      <c r="E213" s="33" t="s">
        <v>15</v>
      </c>
      <c r="F213" s="33">
        <v>14</v>
      </c>
      <c r="G213" s="34">
        <v>434.09090909999998</v>
      </c>
    </row>
    <row r="214" spans="1:7" ht="15.75" x14ac:dyDescent="0.25">
      <c r="A214" s="33">
        <v>2207</v>
      </c>
      <c r="B214" s="33">
        <v>2214</v>
      </c>
      <c r="C214" s="33" t="s">
        <v>20</v>
      </c>
      <c r="D214" s="33" t="s">
        <v>21</v>
      </c>
      <c r="E214" s="33" t="s">
        <v>15</v>
      </c>
      <c r="F214" s="33">
        <v>28</v>
      </c>
      <c r="G214" s="34">
        <v>461.36363640000002</v>
      </c>
    </row>
    <row r="215" spans="1:7" ht="15.75" x14ac:dyDescent="0.25">
      <c r="A215" s="33">
        <v>2207</v>
      </c>
      <c r="B215" s="33">
        <v>2214</v>
      </c>
      <c r="C215" s="33" t="s">
        <v>20</v>
      </c>
      <c r="D215" s="33" t="s">
        <v>21</v>
      </c>
      <c r="E215" s="33" t="s">
        <v>15</v>
      </c>
      <c r="F215" s="33">
        <v>42</v>
      </c>
      <c r="G215" s="34">
        <v>484.54545450000001</v>
      </c>
    </row>
    <row r="216" spans="1:7" ht="15.75" x14ac:dyDescent="0.25">
      <c r="A216" s="33">
        <v>2207</v>
      </c>
      <c r="B216" s="33">
        <v>2214</v>
      </c>
      <c r="C216" s="33" t="s">
        <v>20</v>
      </c>
      <c r="D216" s="33" t="s">
        <v>21</v>
      </c>
      <c r="E216" s="33" t="s">
        <v>15</v>
      </c>
      <c r="F216" s="33">
        <v>56</v>
      </c>
      <c r="G216" s="34">
        <v>511.36363640000002</v>
      </c>
    </row>
    <row r="217" spans="1:7" ht="15.75" x14ac:dyDescent="0.25">
      <c r="A217" s="33">
        <v>2207</v>
      </c>
      <c r="B217" s="33">
        <v>2214</v>
      </c>
      <c r="C217" s="33" t="s">
        <v>20</v>
      </c>
      <c r="D217" s="33" t="s">
        <v>21</v>
      </c>
      <c r="E217" s="33" t="s">
        <v>15</v>
      </c>
      <c r="F217" s="33">
        <v>70</v>
      </c>
      <c r="G217" s="35">
        <v>512.27272730000004</v>
      </c>
    </row>
    <row r="218" spans="1:7" ht="15.75" x14ac:dyDescent="0.25">
      <c r="A218" s="33">
        <v>2208</v>
      </c>
      <c r="B218" s="33">
        <v>2214</v>
      </c>
      <c r="C218" s="33" t="s">
        <v>20</v>
      </c>
      <c r="D218" s="33" t="s">
        <v>21</v>
      </c>
      <c r="E218" s="33" t="s">
        <v>15</v>
      </c>
      <c r="F218" s="33">
        <v>0</v>
      </c>
      <c r="G218" s="34">
        <v>364.54545450000001</v>
      </c>
    </row>
    <row r="219" spans="1:7" ht="15.75" x14ac:dyDescent="0.25">
      <c r="A219" s="33">
        <v>2208</v>
      </c>
      <c r="B219" s="33">
        <v>2214</v>
      </c>
      <c r="C219" s="33" t="s">
        <v>20</v>
      </c>
      <c r="D219" s="33" t="s">
        <v>21</v>
      </c>
      <c r="E219" s="33" t="s">
        <v>15</v>
      </c>
      <c r="F219" s="33">
        <v>14</v>
      </c>
      <c r="G219" s="34">
        <v>385.90909090000002</v>
      </c>
    </row>
    <row r="220" spans="1:7" ht="15.75" x14ac:dyDescent="0.25">
      <c r="A220" s="33">
        <v>2208</v>
      </c>
      <c r="B220" s="33">
        <v>2214</v>
      </c>
      <c r="C220" s="33" t="s">
        <v>20</v>
      </c>
      <c r="D220" s="33" t="s">
        <v>21</v>
      </c>
      <c r="E220" s="33" t="s">
        <v>15</v>
      </c>
      <c r="F220" s="33">
        <v>28</v>
      </c>
      <c r="G220" s="34">
        <v>428.18181820000001</v>
      </c>
    </row>
    <row r="221" spans="1:7" ht="15.75" x14ac:dyDescent="0.25">
      <c r="A221" s="33">
        <v>2208</v>
      </c>
      <c r="B221" s="33">
        <v>2214</v>
      </c>
      <c r="C221" s="33" t="s">
        <v>20</v>
      </c>
      <c r="D221" s="33" t="s">
        <v>21</v>
      </c>
      <c r="E221" s="33" t="s">
        <v>15</v>
      </c>
      <c r="F221" s="33">
        <v>42</v>
      </c>
      <c r="G221" s="34">
        <v>450.45454549999999</v>
      </c>
    </row>
    <row r="222" spans="1:7" ht="15.75" x14ac:dyDescent="0.25">
      <c r="A222" s="33">
        <v>2208</v>
      </c>
      <c r="B222" s="33">
        <v>2214</v>
      </c>
      <c r="C222" s="33" t="s">
        <v>20</v>
      </c>
      <c r="D222" s="33" t="s">
        <v>21</v>
      </c>
      <c r="E222" s="33" t="s">
        <v>15</v>
      </c>
      <c r="F222" s="33">
        <v>56</v>
      </c>
      <c r="G222" s="34">
        <v>479.54545450000001</v>
      </c>
    </row>
    <row r="223" spans="1:7" ht="15.75" x14ac:dyDescent="0.25">
      <c r="A223" s="33">
        <v>2208</v>
      </c>
      <c r="B223" s="33">
        <v>2214</v>
      </c>
      <c r="C223" s="33" t="s">
        <v>20</v>
      </c>
      <c r="D223" s="33" t="s">
        <v>21</v>
      </c>
      <c r="E223" s="33" t="s">
        <v>15</v>
      </c>
      <c r="F223" s="33">
        <v>70</v>
      </c>
      <c r="G223" s="35">
        <v>487.27272729999999</v>
      </c>
    </row>
    <row r="224" spans="1:7" ht="15.75" x14ac:dyDescent="0.25">
      <c r="A224" s="33">
        <v>2209</v>
      </c>
      <c r="B224" s="33">
        <v>2214</v>
      </c>
      <c r="C224" s="33" t="s">
        <v>20</v>
      </c>
      <c r="D224" s="33" t="s">
        <v>21</v>
      </c>
      <c r="E224" s="33" t="s">
        <v>15</v>
      </c>
      <c r="F224" s="33">
        <v>0</v>
      </c>
      <c r="G224" s="34">
        <v>349.09090909999998</v>
      </c>
    </row>
    <row r="225" spans="1:7" ht="15.75" x14ac:dyDescent="0.25">
      <c r="A225" s="33">
        <v>2209</v>
      </c>
      <c r="B225" s="33">
        <v>2214</v>
      </c>
      <c r="C225" s="33" t="s">
        <v>20</v>
      </c>
      <c r="D225" s="33" t="s">
        <v>21</v>
      </c>
      <c r="E225" s="33" t="s">
        <v>15</v>
      </c>
      <c r="F225" s="33">
        <v>14</v>
      </c>
      <c r="G225" s="34">
        <v>394.54545450000001</v>
      </c>
    </row>
    <row r="226" spans="1:7" ht="15.75" x14ac:dyDescent="0.25">
      <c r="A226" s="33">
        <v>2209</v>
      </c>
      <c r="B226" s="33">
        <v>2214</v>
      </c>
      <c r="C226" s="33" t="s">
        <v>20</v>
      </c>
      <c r="D226" s="33" t="s">
        <v>21</v>
      </c>
      <c r="E226" s="33" t="s">
        <v>15</v>
      </c>
      <c r="F226" s="33">
        <v>28</v>
      </c>
      <c r="G226" s="34">
        <v>428.63636359999998</v>
      </c>
    </row>
    <row r="227" spans="1:7" ht="15.75" x14ac:dyDescent="0.25">
      <c r="A227" s="33">
        <v>2209</v>
      </c>
      <c r="B227" s="33">
        <v>2214</v>
      </c>
      <c r="C227" s="33" t="s">
        <v>20</v>
      </c>
      <c r="D227" s="33" t="s">
        <v>21</v>
      </c>
      <c r="E227" s="33" t="s">
        <v>15</v>
      </c>
      <c r="F227" s="33">
        <v>42</v>
      </c>
      <c r="G227" s="34">
        <v>453.63636359999998</v>
      </c>
    </row>
    <row r="228" spans="1:7" ht="15.75" x14ac:dyDescent="0.25">
      <c r="A228" s="33">
        <v>2209</v>
      </c>
      <c r="B228" s="33">
        <v>2214</v>
      </c>
      <c r="C228" s="33" t="s">
        <v>20</v>
      </c>
      <c r="D228" s="33" t="s">
        <v>21</v>
      </c>
      <c r="E228" s="33" t="s">
        <v>15</v>
      </c>
      <c r="F228" s="33">
        <v>56</v>
      </c>
      <c r="G228" s="34">
        <v>494.09090909999998</v>
      </c>
    </row>
    <row r="229" spans="1:7" ht="15.75" x14ac:dyDescent="0.25">
      <c r="A229" s="33">
        <v>2209</v>
      </c>
      <c r="B229" s="33">
        <v>2214</v>
      </c>
      <c r="C229" s="33" t="s">
        <v>20</v>
      </c>
      <c r="D229" s="33" t="s">
        <v>21</v>
      </c>
      <c r="E229" s="33" t="s">
        <v>15</v>
      </c>
      <c r="F229" s="33">
        <v>70</v>
      </c>
      <c r="G229" s="35">
        <v>505.45454549999999</v>
      </c>
    </row>
    <row r="230" spans="1:7" ht="15.75" x14ac:dyDescent="0.25">
      <c r="A230" s="33">
        <v>2211</v>
      </c>
      <c r="B230" s="33">
        <v>2214</v>
      </c>
      <c r="C230" s="33" t="s">
        <v>14</v>
      </c>
      <c r="D230" s="33" t="s">
        <v>15</v>
      </c>
      <c r="E230" s="33" t="s">
        <v>15</v>
      </c>
      <c r="F230" s="33">
        <v>0</v>
      </c>
      <c r="G230" s="34">
        <v>393.63636359999998</v>
      </c>
    </row>
    <row r="231" spans="1:7" ht="15.75" x14ac:dyDescent="0.25">
      <c r="A231" s="33">
        <v>2211</v>
      </c>
      <c r="B231" s="33">
        <v>2214</v>
      </c>
      <c r="C231" s="33" t="s">
        <v>14</v>
      </c>
      <c r="D231" s="33" t="s">
        <v>15</v>
      </c>
      <c r="E231" s="33" t="s">
        <v>15</v>
      </c>
      <c r="F231" s="33">
        <v>14</v>
      </c>
      <c r="G231" s="34">
        <v>429.54545450000001</v>
      </c>
    </row>
    <row r="232" spans="1:7" ht="15.75" x14ac:dyDescent="0.25">
      <c r="A232" s="33">
        <v>2211</v>
      </c>
      <c r="B232" s="33">
        <v>2214</v>
      </c>
      <c r="C232" s="33" t="s">
        <v>14</v>
      </c>
      <c r="D232" s="33" t="s">
        <v>15</v>
      </c>
      <c r="E232" s="33" t="s">
        <v>15</v>
      </c>
      <c r="F232" s="33">
        <v>28</v>
      </c>
      <c r="G232" s="34">
        <v>455.45454549999999</v>
      </c>
    </row>
    <row r="233" spans="1:7" ht="15.75" x14ac:dyDescent="0.25">
      <c r="A233" s="33">
        <v>2211</v>
      </c>
      <c r="B233" s="33">
        <v>2214</v>
      </c>
      <c r="C233" s="33" t="s">
        <v>14</v>
      </c>
      <c r="D233" s="33" t="s">
        <v>15</v>
      </c>
      <c r="E233" s="33" t="s">
        <v>15</v>
      </c>
      <c r="F233" s="33">
        <v>42</v>
      </c>
      <c r="G233" s="34">
        <v>462.27272729999999</v>
      </c>
    </row>
    <row r="234" spans="1:7" ht="15.75" x14ac:dyDescent="0.25">
      <c r="A234" s="33">
        <v>2211</v>
      </c>
      <c r="B234" s="33">
        <v>2214</v>
      </c>
      <c r="C234" s="33" t="s">
        <v>14</v>
      </c>
      <c r="D234" s="33" t="s">
        <v>15</v>
      </c>
      <c r="E234" s="33" t="s">
        <v>15</v>
      </c>
      <c r="F234" s="33">
        <v>56</v>
      </c>
      <c r="G234" s="34">
        <v>506.81818179999999</v>
      </c>
    </row>
    <row r="235" spans="1:7" ht="15.75" x14ac:dyDescent="0.25">
      <c r="A235" s="33">
        <v>2211</v>
      </c>
      <c r="B235" s="33">
        <v>2214</v>
      </c>
      <c r="C235" s="33" t="s">
        <v>14</v>
      </c>
      <c r="D235" s="33" t="s">
        <v>15</v>
      </c>
      <c r="E235" s="33" t="s">
        <v>15</v>
      </c>
      <c r="F235" s="33">
        <v>70</v>
      </c>
      <c r="G235" s="35">
        <v>510.90909090000002</v>
      </c>
    </row>
    <row r="236" spans="1:7" ht="15.75" x14ac:dyDescent="0.25">
      <c r="A236" s="33">
        <v>2215</v>
      </c>
      <c r="B236" s="33">
        <v>2214</v>
      </c>
      <c r="C236" s="33" t="s">
        <v>27</v>
      </c>
      <c r="D236" s="33" t="s">
        <v>15</v>
      </c>
      <c r="E236" s="33" t="s">
        <v>24</v>
      </c>
      <c r="F236" s="33">
        <v>0</v>
      </c>
      <c r="G236" s="34">
        <v>377.27272729999999</v>
      </c>
    </row>
    <row r="237" spans="1:7" ht="15.75" x14ac:dyDescent="0.25">
      <c r="A237" s="33">
        <v>2215</v>
      </c>
      <c r="B237" s="33">
        <v>2214</v>
      </c>
      <c r="C237" s="33" t="s">
        <v>27</v>
      </c>
      <c r="D237" s="33" t="s">
        <v>15</v>
      </c>
      <c r="E237" s="33" t="s">
        <v>24</v>
      </c>
      <c r="F237" s="33">
        <v>14</v>
      </c>
      <c r="G237" s="34">
        <v>389.54545450000001</v>
      </c>
    </row>
    <row r="238" spans="1:7" ht="15.75" x14ac:dyDescent="0.25">
      <c r="A238" s="33">
        <v>2215</v>
      </c>
      <c r="B238" s="33">
        <v>2214</v>
      </c>
      <c r="C238" s="33" t="s">
        <v>27</v>
      </c>
      <c r="D238" s="33" t="s">
        <v>15</v>
      </c>
      <c r="E238" s="33" t="s">
        <v>24</v>
      </c>
      <c r="F238" s="33">
        <v>28</v>
      </c>
      <c r="G238" s="34">
        <v>440.90909090000002</v>
      </c>
    </row>
    <row r="239" spans="1:7" ht="15.75" x14ac:dyDescent="0.25">
      <c r="A239" s="33">
        <v>2215</v>
      </c>
      <c r="B239" s="33">
        <v>2214</v>
      </c>
      <c r="C239" s="33" t="s">
        <v>27</v>
      </c>
      <c r="D239" s="33" t="s">
        <v>15</v>
      </c>
      <c r="E239" s="33" t="s">
        <v>24</v>
      </c>
      <c r="F239" s="33">
        <v>42</v>
      </c>
      <c r="G239" s="34">
        <v>475</v>
      </c>
    </row>
    <row r="240" spans="1:7" ht="15.75" x14ac:dyDescent="0.25">
      <c r="A240" s="33">
        <v>2215</v>
      </c>
      <c r="B240" s="33">
        <v>2214</v>
      </c>
      <c r="C240" s="33" t="s">
        <v>27</v>
      </c>
      <c r="D240" s="33" t="s">
        <v>15</v>
      </c>
      <c r="E240" s="33" t="s">
        <v>24</v>
      </c>
      <c r="F240" s="33">
        <v>56</v>
      </c>
      <c r="G240" s="34">
        <v>462.27272729999999</v>
      </c>
    </row>
    <row r="241" spans="1:7" ht="15.75" x14ac:dyDescent="0.25">
      <c r="A241" s="33">
        <v>2215</v>
      </c>
      <c r="B241" s="33">
        <v>2214</v>
      </c>
      <c r="C241" s="33" t="s">
        <v>27</v>
      </c>
      <c r="D241" s="33" t="s">
        <v>15</v>
      </c>
      <c r="E241" s="33" t="s">
        <v>24</v>
      </c>
      <c r="F241" s="33">
        <v>70</v>
      </c>
      <c r="G241" s="35">
        <v>511.81818179999999</v>
      </c>
    </row>
    <row r="242" spans="1:7" ht="15.75" x14ac:dyDescent="0.25">
      <c r="A242" s="33">
        <v>2217</v>
      </c>
      <c r="B242" s="33">
        <v>2214</v>
      </c>
      <c r="C242" s="33" t="s">
        <v>27</v>
      </c>
      <c r="D242" s="33" t="s">
        <v>15</v>
      </c>
      <c r="E242" s="33" t="s">
        <v>24</v>
      </c>
      <c r="F242" s="33">
        <v>0</v>
      </c>
      <c r="G242" s="34">
        <v>407.27272729999999</v>
      </c>
    </row>
    <row r="243" spans="1:7" ht="15.75" x14ac:dyDescent="0.25">
      <c r="A243" s="33">
        <v>2217</v>
      </c>
      <c r="B243" s="33">
        <v>2214</v>
      </c>
      <c r="C243" s="33" t="s">
        <v>27</v>
      </c>
      <c r="D243" s="33" t="s">
        <v>15</v>
      </c>
      <c r="E243" s="33" t="s">
        <v>24</v>
      </c>
      <c r="F243" s="33">
        <v>14</v>
      </c>
      <c r="G243" s="34">
        <v>446.36363640000002</v>
      </c>
    </row>
    <row r="244" spans="1:7" ht="15.75" x14ac:dyDescent="0.25">
      <c r="A244" s="33">
        <v>2217</v>
      </c>
      <c r="B244" s="33">
        <v>2214</v>
      </c>
      <c r="C244" s="33" t="s">
        <v>27</v>
      </c>
      <c r="D244" s="33" t="s">
        <v>15</v>
      </c>
      <c r="E244" s="33" t="s">
        <v>24</v>
      </c>
      <c r="F244" s="33">
        <v>28</v>
      </c>
      <c r="G244" s="34">
        <v>475.90909090000002</v>
      </c>
    </row>
    <row r="245" spans="1:7" ht="15.75" x14ac:dyDescent="0.25">
      <c r="A245" s="33">
        <v>2217</v>
      </c>
      <c r="B245" s="33">
        <v>2214</v>
      </c>
      <c r="C245" s="33" t="s">
        <v>27</v>
      </c>
      <c r="D245" s="33" t="s">
        <v>15</v>
      </c>
      <c r="E245" s="33" t="s">
        <v>24</v>
      </c>
      <c r="F245" s="33">
        <v>42</v>
      </c>
      <c r="G245" s="34">
        <v>498.63636359999998</v>
      </c>
    </row>
    <row r="246" spans="1:7" ht="15.75" x14ac:dyDescent="0.25">
      <c r="A246" s="33">
        <v>2217</v>
      </c>
      <c r="B246" s="33">
        <v>2214</v>
      </c>
      <c r="C246" s="33" t="s">
        <v>27</v>
      </c>
      <c r="D246" s="33" t="s">
        <v>15</v>
      </c>
      <c r="E246" s="33" t="s">
        <v>24</v>
      </c>
      <c r="F246" s="33">
        <v>56</v>
      </c>
      <c r="G246" s="34">
        <v>530.45454549999999</v>
      </c>
    </row>
    <row r="247" spans="1:7" ht="15.75" x14ac:dyDescent="0.25">
      <c r="A247" s="33">
        <v>2217</v>
      </c>
      <c r="B247" s="33">
        <v>2214</v>
      </c>
      <c r="C247" s="33" t="s">
        <v>27</v>
      </c>
      <c r="D247" s="33" t="s">
        <v>15</v>
      </c>
      <c r="E247" s="33" t="s">
        <v>24</v>
      </c>
      <c r="F247" s="33">
        <v>70</v>
      </c>
      <c r="G247" s="35">
        <v>527.27272730000004</v>
      </c>
    </row>
    <row r="248" spans="1:7" ht="15.75" x14ac:dyDescent="0.25">
      <c r="A248" s="33">
        <v>2219</v>
      </c>
      <c r="B248" s="33">
        <v>2214</v>
      </c>
      <c r="C248" s="33" t="s">
        <v>23</v>
      </c>
      <c r="D248" s="33" t="s">
        <v>21</v>
      </c>
      <c r="E248" s="33" t="s">
        <v>24</v>
      </c>
      <c r="F248" s="33">
        <v>0</v>
      </c>
      <c r="G248" s="34">
        <v>405.90909090000002</v>
      </c>
    </row>
    <row r="249" spans="1:7" ht="15.75" x14ac:dyDescent="0.25">
      <c r="A249" s="33">
        <v>2219</v>
      </c>
      <c r="B249" s="33">
        <v>2214</v>
      </c>
      <c r="C249" s="33" t="s">
        <v>23</v>
      </c>
      <c r="D249" s="33" t="s">
        <v>21</v>
      </c>
      <c r="E249" s="33" t="s">
        <v>24</v>
      </c>
      <c r="F249" s="33">
        <v>14</v>
      </c>
      <c r="G249" s="34">
        <v>448.63636359999998</v>
      </c>
    </row>
    <row r="250" spans="1:7" ht="15.75" x14ac:dyDescent="0.25">
      <c r="A250" s="33">
        <v>2219</v>
      </c>
      <c r="B250" s="33">
        <v>2214</v>
      </c>
      <c r="C250" s="33" t="s">
        <v>23</v>
      </c>
      <c r="D250" s="33" t="s">
        <v>21</v>
      </c>
      <c r="E250" s="33" t="s">
        <v>24</v>
      </c>
      <c r="F250" s="33">
        <v>28</v>
      </c>
      <c r="G250" s="34">
        <v>501.81818179999999</v>
      </c>
    </row>
    <row r="251" spans="1:7" ht="15.75" x14ac:dyDescent="0.25">
      <c r="A251" s="33">
        <v>2219</v>
      </c>
      <c r="B251" s="33">
        <v>2214</v>
      </c>
      <c r="C251" s="33" t="s">
        <v>23</v>
      </c>
      <c r="D251" s="33" t="s">
        <v>21</v>
      </c>
      <c r="E251" s="33" t="s">
        <v>24</v>
      </c>
      <c r="F251" s="33">
        <v>42</v>
      </c>
      <c r="G251" s="34">
        <v>517.72727269999996</v>
      </c>
    </row>
    <row r="252" spans="1:7" ht="15.75" x14ac:dyDescent="0.25">
      <c r="A252" s="33">
        <v>2219</v>
      </c>
      <c r="B252" s="33">
        <v>2214</v>
      </c>
      <c r="C252" s="33" t="s">
        <v>23</v>
      </c>
      <c r="D252" s="33" t="s">
        <v>21</v>
      </c>
      <c r="E252" s="33" t="s">
        <v>24</v>
      </c>
      <c r="F252" s="33">
        <v>56</v>
      </c>
      <c r="G252" s="34">
        <v>549.09090909999998</v>
      </c>
    </row>
    <row r="253" spans="1:7" ht="15.75" x14ac:dyDescent="0.25">
      <c r="A253" s="33">
        <v>2219</v>
      </c>
      <c r="B253" s="33">
        <v>2214</v>
      </c>
      <c r="C253" s="33" t="s">
        <v>23</v>
      </c>
      <c r="D253" s="33" t="s">
        <v>21</v>
      </c>
      <c r="E253" s="33" t="s">
        <v>24</v>
      </c>
      <c r="F253" s="33">
        <v>70</v>
      </c>
      <c r="G253" s="35">
        <v>548.18181819999995</v>
      </c>
    </row>
    <row r="254" spans="1:7" ht="15.75" x14ac:dyDescent="0.25">
      <c r="A254" s="33">
        <v>2221</v>
      </c>
      <c r="B254" s="33">
        <v>2214</v>
      </c>
      <c r="C254" s="33" t="s">
        <v>20</v>
      </c>
      <c r="D254" s="33" t="s">
        <v>21</v>
      </c>
      <c r="E254" s="33" t="s">
        <v>15</v>
      </c>
      <c r="F254" s="33">
        <v>0</v>
      </c>
      <c r="G254" s="34">
        <v>347.27272729999999</v>
      </c>
    </row>
    <row r="255" spans="1:7" ht="15.75" x14ac:dyDescent="0.25">
      <c r="A255" s="33">
        <v>2221</v>
      </c>
      <c r="B255" s="33">
        <v>2214</v>
      </c>
      <c r="C255" s="33" t="s">
        <v>20</v>
      </c>
      <c r="D255" s="33" t="s">
        <v>21</v>
      </c>
      <c r="E255" s="33" t="s">
        <v>15</v>
      </c>
      <c r="F255" s="33">
        <v>14</v>
      </c>
      <c r="G255" s="34">
        <v>388.63636359999998</v>
      </c>
    </row>
    <row r="256" spans="1:7" ht="15.75" x14ac:dyDescent="0.25">
      <c r="A256" s="33">
        <v>2221</v>
      </c>
      <c r="B256" s="33">
        <v>2214</v>
      </c>
      <c r="C256" s="33" t="s">
        <v>20</v>
      </c>
      <c r="D256" s="33" t="s">
        <v>21</v>
      </c>
      <c r="E256" s="33" t="s">
        <v>15</v>
      </c>
      <c r="F256" s="33">
        <v>28</v>
      </c>
      <c r="G256" s="34">
        <v>398.18181820000001</v>
      </c>
    </row>
    <row r="257" spans="1:7" ht="15.75" x14ac:dyDescent="0.25">
      <c r="A257" s="33">
        <v>2221</v>
      </c>
      <c r="B257" s="33">
        <v>2214</v>
      </c>
      <c r="C257" s="33" t="s">
        <v>20</v>
      </c>
      <c r="D257" s="33" t="s">
        <v>21</v>
      </c>
      <c r="E257" s="33" t="s">
        <v>15</v>
      </c>
      <c r="F257" s="33">
        <v>42</v>
      </c>
      <c r="G257" s="34">
        <v>439.09090909999998</v>
      </c>
    </row>
    <row r="258" spans="1:7" ht="15.75" x14ac:dyDescent="0.25">
      <c r="A258" s="33">
        <v>2221</v>
      </c>
      <c r="B258" s="33">
        <v>2214</v>
      </c>
      <c r="C258" s="33" t="s">
        <v>20</v>
      </c>
      <c r="D258" s="33" t="s">
        <v>21</v>
      </c>
      <c r="E258" s="33" t="s">
        <v>15</v>
      </c>
      <c r="F258" s="33">
        <v>56</v>
      </c>
      <c r="G258" s="34">
        <v>459.54545450000001</v>
      </c>
    </row>
    <row r="259" spans="1:7" ht="15.75" x14ac:dyDescent="0.25">
      <c r="A259" s="33">
        <v>2221</v>
      </c>
      <c r="B259" s="33">
        <v>2214</v>
      </c>
      <c r="C259" s="33" t="s">
        <v>20</v>
      </c>
      <c r="D259" s="33" t="s">
        <v>21</v>
      </c>
      <c r="E259" s="33" t="s">
        <v>15</v>
      </c>
      <c r="F259" s="33">
        <v>70</v>
      </c>
      <c r="G259" s="35">
        <v>472.27272729999999</v>
      </c>
    </row>
    <row r="260" spans="1:7" ht="15.75" x14ac:dyDescent="0.25">
      <c r="A260" s="33">
        <v>2222</v>
      </c>
      <c r="B260" s="33">
        <v>2214</v>
      </c>
      <c r="C260" s="33" t="s">
        <v>23</v>
      </c>
      <c r="D260" s="33" t="s">
        <v>21</v>
      </c>
      <c r="E260" s="33" t="s">
        <v>24</v>
      </c>
      <c r="F260" s="33">
        <v>0</v>
      </c>
      <c r="G260" s="34">
        <v>412.27272729999999</v>
      </c>
    </row>
    <row r="261" spans="1:7" ht="15.75" x14ac:dyDescent="0.25">
      <c r="A261" s="33">
        <v>2222</v>
      </c>
      <c r="B261" s="33">
        <v>2214</v>
      </c>
      <c r="C261" s="33" t="s">
        <v>23</v>
      </c>
      <c r="D261" s="33" t="s">
        <v>21</v>
      </c>
      <c r="E261" s="33" t="s">
        <v>24</v>
      </c>
      <c r="F261" s="33">
        <v>14</v>
      </c>
      <c r="G261" s="34">
        <v>448.63636359999998</v>
      </c>
    </row>
    <row r="262" spans="1:7" ht="15.75" x14ac:dyDescent="0.25">
      <c r="A262" s="33">
        <v>2222</v>
      </c>
      <c r="B262" s="33">
        <v>2214</v>
      </c>
      <c r="C262" s="33" t="s">
        <v>23</v>
      </c>
      <c r="D262" s="33" t="s">
        <v>21</v>
      </c>
      <c r="E262" s="33" t="s">
        <v>24</v>
      </c>
      <c r="F262" s="33">
        <v>28</v>
      </c>
      <c r="G262" s="34">
        <v>481.36363640000002</v>
      </c>
    </row>
    <row r="263" spans="1:7" ht="15.75" x14ac:dyDescent="0.25">
      <c r="A263" s="33">
        <v>2222</v>
      </c>
      <c r="B263" s="33">
        <v>2214</v>
      </c>
      <c r="C263" s="33" t="s">
        <v>23</v>
      </c>
      <c r="D263" s="33" t="s">
        <v>21</v>
      </c>
      <c r="E263" s="33" t="s">
        <v>24</v>
      </c>
      <c r="F263" s="33">
        <v>42</v>
      </c>
      <c r="G263" s="34">
        <v>514.09090909999998</v>
      </c>
    </row>
    <row r="264" spans="1:7" ht="15.75" x14ac:dyDescent="0.25">
      <c r="A264" s="33">
        <v>2222</v>
      </c>
      <c r="B264" s="33">
        <v>2214</v>
      </c>
      <c r="C264" s="33" t="s">
        <v>23</v>
      </c>
      <c r="D264" s="33" t="s">
        <v>21</v>
      </c>
      <c r="E264" s="33" t="s">
        <v>24</v>
      </c>
      <c r="F264" s="33">
        <v>56</v>
      </c>
      <c r="G264" s="34">
        <v>549.09090909999998</v>
      </c>
    </row>
    <row r="265" spans="1:7" ht="15.75" x14ac:dyDescent="0.25">
      <c r="A265" s="33">
        <v>2222</v>
      </c>
      <c r="B265" s="33">
        <v>2214</v>
      </c>
      <c r="C265" s="33" t="s">
        <v>23</v>
      </c>
      <c r="D265" s="33" t="s">
        <v>21</v>
      </c>
      <c r="E265" s="33" t="s">
        <v>24</v>
      </c>
      <c r="F265" s="33">
        <v>70</v>
      </c>
      <c r="G265" s="35">
        <v>579.09090909999998</v>
      </c>
    </row>
    <row r="266" spans="1:7" ht="15.75" x14ac:dyDescent="0.25">
      <c r="A266" s="33">
        <v>2223</v>
      </c>
      <c r="B266" s="33">
        <v>2214</v>
      </c>
      <c r="C266" s="33" t="s">
        <v>27</v>
      </c>
      <c r="D266" s="33" t="s">
        <v>15</v>
      </c>
      <c r="E266" s="33" t="s">
        <v>24</v>
      </c>
      <c r="F266" s="33">
        <v>0</v>
      </c>
      <c r="G266" s="34">
        <v>341.81818179999999</v>
      </c>
    </row>
    <row r="267" spans="1:7" ht="15.75" x14ac:dyDescent="0.25">
      <c r="A267" s="33">
        <v>2223</v>
      </c>
      <c r="B267" s="33">
        <v>2214</v>
      </c>
      <c r="C267" s="33" t="s">
        <v>27</v>
      </c>
      <c r="D267" s="33" t="s">
        <v>15</v>
      </c>
      <c r="E267" s="33" t="s">
        <v>24</v>
      </c>
      <c r="F267" s="33">
        <v>14</v>
      </c>
      <c r="G267" s="34">
        <v>380.45454549999999</v>
      </c>
    </row>
    <row r="268" spans="1:7" ht="15.75" x14ac:dyDescent="0.25">
      <c r="A268" s="33">
        <v>2223</v>
      </c>
      <c r="B268" s="33">
        <v>2214</v>
      </c>
      <c r="C268" s="33" t="s">
        <v>27</v>
      </c>
      <c r="D268" s="33" t="s">
        <v>15</v>
      </c>
      <c r="E268" s="33" t="s">
        <v>24</v>
      </c>
      <c r="F268" s="33">
        <v>28</v>
      </c>
      <c r="G268" s="34">
        <v>404.09090909999998</v>
      </c>
    </row>
    <row r="269" spans="1:7" ht="15.75" x14ac:dyDescent="0.25">
      <c r="A269" s="33">
        <v>2223</v>
      </c>
      <c r="B269" s="33">
        <v>2214</v>
      </c>
      <c r="C269" s="33" t="s">
        <v>27</v>
      </c>
      <c r="D269" s="33" t="s">
        <v>15</v>
      </c>
      <c r="E269" s="33" t="s">
        <v>24</v>
      </c>
      <c r="F269" s="33">
        <v>42</v>
      </c>
      <c r="G269" s="34">
        <v>436.81818179999999</v>
      </c>
    </row>
    <row r="270" spans="1:7" ht="15.75" x14ac:dyDescent="0.25">
      <c r="A270" s="33">
        <v>2223</v>
      </c>
      <c r="B270" s="33">
        <v>2214</v>
      </c>
      <c r="C270" s="33" t="s">
        <v>27</v>
      </c>
      <c r="D270" s="33" t="s">
        <v>15</v>
      </c>
      <c r="E270" s="33" t="s">
        <v>24</v>
      </c>
      <c r="F270" s="33">
        <v>56</v>
      </c>
      <c r="G270" s="34">
        <v>466.36363640000002</v>
      </c>
    </row>
    <row r="271" spans="1:7" ht="15.75" x14ac:dyDescent="0.25">
      <c r="A271" s="33">
        <v>2223</v>
      </c>
      <c r="B271" s="33">
        <v>2214</v>
      </c>
      <c r="C271" s="33" t="s">
        <v>27</v>
      </c>
      <c r="D271" s="33" t="s">
        <v>15</v>
      </c>
      <c r="E271" s="33" t="s">
        <v>24</v>
      </c>
      <c r="F271" s="33">
        <v>70</v>
      </c>
      <c r="G271" s="35">
        <v>484.54545450000001</v>
      </c>
    </row>
    <row r="272" spans="1:7" ht="15.75" x14ac:dyDescent="0.25">
      <c r="A272" s="33">
        <v>2227</v>
      </c>
      <c r="B272" s="33">
        <v>2214</v>
      </c>
      <c r="C272" s="33" t="s">
        <v>23</v>
      </c>
      <c r="D272" s="33" t="s">
        <v>21</v>
      </c>
      <c r="E272" s="33" t="s">
        <v>24</v>
      </c>
      <c r="F272" s="33">
        <v>0</v>
      </c>
      <c r="G272" s="34">
        <v>335.45454549999999</v>
      </c>
    </row>
    <row r="273" spans="1:7" ht="15.75" x14ac:dyDescent="0.25">
      <c r="A273" s="33">
        <v>2227</v>
      </c>
      <c r="B273" s="33">
        <v>2214</v>
      </c>
      <c r="C273" s="33" t="s">
        <v>23</v>
      </c>
      <c r="D273" s="33" t="s">
        <v>21</v>
      </c>
      <c r="E273" s="33" t="s">
        <v>24</v>
      </c>
      <c r="F273" s="33">
        <v>14</v>
      </c>
      <c r="G273" s="34">
        <v>365.90909090000002</v>
      </c>
    </row>
    <row r="274" spans="1:7" ht="15.75" x14ac:dyDescent="0.25">
      <c r="A274" s="33">
        <v>2227</v>
      </c>
      <c r="B274" s="33">
        <v>2214</v>
      </c>
      <c r="C274" s="33" t="s">
        <v>23</v>
      </c>
      <c r="D274" s="33" t="s">
        <v>21</v>
      </c>
      <c r="E274" s="33" t="s">
        <v>24</v>
      </c>
      <c r="F274" s="33">
        <v>28</v>
      </c>
      <c r="G274" s="34">
        <v>395.45454549999999</v>
      </c>
    </row>
    <row r="275" spans="1:7" ht="15.75" x14ac:dyDescent="0.25">
      <c r="A275" s="33">
        <v>2227</v>
      </c>
      <c r="B275" s="33">
        <v>2214</v>
      </c>
      <c r="C275" s="33" t="s">
        <v>23</v>
      </c>
      <c r="D275" s="33" t="s">
        <v>21</v>
      </c>
      <c r="E275" s="33" t="s">
        <v>24</v>
      </c>
      <c r="F275" s="33">
        <v>42</v>
      </c>
      <c r="G275" s="34">
        <v>391.36363640000002</v>
      </c>
    </row>
    <row r="276" spans="1:7" ht="15.75" x14ac:dyDescent="0.25">
      <c r="A276" s="33">
        <v>2227</v>
      </c>
      <c r="B276" s="33">
        <v>2214</v>
      </c>
      <c r="C276" s="33" t="s">
        <v>23</v>
      </c>
      <c r="D276" s="33" t="s">
        <v>21</v>
      </c>
      <c r="E276" s="33" t="s">
        <v>24</v>
      </c>
      <c r="F276" s="33">
        <v>56</v>
      </c>
      <c r="G276" s="34">
        <v>415</v>
      </c>
    </row>
    <row r="277" spans="1:7" ht="15.75" x14ac:dyDescent="0.25">
      <c r="A277" s="33">
        <v>2227</v>
      </c>
      <c r="B277" s="33">
        <v>2214</v>
      </c>
      <c r="C277" s="33" t="s">
        <v>23</v>
      </c>
      <c r="D277" s="33" t="s">
        <v>21</v>
      </c>
      <c r="E277" s="33" t="s">
        <v>24</v>
      </c>
      <c r="F277" s="33">
        <v>70</v>
      </c>
      <c r="G277" s="35">
        <v>430</v>
      </c>
    </row>
    <row r="278" spans="1:7" ht="15.75" x14ac:dyDescent="0.25">
      <c r="A278" s="33">
        <v>2229</v>
      </c>
      <c r="B278" s="33">
        <v>2214</v>
      </c>
      <c r="C278" s="33" t="s">
        <v>27</v>
      </c>
      <c r="D278" s="33" t="s">
        <v>15</v>
      </c>
      <c r="E278" s="33" t="s">
        <v>24</v>
      </c>
      <c r="F278" s="33">
        <v>0</v>
      </c>
      <c r="G278" s="34">
        <v>278.63636359999998</v>
      </c>
    </row>
    <row r="279" spans="1:7" ht="15.75" x14ac:dyDescent="0.25">
      <c r="A279" s="33">
        <v>2229</v>
      </c>
      <c r="B279" s="33">
        <v>2214</v>
      </c>
      <c r="C279" s="33" t="s">
        <v>27</v>
      </c>
      <c r="D279" s="33" t="s">
        <v>15</v>
      </c>
      <c r="E279" s="33" t="s">
        <v>24</v>
      </c>
      <c r="F279" s="33">
        <v>14</v>
      </c>
      <c r="G279" s="34">
        <v>300.90909090000002</v>
      </c>
    </row>
    <row r="280" spans="1:7" ht="15.75" x14ac:dyDescent="0.25">
      <c r="A280" s="33">
        <v>2229</v>
      </c>
      <c r="B280" s="33">
        <v>2214</v>
      </c>
      <c r="C280" s="33" t="s">
        <v>27</v>
      </c>
      <c r="D280" s="33" t="s">
        <v>15</v>
      </c>
      <c r="E280" s="33" t="s">
        <v>24</v>
      </c>
      <c r="F280" s="33">
        <v>28</v>
      </c>
      <c r="G280" s="34">
        <v>333.63636359999998</v>
      </c>
    </row>
    <row r="281" spans="1:7" ht="15.75" x14ac:dyDescent="0.25">
      <c r="A281" s="33">
        <v>2229</v>
      </c>
      <c r="B281" s="33">
        <v>2214</v>
      </c>
      <c r="C281" s="33" t="s">
        <v>27</v>
      </c>
      <c r="D281" s="33" t="s">
        <v>15</v>
      </c>
      <c r="E281" s="33" t="s">
        <v>24</v>
      </c>
      <c r="F281" s="33">
        <v>42</v>
      </c>
      <c r="G281" s="34">
        <v>354.09090909999998</v>
      </c>
    </row>
    <row r="282" spans="1:7" ht="15.75" x14ac:dyDescent="0.25">
      <c r="A282" s="33">
        <v>2229</v>
      </c>
      <c r="B282" s="33">
        <v>2214</v>
      </c>
      <c r="C282" s="33" t="s">
        <v>27</v>
      </c>
      <c r="D282" s="33" t="s">
        <v>15</v>
      </c>
      <c r="E282" s="33" t="s">
        <v>24</v>
      </c>
      <c r="F282" s="33">
        <v>56</v>
      </c>
      <c r="G282" s="34">
        <v>389.54545450000001</v>
      </c>
    </row>
    <row r="283" spans="1:7" ht="15.75" x14ac:dyDescent="0.25">
      <c r="A283" s="33">
        <v>2229</v>
      </c>
      <c r="B283" s="33">
        <v>2214</v>
      </c>
      <c r="C283" s="33" t="s">
        <v>27</v>
      </c>
      <c r="D283" s="33" t="s">
        <v>15</v>
      </c>
      <c r="E283" s="33" t="s">
        <v>24</v>
      </c>
      <c r="F283" s="33">
        <v>70</v>
      </c>
      <c r="G283" s="35">
        <v>405.45454549999999</v>
      </c>
    </row>
    <row r="284" spans="1:7" ht="15.75" x14ac:dyDescent="0.25">
      <c r="A284" s="33">
        <v>2233</v>
      </c>
      <c r="B284" s="33">
        <v>2214</v>
      </c>
      <c r="C284" s="33" t="s">
        <v>20</v>
      </c>
      <c r="D284" s="33" t="s">
        <v>21</v>
      </c>
      <c r="E284" s="33" t="s">
        <v>15</v>
      </c>
      <c r="F284" s="33">
        <v>0</v>
      </c>
      <c r="G284" s="34">
        <v>365.45454549999999</v>
      </c>
    </row>
    <row r="285" spans="1:7" ht="15.75" x14ac:dyDescent="0.25">
      <c r="A285" s="33">
        <v>2233</v>
      </c>
      <c r="B285" s="33">
        <v>2214</v>
      </c>
      <c r="C285" s="33" t="s">
        <v>20</v>
      </c>
      <c r="D285" s="33" t="s">
        <v>21</v>
      </c>
      <c r="E285" s="33" t="s">
        <v>15</v>
      </c>
      <c r="F285" s="33">
        <v>14</v>
      </c>
      <c r="G285" s="34">
        <v>399.09090909999998</v>
      </c>
    </row>
    <row r="286" spans="1:7" ht="15.75" x14ac:dyDescent="0.25">
      <c r="A286" s="33">
        <v>2233</v>
      </c>
      <c r="B286" s="33">
        <v>2214</v>
      </c>
      <c r="C286" s="33" t="s">
        <v>20</v>
      </c>
      <c r="D286" s="33" t="s">
        <v>21</v>
      </c>
      <c r="E286" s="33" t="s">
        <v>15</v>
      </c>
      <c r="F286" s="33">
        <v>28</v>
      </c>
      <c r="G286" s="34">
        <v>438.18181820000001</v>
      </c>
    </row>
    <row r="287" spans="1:7" ht="15.75" x14ac:dyDescent="0.25">
      <c r="A287" s="33">
        <v>2233</v>
      </c>
      <c r="B287" s="33">
        <v>2214</v>
      </c>
      <c r="C287" s="33" t="s">
        <v>20</v>
      </c>
      <c r="D287" s="33" t="s">
        <v>21</v>
      </c>
      <c r="E287" s="33" t="s">
        <v>15</v>
      </c>
      <c r="F287" s="33">
        <v>42</v>
      </c>
      <c r="G287" s="34">
        <v>449.54545450000001</v>
      </c>
    </row>
    <row r="288" spans="1:7" ht="15.75" x14ac:dyDescent="0.25">
      <c r="A288" s="33">
        <v>2233</v>
      </c>
      <c r="B288" s="33">
        <v>2214</v>
      </c>
      <c r="C288" s="33" t="s">
        <v>20</v>
      </c>
      <c r="D288" s="33" t="s">
        <v>21</v>
      </c>
      <c r="E288" s="33" t="s">
        <v>15</v>
      </c>
      <c r="F288" s="33">
        <v>56</v>
      </c>
      <c r="G288" s="34">
        <v>479.54545450000001</v>
      </c>
    </row>
    <row r="289" spans="1:7" ht="15.75" x14ac:dyDescent="0.25">
      <c r="A289" s="33">
        <v>2233</v>
      </c>
      <c r="B289" s="33">
        <v>2214</v>
      </c>
      <c r="C289" s="33" t="s">
        <v>20</v>
      </c>
      <c r="D289" s="33" t="s">
        <v>21</v>
      </c>
      <c r="E289" s="33" t="s">
        <v>15</v>
      </c>
      <c r="F289" s="33">
        <v>70</v>
      </c>
      <c r="G289" s="35">
        <v>461.81818179999999</v>
      </c>
    </row>
    <row r="290" spans="1:7" ht="15.75" x14ac:dyDescent="0.25">
      <c r="A290" s="33">
        <v>2235</v>
      </c>
      <c r="B290" s="33">
        <v>2214</v>
      </c>
      <c r="C290" s="33" t="s">
        <v>20</v>
      </c>
      <c r="D290" s="33" t="s">
        <v>21</v>
      </c>
      <c r="E290" s="33" t="s">
        <v>15</v>
      </c>
      <c r="F290" s="33">
        <v>0</v>
      </c>
      <c r="G290" s="34">
        <v>328.18181820000001</v>
      </c>
    </row>
    <row r="291" spans="1:7" ht="15.75" x14ac:dyDescent="0.25">
      <c r="A291" s="33">
        <v>2235</v>
      </c>
      <c r="B291" s="33">
        <v>2214</v>
      </c>
      <c r="C291" s="33" t="s">
        <v>20</v>
      </c>
      <c r="D291" s="33" t="s">
        <v>21</v>
      </c>
      <c r="E291" s="33" t="s">
        <v>15</v>
      </c>
      <c r="F291" s="33">
        <v>14</v>
      </c>
      <c r="G291" s="34">
        <v>378.63636359999998</v>
      </c>
    </row>
    <row r="292" spans="1:7" ht="15.75" x14ac:dyDescent="0.25">
      <c r="A292" s="33">
        <v>2235</v>
      </c>
      <c r="B292" s="33">
        <v>2214</v>
      </c>
      <c r="C292" s="33" t="s">
        <v>20</v>
      </c>
      <c r="D292" s="33" t="s">
        <v>21</v>
      </c>
      <c r="E292" s="33" t="s">
        <v>15</v>
      </c>
      <c r="F292" s="33">
        <v>28</v>
      </c>
      <c r="G292" s="34">
        <v>410.45454549999999</v>
      </c>
    </row>
    <row r="293" spans="1:7" ht="15.75" x14ac:dyDescent="0.25">
      <c r="A293" s="33">
        <v>2235</v>
      </c>
      <c r="B293" s="33">
        <v>2214</v>
      </c>
      <c r="C293" s="33" t="s">
        <v>20</v>
      </c>
      <c r="D293" s="33" t="s">
        <v>21</v>
      </c>
      <c r="E293" s="33" t="s">
        <v>15</v>
      </c>
      <c r="F293" s="33">
        <v>42</v>
      </c>
      <c r="G293" s="34">
        <v>437.27272729999999</v>
      </c>
    </row>
    <row r="294" spans="1:7" ht="15.75" x14ac:dyDescent="0.25">
      <c r="A294" s="33">
        <v>2235</v>
      </c>
      <c r="B294" s="33">
        <v>2214</v>
      </c>
      <c r="C294" s="33" t="s">
        <v>20</v>
      </c>
      <c r="D294" s="33" t="s">
        <v>21</v>
      </c>
      <c r="E294" s="33" t="s">
        <v>15</v>
      </c>
      <c r="F294" s="33">
        <v>56</v>
      </c>
      <c r="G294" s="34">
        <v>468.18181820000001</v>
      </c>
    </row>
    <row r="295" spans="1:7" ht="15.75" x14ac:dyDescent="0.25">
      <c r="A295" s="33">
        <v>2235</v>
      </c>
      <c r="B295" s="33">
        <v>2214</v>
      </c>
      <c r="C295" s="33" t="s">
        <v>20</v>
      </c>
      <c r="D295" s="33" t="s">
        <v>21</v>
      </c>
      <c r="E295" s="33" t="s">
        <v>15</v>
      </c>
      <c r="F295" s="33">
        <v>70</v>
      </c>
      <c r="G295" s="35">
        <v>487.27272729999999</v>
      </c>
    </row>
    <row r="296" spans="1:7" ht="15.75" x14ac:dyDescent="0.25">
      <c r="A296" s="33">
        <v>2236</v>
      </c>
      <c r="B296" s="33">
        <v>2214</v>
      </c>
      <c r="C296" s="33" t="s">
        <v>23</v>
      </c>
      <c r="D296" s="33" t="s">
        <v>21</v>
      </c>
      <c r="E296" s="33" t="s">
        <v>24</v>
      </c>
      <c r="F296" s="33">
        <v>0</v>
      </c>
      <c r="G296" s="34">
        <v>390</v>
      </c>
    </row>
    <row r="297" spans="1:7" ht="15.75" x14ac:dyDescent="0.25">
      <c r="A297" s="33">
        <v>2236</v>
      </c>
      <c r="B297" s="33">
        <v>2214</v>
      </c>
      <c r="C297" s="33" t="s">
        <v>23</v>
      </c>
      <c r="D297" s="33" t="s">
        <v>21</v>
      </c>
      <c r="E297" s="33" t="s">
        <v>24</v>
      </c>
      <c r="F297" s="33">
        <v>14</v>
      </c>
      <c r="G297" s="34">
        <v>429.54545450000001</v>
      </c>
    </row>
    <row r="298" spans="1:7" ht="15.75" x14ac:dyDescent="0.25">
      <c r="A298" s="33">
        <v>2236</v>
      </c>
      <c r="B298" s="33">
        <v>2214</v>
      </c>
      <c r="C298" s="33" t="s">
        <v>23</v>
      </c>
      <c r="D298" s="33" t="s">
        <v>21</v>
      </c>
      <c r="E298" s="33" t="s">
        <v>24</v>
      </c>
      <c r="F298" s="33">
        <v>28</v>
      </c>
      <c r="G298" s="34">
        <v>465.90909090000002</v>
      </c>
    </row>
    <row r="299" spans="1:7" ht="15.75" x14ac:dyDescent="0.25">
      <c r="A299" s="33">
        <v>2236</v>
      </c>
      <c r="B299" s="33">
        <v>2214</v>
      </c>
      <c r="C299" s="33" t="s">
        <v>23</v>
      </c>
      <c r="D299" s="33" t="s">
        <v>21</v>
      </c>
      <c r="E299" s="33" t="s">
        <v>24</v>
      </c>
      <c r="F299" s="33">
        <v>42</v>
      </c>
      <c r="G299" s="34">
        <v>490.45454549999999</v>
      </c>
    </row>
    <row r="300" spans="1:7" ht="15.75" x14ac:dyDescent="0.25">
      <c r="A300" s="33">
        <v>2236</v>
      </c>
      <c r="B300" s="33">
        <v>2214</v>
      </c>
      <c r="C300" s="33" t="s">
        <v>23</v>
      </c>
      <c r="D300" s="33" t="s">
        <v>21</v>
      </c>
      <c r="E300" s="33" t="s">
        <v>24</v>
      </c>
      <c r="F300" s="33">
        <v>56</v>
      </c>
      <c r="G300" s="34">
        <v>520.90909090000002</v>
      </c>
    </row>
    <row r="301" spans="1:7" ht="15.75" x14ac:dyDescent="0.25">
      <c r="A301" s="33">
        <v>2236</v>
      </c>
      <c r="B301" s="33">
        <v>2214</v>
      </c>
      <c r="C301" s="33" t="s">
        <v>23</v>
      </c>
      <c r="D301" s="33" t="s">
        <v>21</v>
      </c>
      <c r="E301" s="33" t="s">
        <v>24</v>
      </c>
      <c r="F301" s="33">
        <v>70</v>
      </c>
      <c r="G301" s="35">
        <v>535</v>
      </c>
    </row>
    <row r="302" spans="1:7" ht="15.75" x14ac:dyDescent="0.25">
      <c r="A302" s="33">
        <v>2237</v>
      </c>
      <c r="B302" s="33">
        <v>2214</v>
      </c>
      <c r="C302" s="33" t="s">
        <v>23</v>
      </c>
      <c r="D302" s="33" t="s">
        <v>21</v>
      </c>
      <c r="E302" s="33" t="s">
        <v>24</v>
      </c>
      <c r="F302" s="33">
        <v>0</v>
      </c>
      <c r="G302" s="34">
        <v>360</v>
      </c>
    </row>
    <row r="303" spans="1:7" ht="15.75" x14ac:dyDescent="0.25">
      <c r="A303" s="33">
        <v>2237</v>
      </c>
      <c r="B303" s="33">
        <v>2214</v>
      </c>
      <c r="C303" s="33" t="s">
        <v>23</v>
      </c>
      <c r="D303" s="33" t="s">
        <v>21</v>
      </c>
      <c r="E303" s="33" t="s">
        <v>24</v>
      </c>
      <c r="F303" s="33">
        <v>14</v>
      </c>
      <c r="G303" s="34">
        <v>400</v>
      </c>
    </row>
    <row r="304" spans="1:7" ht="15.75" x14ac:dyDescent="0.25">
      <c r="A304" s="33">
        <v>2237</v>
      </c>
      <c r="B304" s="33">
        <v>2214</v>
      </c>
      <c r="C304" s="33" t="s">
        <v>23</v>
      </c>
      <c r="D304" s="33" t="s">
        <v>21</v>
      </c>
      <c r="E304" s="33" t="s">
        <v>24</v>
      </c>
      <c r="F304" s="33">
        <v>28</v>
      </c>
      <c r="G304" s="34">
        <v>441.36363640000002</v>
      </c>
    </row>
    <row r="305" spans="1:7" ht="15.75" x14ac:dyDescent="0.25">
      <c r="A305" s="33">
        <v>2237</v>
      </c>
      <c r="B305" s="33">
        <v>2214</v>
      </c>
      <c r="C305" s="33" t="s">
        <v>23</v>
      </c>
      <c r="D305" s="33" t="s">
        <v>21</v>
      </c>
      <c r="E305" s="33" t="s">
        <v>24</v>
      </c>
      <c r="F305" s="33">
        <v>42</v>
      </c>
      <c r="G305" s="34">
        <v>463.63636359999998</v>
      </c>
    </row>
    <row r="306" spans="1:7" ht="15.75" x14ac:dyDescent="0.25">
      <c r="A306" s="33">
        <v>2237</v>
      </c>
      <c r="B306" s="33">
        <v>2214</v>
      </c>
      <c r="C306" s="33" t="s">
        <v>23</v>
      </c>
      <c r="D306" s="33" t="s">
        <v>21</v>
      </c>
      <c r="E306" s="33" t="s">
        <v>24</v>
      </c>
      <c r="F306" s="33">
        <v>56</v>
      </c>
      <c r="G306" s="34">
        <v>479.09090909999998</v>
      </c>
    </row>
    <row r="307" spans="1:7" ht="15.75" x14ac:dyDescent="0.25">
      <c r="A307" s="33">
        <v>2237</v>
      </c>
      <c r="B307" s="33">
        <v>2214</v>
      </c>
      <c r="C307" s="33" t="s">
        <v>23</v>
      </c>
      <c r="D307" s="33" t="s">
        <v>21</v>
      </c>
      <c r="E307" s="33" t="s">
        <v>24</v>
      </c>
      <c r="F307" s="33">
        <v>70</v>
      </c>
      <c r="G307" s="35">
        <v>472.72727270000001</v>
      </c>
    </row>
    <row r="308" spans="1:7" ht="15.75" x14ac:dyDescent="0.25">
      <c r="A308" s="33">
        <v>2238</v>
      </c>
      <c r="B308" s="33">
        <v>2214</v>
      </c>
      <c r="C308" s="33" t="s">
        <v>20</v>
      </c>
      <c r="D308" s="33" t="s">
        <v>21</v>
      </c>
      <c r="E308" s="33" t="s">
        <v>15</v>
      </c>
      <c r="F308" s="33">
        <v>0</v>
      </c>
      <c r="G308" s="34">
        <v>380.45454549999999</v>
      </c>
    </row>
    <row r="309" spans="1:7" ht="15.75" x14ac:dyDescent="0.25">
      <c r="A309" s="33">
        <v>2238</v>
      </c>
      <c r="B309" s="33">
        <v>2214</v>
      </c>
      <c r="C309" s="33" t="s">
        <v>20</v>
      </c>
      <c r="D309" s="33" t="s">
        <v>21</v>
      </c>
      <c r="E309" s="33" t="s">
        <v>15</v>
      </c>
      <c r="F309" s="33">
        <v>14</v>
      </c>
      <c r="G309" s="34">
        <v>387.72727270000001</v>
      </c>
    </row>
    <row r="310" spans="1:7" ht="15.75" x14ac:dyDescent="0.25">
      <c r="A310" s="33">
        <v>2238</v>
      </c>
      <c r="B310" s="33">
        <v>2214</v>
      </c>
      <c r="C310" s="33" t="s">
        <v>20</v>
      </c>
      <c r="D310" s="33" t="s">
        <v>21</v>
      </c>
      <c r="E310" s="33" t="s">
        <v>15</v>
      </c>
      <c r="F310" s="33">
        <v>28</v>
      </c>
      <c r="G310" s="34">
        <v>427.27272729999999</v>
      </c>
    </row>
    <row r="311" spans="1:7" ht="15.75" x14ac:dyDescent="0.25">
      <c r="A311" s="33">
        <v>2238</v>
      </c>
      <c r="B311" s="33">
        <v>2214</v>
      </c>
      <c r="C311" s="33" t="s">
        <v>20</v>
      </c>
      <c r="D311" s="33" t="s">
        <v>21</v>
      </c>
      <c r="E311" s="33" t="s">
        <v>15</v>
      </c>
      <c r="F311" s="33">
        <v>42</v>
      </c>
      <c r="G311" s="34">
        <v>446.36363640000002</v>
      </c>
    </row>
    <row r="312" spans="1:7" ht="15.75" x14ac:dyDescent="0.25">
      <c r="A312" s="33">
        <v>2238</v>
      </c>
      <c r="B312" s="33">
        <v>2214</v>
      </c>
      <c r="C312" s="33" t="s">
        <v>20</v>
      </c>
      <c r="D312" s="33" t="s">
        <v>21</v>
      </c>
      <c r="E312" s="33" t="s">
        <v>15</v>
      </c>
      <c r="F312" s="33">
        <v>56</v>
      </c>
      <c r="G312" s="34">
        <v>469.09090909999998</v>
      </c>
    </row>
    <row r="313" spans="1:7" ht="15.75" x14ac:dyDescent="0.25">
      <c r="A313" s="33">
        <v>2238</v>
      </c>
      <c r="B313" s="33">
        <v>2214</v>
      </c>
      <c r="C313" s="33" t="s">
        <v>20</v>
      </c>
      <c r="D313" s="33" t="s">
        <v>21</v>
      </c>
      <c r="E313" s="33" t="s">
        <v>15</v>
      </c>
      <c r="F313" s="33">
        <v>70</v>
      </c>
      <c r="G313" s="35">
        <v>468.18181820000001</v>
      </c>
    </row>
    <row r="314" spans="1:7" ht="15.75" x14ac:dyDescent="0.25">
      <c r="A314" s="33">
        <v>2240</v>
      </c>
      <c r="B314" s="33">
        <v>2214</v>
      </c>
      <c r="C314" s="33" t="s">
        <v>20</v>
      </c>
      <c r="D314" s="33" t="s">
        <v>21</v>
      </c>
      <c r="E314" s="33" t="s">
        <v>15</v>
      </c>
      <c r="F314" s="33">
        <v>0</v>
      </c>
      <c r="G314" s="34">
        <v>334.09090909999998</v>
      </c>
    </row>
    <row r="315" spans="1:7" ht="15.75" x14ac:dyDescent="0.25">
      <c r="A315" s="33">
        <v>2240</v>
      </c>
      <c r="B315" s="33">
        <v>2214</v>
      </c>
      <c r="C315" s="33" t="s">
        <v>20</v>
      </c>
      <c r="D315" s="33" t="s">
        <v>21</v>
      </c>
      <c r="E315" s="33" t="s">
        <v>15</v>
      </c>
      <c r="F315" s="33">
        <v>14</v>
      </c>
      <c r="G315" s="34">
        <v>362.72727270000001</v>
      </c>
    </row>
    <row r="316" spans="1:7" ht="15.75" x14ac:dyDescent="0.25">
      <c r="A316" s="33">
        <v>2240</v>
      </c>
      <c r="B316" s="33">
        <v>2214</v>
      </c>
      <c r="C316" s="33" t="s">
        <v>20</v>
      </c>
      <c r="D316" s="33" t="s">
        <v>21</v>
      </c>
      <c r="E316" s="33" t="s">
        <v>15</v>
      </c>
      <c r="F316" s="33">
        <v>28</v>
      </c>
      <c r="G316" s="34">
        <v>405.90909090000002</v>
      </c>
    </row>
    <row r="317" spans="1:7" ht="15.75" x14ac:dyDescent="0.25">
      <c r="A317" s="33">
        <v>2240</v>
      </c>
      <c r="B317" s="33">
        <v>2214</v>
      </c>
      <c r="C317" s="33" t="s">
        <v>20</v>
      </c>
      <c r="D317" s="33" t="s">
        <v>21</v>
      </c>
      <c r="E317" s="33" t="s">
        <v>15</v>
      </c>
      <c r="F317" s="33">
        <v>42</v>
      </c>
      <c r="G317" s="34">
        <v>434.09090909999998</v>
      </c>
    </row>
    <row r="318" spans="1:7" ht="15.75" x14ac:dyDescent="0.25">
      <c r="A318" s="33">
        <v>2240</v>
      </c>
      <c r="B318" s="33">
        <v>2214</v>
      </c>
      <c r="C318" s="33" t="s">
        <v>20</v>
      </c>
      <c r="D318" s="33" t="s">
        <v>21</v>
      </c>
      <c r="E318" s="33" t="s">
        <v>15</v>
      </c>
      <c r="F318" s="33">
        <v>56</v>
      </c>
      <c r="G318" s="34">
        <v>457.72727270000001</v>
      </c>
    </row>
    <row r="319" spans="1:7" ht="15.75" x14ac:dyDescent="0.25">
      <c r="A319" s="33">
        <v>2240</v>
      </c>
      <c r="B319" s="33">
        <v>2214</v>
      </c>
      <c r="C319" s="33" t="s">
        <v>20</v>
      </c>
      <c r="D319" s="33" t="s">
        <v>21</v>
      </c>
      <c r="E319" s="33" t="s">
        <v>15</v>
      </c>
      <c r="F319" s="33">
        <v>70</v>
      </c>
      <c r="G319" s="35">
        <v>475.90909090000002</v>
      </c>
    </row>
    <row r="320" spans="1:7" ht="15.75" x14ac:dyDescent="0.25">
      <c r="A320" s="33">
        <v>2241</v>
      </c>
      <c r="B320" s="33">
        <v>2214</v>
      </c>
      <c r="C320" s="33" t="s">
        <v>20</v>
      </c>
      <c r="D320" s="33" t="s">
        <v>21</v>
      </c>
      <c r="E320" s="33" t="s">
        <v>15</v>
      </c>
      <c r="F320" s="33">
        <v>0</v>
      </c>
      <c r="G320" s="34">
        <v>395.45454549999999</v>
      </c>
    </row>
    <row r="321" spans="1:7" ht="15.75" x14ac:dyDescent="0.25">
      <c r="A321" s="33">
        <v>2241</v>
      </c>
      <c r="B321" s="33">
        <v>2214</v>
      </c>
      <c r="C321" s="33" t="s">
        <v>20</v>
      </c>
      <c r="D321" s="33" t="s">
        <v>21</v>
      </c>
      <c r="E321" s="33" t="s">
        <v>15</v>
      </c>
      <c r="F321" s="33">
        <v>14</v>
      </c>
      <c r="G321" s="34">
        <v>438.63636359999998</v>
      </c>
    </row>
    <row r="322" spans="1:7" ht="15.75" x14ac:dyDescent="0.25">
      <c r="A322" s="33">
        <v>2241</v>
      </c>
      <c r="B322" s="33">
        <v>2214</v>
      </c>
      <c r="C322" s="33" t="s">
        <v>20</v>
      </c>
      <c r="D322" s="33" t="s">
        <v>21</v>
      </c>
      <c r="E322" s="33" t="s">
        <v>15</v>
      </c>
      <c r="F322" s="33">
        <v>28</v>
      </c>
      <c r="G322" s="34">
        <v>478.18181820000001</v>
      </c>
    </row>
    <row r="323" spans="1:7" ht="15.75" x14ac:dyDescent="0.25">
      <c r="A323" s="33">
        <v>2241</v>
      </c>
      <c r="B323" s="33">
        <v>2214</v>
      </c>
      <c r="C323" s="33" t="s">
        <v>20</v>
      </c>
      <c r="D323" s="33" t="s">
        <v>21</v>
      </c>
      <c r="E323" s="33" t="s">
        <v>15</v>
      </c>
      <c r="F323" s="33">
        <v>42</v>
      </c>
      <c r="G323" s="34">
        <v>489.09090909999998</v>
      </c>
    </row>
    <row r="324" spans="1:7" ht="15.75" x14ac:dyDescent="0.25">
      <c r="A324" s="33">
        <v>2241</v>
      </c>
      <c r="B324" s="33">
        <v>2214</v>
      </c>
      <c r="C324" s="33" t="s">
        <v>20</v>
      </c>
      <c r="D324" s="33" t="s">
        <v>21</v>
      </c>
      <c r="E324" s="33" t="s">
        <v>15</v>
      </c>
      <c r="F324" s="33">
        <v>56</v>
      </c>
      <c r="G324" s="34">
        <v>525</v>
      </c>
    </row>
    <row r="325" spans="1:7" ht="15.75" x14ac:dyDescent="0.25">
      <c r="A325" s="33">
        <v>2241</v>
      </c>
      <c r="B325" s="33">
        <v>2214</v>
      </c>
      <c r="C325" s="33" t="s">
        <v>20</v>
      </c>
      <c r="D325" s="33" t="s">
        <v>21</v>
      </c>
      <c r="E325" s="33" t="s">
        <v>15</v>
      </c>
      <c r="F325" s="33">
        <v>70</v>
      </c>
      <c r="G325" s="35">
        <v>520.90909090000002</v>
      </c>
    </row>
    <row r="326" spans="1:7" ht="15.75" x14ac:dyDescent="0.25">
      <c r="A326" s="33">
        <v>2244</v>
      </c>
      <c r="B326" s="33">
        <v>2214</v>
      </c>
      <c r="C326" s="33" t="s">
        <v>20</v>
      </c>
      <c r="D326" s="33" t="s">
        <v>21</v>
      </c>
      <c r="E326" s="33" t="s">
        <v>15</v>
      </c>
      <c r="F326" s="33">
        <v>0</v>
      </c>
      <c r="G326" s="34">
        <v>342.27272729999999</v>
      </c>
    </row>
    <row r="327" spans="1:7" ht="15.75" x14ac:dyDescent="0.25">
      <c r="A327" s="33">
        <v>2244</v>
      </c>
      <c r="B327" s="33">
        <v>2214</v>
      </c>
      <c r="C327" s="33" t="s">
        <v>20</v>
      </c>
      <c r="D327" s="33" t="s">
        <v>21</v>
      </c>
      <c r="E327" s="33" t="s">
        <v>15</v>
      </c>
      <c r="F327" s="33">
        <v>14</v>
      </c>
      <c r="G327" s="34">
        <v>378.18181820000001</v>
      </c>
    </row>
    <row r="328" spans="1:7" ht="15.75" x14ac:dyDescent="0.25">
      <c r="A328" s="33">
        <v>2244</v>
      </c>
      <c r="B328" s="33">
        <v>2214</v>
      </c>
      <c r="C328" s="33" t="s">
        <v>20</v>
      </c>
      <c r="D328" s="33" t="s">
        <v>21</v>
      </c>
      <c r="E328" s="33" t="s">
        <v>15</v>
      </c>
      <c r="F328" s="33">
        <v>28</v>
      </c>
      <c r="G328" s="34">
        <v>428.18181820000001</v>
      </c>
    </row>
    <row r="329" spans="1:7" ht="15.75" x14ac:dyDescent="0.25">
      <c r="A329" s="33">
        <v>2244</v>
      </c>
      <c r="B329" s="33">
        <v>2214</v>
      </c>
      <c r="C329" s="33" t="s">
        <v>20</v>
      </c>
      <c r="D329" s="33" t="s">
        <v>21</v>
      </c>
      <c r="E329" s="33" t="s">
        <v>15</v>
      </c>
      <c r="F329" s="33">
        <v>42</v>
      </c>
      <c r="G329" s="34">
        <v>441.36363640000002</v>
      </c>
    </row>
    <row r="330" spans="1:7" ht="15.75" x14ac:dyDescent="0.25">
      <c r="A330" s="33">
        <v>2244</v>
      </c>
      <c r="B330" s="33">
        <v>2214</v>
      </c>
      <c r="C330" s="33" t="s">
        <v>20</v>
      </c>
      <c r="D330" s="33" t="s">
        <v>21</v>
      </c>
      <c r="E330" s="33" t="s">
        <v>15</v>
      </c>
      <c r="F330" s="33">
        <v>56</v>
      </c>
      <c r="G330" s="34">
        <v>481.36363640000002</v>
      </c>
    </row>
    <row r="331" spans="1:7" ht="15.75" x14ac:dyDescent="0.25">
      <c r="A331" s="33">
        <v>2244</v>
      </c>
      <c r="B331" s="33">
        <v>2214</v>
      </c>
      <c r="C331" s="33" t="s">
        <v>20</v>
      </c>
      <c r="D331" s="33" t="s">
        <v>21</v>
      </c>
      <c r="E331" s="33" t="s">
        <v>15</v>
      </c>
      <c r="F331" s="33">
        <v>70</v>
      </c>
      <c r="G331" s="35">
        <v>481.36363640000002</v>
      </c>
    </row>
    <row r="332" spans="1:7" ht="15.75" x14ac:dyDescent="0.25">
      <c r="A332" s="33">
        <v>2245</v>
      </c>
      <c r="B332" s="33">
        <v>2214</v>
      </c>
      <c r="C332" s="33" t="s">
        <v>20</v>
      </c>
      <c r="D332" s="33" t="s">
        <v>21</v>
      </c>
      <c r="E332" s="33" t="s">
        <v>15</v>
      </c>
      <c r="F332" s="33">
        <v>0</v>
      </c>
      <c r="G332" s="34">
        <v>271.36363640000002</v>
      </c>
    </row>
    <row r="333" spans="1:7" ht="15.75" x14ac:dyDescent="0.25">
      <c r="A333" s="33">
        <v>2245</v>
      </c>
      <c r="B333" s="33">
        <v>2214</v>
      </c>
      <c r="C333" s="33" t="s">
        <v>20</v>
      </c>
      <c r="D333" s="33" t="s">
        <v>21</v>
      </c>
      <c r="E333" s="33" t="s">
        <v>15</v>
      </c>
      <c r="F333" s="33">
        <v>14</v>
      </c>
      <c r="G333" s="34">
        <v>314.54545450000001</v>
      </c>
    </row>
    <row r="334" spans="1:7" ht="15.75" x14ac:dyDescent="0.25">
      <c r="A334" s="33">
        <v>2245</v>
      </c>
      <c r="B334" s="33">
        <v>2214</v>
      </c>
      <c r="C334" s="33" t="s">
        <v>20</v>
      </c>
      <c r="D334" s="33" t="s">
        <v>21</v>
      </c>
      <c r="E334" s="33" t="s">
        <v>15</v>
      </c>
      <c r="F334" s="33">
        <v>28</v>
      </c>
      <c r="G334" s="34">
        <v>342.72727270000001</v>
      </c>
    </row>
    <row r="335" spans="1:7" ht="15.75" x14ac:dyDescent="0.25">
      <c r="A335" s="33">
        <v>2245</v>
      </c>
      <c r="B335" s="33">
        <v>2214</v>
      </c>
      <c r="C335" s="33" t="s">
        <v>20</v>
      </c>
      <c r="D335" s="33" t="s">
        <v>21</v>
      </c>
      <c r="E335" s="33" t="s">
        <v>15</v>
      </c>
      <c r="F335" s="33">
        <v>42</v>
      </c>
      <c r="G335" s="34">
        <v>373.18181820000001</v>
      </c>
    </row>
    <row r="336" spans="1:7" ht="15.75" x14ac:dyDescent="0.25">
      <c r="A336" s="33">
        <v>2245</v>
      </c>
      <c r="B336" s="33">
        <v>2214</v>
      </c>
      <c r="C336" s="33" t="s">
        <v>20</v>
      </c>
      <c r="D336" s="33" t="s">
        <v>21</v>
      </c>
      <c r="E336" s="33" t="s">
        <v>15</v>
      </c>
      <c r="F336" s="33">
        <v>56</v>
      </c>
      <c r="G336" s="34">
        <v>405.45454549999999</v>
      </c>
    </row>
    <row r="337" spans="1:7" ht="15.75" x14ac:dyDescent="0.25">
      <c r="A337" s="33">
        <v>2245</v>
      </c>
      <c r="B337" s="33">
        <v>2214</v>
      </c>
      <c r="C337" s="33" t="s">
        <v>20</v>
      </c>
      <c r="D337" s="33" t="s">
        <v>21</v>
      </c>
      <c r="E337" s="33" t="s">
        <v>15</v>
      </c>
      <c r="F337" s="33">
        <v>70</v>
      </c>
      <c r="G337" s="35">
        <v>395</v>
      </c>
    </row>
    <row r="338" spans="1:7" ht="15.75" x14ac:dyDescent="0.25">
      <c r="A338" s="33">
        <v>2246</v>
      </c>
      <c r="B338" s="33">
        <v>2214</v>
      </c>
      <c r="C338" s="33" t="s">
        <v>20</v>
      </c>
      <c r="D338" s="33" t="s">
        <v>21</v>
      </c>
      <c r="E338" s="33" t="s">
        <v>15</v>
      </c>
      <c r="F338" s="33">
        <v>0</v>
      </c>
      <c r="G338" s="34">
        <v>402.27272729999999</v>
      </c>
    </row>
    <row r="339" spans="1:7" ht="15.75" x14ac:dyDescent="0.25">
      <c r="A339" s="33">
        <v>2246</v>
      </c>
      <c r="B339" s="33">
        <v>2214</v>
      </c>
      <c r="C339" s="33" t="s">
        <v>20</v>
      </c>
      <c r="D339" s="33" t="s">
        <v>21</v>
      </c>
      <c r="E339" s="33" t="s">
        <v>15</v>
      </c>
      <c r="F339" s="33">
        <v>14</v>
      </c>
      <c r="G339" s="34">
        <v>455</v>
      </c>
    </row>
    <row r="340" spans="1:7" ht="15.75" x14ac:dyDescent="0.25">
      <c r="A340" s="33">
        <v>2246</v>
      </c>
      <c r="B340" s="33">
        <v>2214</v>
      </c>
      <c r="C340" s="33" t="s">
        <v>20</v>
      </c>
      <c r="D340" s="33" t="s">
        <v>21</v>
      </c>
      <c r="E340" s="33" t="s">
        <v>15</v>
      </c>
      <c r="F340" s="33">
        <v>28</v>
      </c>
      <c r="G340" s="34">
        <v>471.36363640000002</v>
      </c>
    </row>
    <row r="341" spans="1:7" ht="15.75" x14ac:dyDescent="0.25">
      <c r="A341" s="33">
        <v>2246</v>
      </c>
      <c r="B341" s="33">
        <v>2214</v>
      </c>
      <c r="C341" s="33" t="s">
        <v>20</v>
      </c>
      <c r="D341" s="33" t="s">
        <v>21</v>
      </c>
      <c r="E341" s="33" t="s">
        <v>15</v>
      </c>
      <c r="F341" s="33">
        <v>42</v>
      </c>
      <c r="G341" s="34">
        <v>501.81818179999999</v>
      </c>
    </row>
    <row r="342" spans="1:7" ht="15.75" x14ac:dyDescent="0.25">
      <c r="A342" s="33">
        <v>2246</v>
      </c>
      <c r="B342" s="33">
        <v>2214</v>
      </c>
      <c r="C342" s="33" t="s">
        <v>20</v>
      </c>
      <c r="D342" s="33" t="s">
        <v>21</v>
      </c>
      <c r="E342" s="33" t="s">
        <v>15</v>
      </c>
      <c r="F342" s="33">
        <v>56</v>
      </c>
      <c r="G342" s="34">
        <v>533.63636359999998</v>
      </c>
    </row>
    <row r="343" spans="1:7" ht="15.75" x14ac:dyDescent="0.25">
      <c r="A343" s="33">
        <v>2246</v>
      </c>
      <c r="B343" s="33">
        <v>2214</v>
      </c>
      <c r="C343" s="33" t="s">
        <v>20</v>
      </c>
      <c r="D343" s="33" t="s">
        <v>21</v>
      </c>
      <c r="E343" s="33" t="s">
        <v>15</v>
      </c>
      <c r="F343" s="33">
        <v>70</v>
      </c>
      <c r="G343" s="35">
        <v>546.36363640000002</v>
      </c>
    </row>
    <row r="344" spans="1:7" ht="18.75" x14ac:dyDescent="0.3">
      <c r="A344" s="36">
        <v>2502</v>
      </c>
      <c r="B344" s="33">
        <v>2304</v>
      </c>
      <c r="C344" s="33" t="s">
        <v>20</v>
      </c>
      <c r="D344" s="33" t="s">
        <v>21</v>
      </c>
      <c r="E344" s="33" t="s">
        <v>15</v>
      </c>
      <c r="F344" s="33">
        <v>0</v>
      </c>
      <c r="G344" s="36">
        <v>430.45454549999999</v>
      </c>
    </row>
    <row r="345" spans="1:7" ht="18.75" x14ac:dyDescent="0.3">
      <c r="A345" s="36">
        <v>2502</v>
      </c>
      <c r="B345" s="33">
        <v>2304</v>
      </c>
      <c r="C345" s="33" t="s">
        <v>20</v>
      </c>
      <c r="D345" s="33" t="s">
        <v>21</v>
      </c>
      <c r="E345" s="33" t="s">
        <v>15</v>
      </c>
      <c r="F345" s="33">
        <v>14</v>
      </c>
      <c r="G345" s="36">
        <v>446.81818179999999</v>
      </c>
    </row>
    <row r="346" spans="1:7" ht="18.75" x14ac:dyDescent="0.3">
      <c r="A346" s="36">
        <v>2502</v>
      </c>
      <c r="B346" s="33">
        <v>2304</v>
      </c>
      <c r="C346" s="33" t="s">
        <v>20</v>
      </c>
      <c r="D346" s="33" t="s">
        <v>21</v>
      </c>
      <c r="E346" s="33" t="s">
        <v>15</v>
      </c>
      <c r="F346" s="33">
        <v>28</v>
      </c>
      <c r="G346" s="36">
        <v>465.45454549999999</v>
      </c>
    </row>
    <row r="347" spans="1:7" ht="18.75" x14ac:dyDescent="0.3">
      <c r="A347" s="36">
        <v>2502</v>
      </c>
      <c r="B347" s="33">
        <v>2304</v>
      </c>
      <c r="C347" s="33" t="s">
        <v>20</v>
      </c>
      <c r="D347" s="33" t="s">
        <v>21</v>
      </c>
      <c r="E347" s="33" t="s">
        <v>15</v>
      </c>
      <c r="F347" s="33">
        <v>42</v>
      </c>
      <c r="G347" s="36">
        <v>492.72727270000001</v>
      </c>
    </row>
    <row r="348" spans="1:7" ht="18.75" x14ac:dyDescent="0.3">
      <c r="A348" s="36">
        <v>2502</v>
      </c>
      <c r="B348" s="33">
        <v>2304</v>
      </c>
      <c r="C348" s="33" t="s">
        <v>20</v>
      </c>
      <c r="D348" s="33" t="s">
        <v>21</v>
      </c>
      <c r="E348" s="33" t="s">
        <v>15</v>
      </c>
      <c r="F348" s="33">
        <v>56</v>
      </c>
      <c r="G348" s="36">
        <v>522.72727269999996</v>
      </c>
    </row>
    <row r="349" spans="1:7" ht="18.75" x14ac:dyDescent="0.3">
      <c r="A349" s="36">
        <v>2502</v>
      </c>
      <c r="B349" s="33">
        <v>2304</v>
      </c>
      <c r="C349" s="33" t="s">
        <v>20</v>
      </c>
      <c r="D349" s="33" t="s">
        <v>21</v>
      </c>
      <c r="E349" s="33" t="s">
        <v>15</v>
      </c>
      <c r="F349" s="33">
        <v>70</v>
      </c>
      <c r="G349" s="36">
        <v>562.27272730000004</v>
      </c>
    </row>
    <row r="350" spans="1:7" ht="18.75" x14ac:dyDescent="0.3">
      <c r="A350" s="36">
        <v>2505</v>
      </c>
      <c r="B350" s="33">
        <v>2304</v>
      </c>
      <c r="C350" s="33" t="s">
        <v>14</v>
      </c>
      <c r="D350" s="33" t="s">
        <v>15</v>
      </c>
      <c r="E350" s="33" t="s">
        <v>15</v>
      </c>
      <c r="F350" s="33">
        <v>0</v>
      </c>
      <c r="G350" s="36">
        <v>412.27272729999999</v>
      </c>
    </row>
    <row r="351" spans="1:7" ht="18.75" x14ac:dyDescent="0.3">
      <c r="A351" s="36">
        <v>2505</v>
      </c>
      <c r="B351" s="33">
        <v>2304</v>
      </c>
      <c r="C351" s="33" t="s">
        <v>14</v>
      </c>
      <c r="D351" s="33" t="s">
        <v>15</v>
      </c>
      <c r="E351" s="33" t="s">
        <v>15</v>
      </c>
      <c r="F351" s="33">
        <v>14</v>
      </c>
      <c r="G351" s="36">
        <v>433.18181820000001</v>
      </c>
    </row>
    <row r="352" spans="1:7" ht="18.75" x14ac:dyDescent="0.3">
      <c r="A352" s="36">
        <v>2505</v>
      </c>
      <c r="B352" s="33">
        <v>2304</v>
      </c>
      <c r="C352" s="33" t="s">
        <v>14</v>
      </c>
      <c r="D352" s="33" t="s">
        <v>15</v>
      </c>
      <c r="E352" s="33" t="s">
        <v>15</v>
      </c>
      <c r="F352" s="33">
        <v>28</v>
      </c>
      <c r="G352" s="36">
        <v>457.27272729999999</v>
      </c>
    </row>
    <row r="353" spans="1:7" ht="18.75" x14ac:dyDescent="0.3">
      <c r="A353" s="36">
        <v>2505</v>
      </c>
      <c r="B353" s="33">
        <v>2304</v>
      </c>
      <c r="C353" s="33" t="s">
        <v>14</v>
      </c>
      <c r="D353" s="33" t="s">
        <v>15</v>
      </c>
      <c r="E353" s="33" t="s">
        <v>15</v>
      </c>
      <c r="F353" s="33">
        <v>42</v>
      </c>
      <c r="G353" s="36">
        <v>474.09090909999998</v>
      </c>
    </row>
    <row r="354" spans="1:7" ht="18.75" x14ac:dyDescent="0.3">
      <c r="A354" s="36">
        <v>2505</v>
      </c>
      <c r="B354" s="33">
        <v>2304</v>
      </c>
      <c r="C354" s="33" t="s">
        <v>14</v>
      </c>
      <c r="D354" s="33" t="s">
        <v>15</v>
      </c>
      <c r="E354" s="33" t="s">
        <v>15</v>
      </c>
      <c r="F354" s="33">
        <v>56</v>
      </c>
      <c r="G354" s="36">
        <v>494.54545450000001</v>
      </c>
    </row>
    <row r="355" spans="1:7" ht="18.75" x14ac:dyDescent="0.3">
      <c r="A355" s="36">
        <v>2505</v>
      </c>
      <c r="B355" s="33">
        <v>2304</v>
      </c>
      <c r="C355" s="33" t="s">
        <v>14</v>
      </c>
      <c r="D355" s="33" t="s">
        <v>15</v>
      </c>
      <c r="E355" s="33" t="s">
        <v>15</v>
      </c>
      <c r="F355" s="33">
        <v>70</v>
      </c>
      <c r="G355" s="36">
        <v>516.36363640000002</v>
      </c>
    </row>
    <row r="356" spans="1:7" ht="18.75" x14ac:dyDescent="0.3">
      <c r="A356" s="36">
        <v>2510</v>
      </c>
      <c r="B356" s="33">
        <v>2304</v>
      </c>
      <c r="C356" s="33" t="s">
        <v>14</v>
      </c>
      <c r="D356" s="33" t="s">
        <v>15</v>
      </c>
      <c r="E356" s="33" t="s">
        <v>15</v>
      </c>
      <c r="F356" s="33">
        <v>0</v>
      </c>
      <c r="G356" s="36">
        <v>419.09090909999998</v>
      </c>
    </row>
    <row r="357" spans="1:7" ht="18.75" x14ac:dyDescent="0.3">
      <c r="A357" s="36">
        <v>2510</v>
      </c>
      <c r="B357" s="33">
        <v>2304</v>
      </c>
      <c r="C357" s="33" t="s">
        <v>14</v>
      </c>
      <c r="D357" s="33" t="s">
        <v>15</v>
      </c>
      <c r="E357" s="33" t="s">
        <v>15</v>
      </c>
      <c r="F357" s="33">
        <v>14</v>
      </c>
      <c r="G357" s="36">
        <v>457.27272729999999</v>
      </c>
    </row>
    <row r="358" spans="1:7" ht="18.75" x14ac:dyDescent="0.3">
      <c r="A358" s="36">
        <v>2510</v>
      </c>
      <c r="B358" s="33">
        <v>2304</v>
      </c>
      <c r="C358" s="33" t="s">
        <v>14</v>
      </c>
      <c r="D358" s="33" t="s">
        <v>15</v>
      </c>
      <c r="E358" s="33" t="s">
        <v>15</v>
      </c>
      <c r="F358" s="33">
        <v>28</v>
      </c>
      <c r="G358" s="36">
        <v>468.18181820000001</v>
      </c>
    </row>
    <row r="359" spans="1:7" ht="18.75" x14ac:dyDescent="0.3">
      <c r="A359" s="36">
        <v>2510</v>
      </c>
      <c r="B359" s="33">
        <v>2304</v>
      </c>
      <c r="C359" s="33" t="s">
        <v>14</v>
      </c>
      <c r="D359" s="33" t="s">
        <v>15</v>
      </c>
      <c r="E359" s="33" t="s">
        <v>15</v>
      </c>
      <c r="F359" s="33">
        <v>42</v>
      </c>
      <c r="G359" s="36">
        <v>459.54545450000001</v>
      </c>
    </row>
    <row r="360" spans="1:7" ht="18.75" x14ac:dyDescent="0.3">
      <c r="A360" s="36">
        <v>2510</v>
      </c>
      <c r="B360" s="33">
        <v>2304</v>
      </c>
      <c r="C360" s="33" t="s">
        <v>14</v>
      </c>
      <c r="D360" s="33" t="s">
        <v>15</v>
      </c>
      <c r="E360" s="33" t="s">
        <v>15</v>
      </c>
      <c r="F360" s="33">
        <v>56</v>
      </c>
      <c r="G360" s="36">
        <v>478.18181820000001</v>
      </c>
    </row>
    <row r="361" spans="1:7" ht="18.75" x14ac:dyDescent="0.3">
      <c r="A361" s="36">
        <v>2510</v>
      </c>
      <c r="B361" s="33">
        <v>2304</v>
      </c>
      <c r="C361" s="33" t="s">
        <v>14</v>
      </c>
      <c r="D361" s="33" t="s">
        <v>15</v>
      </c>
      <c r="E361" s="33" t="s">
        <v>15</v>
      </c>
      <c r="F361" s="33">
        <v>70</v>
      </c>
      <c r="G361" s="36">
        <v>500.90909090000002</v>
      </c>
    </row>
    <row r="362" spans="1:7" ht="18.75" x14ac:dyDescent="0.3">
      <c r="A362" s="36">
        <v>2512</v>
      </c>
      <c r="B362" s="33">
        <v>2304</v>
      </c>
      <c r="C362" s="33" t="s">
        <v>20</v>
      </c>
      <c r="D362" s="33" t="s">
        <v>21</v>
      </c>
      <c r="E362" s="33" t="s">
        <v>15</v>
      </c>
      <c r="F362" s="33">
        <v>0</v>
      </c>
      <c r="G362" s="36">
        <v>416.36363640000002</v>
      </c>
    </row>
    <row r="363" spans="1:7" ht="18.75" x14ac:dyDescent="0.3">
      <c r="A363" s="36">
        <v>2512</v>
      </c>
      <c r="B363" s="33">
        <v>2304</v>
      </c>
      <c r="C363" s="33" t="s">
        <v>20</v>
      </c>
      <c r="D363" s="33" t="s">
        <v>21</v>
      </c>
      <c r="E363" s="33" t="s">
        <v>15</v>
      </c>
      <c r="F363" s="33">
        <v>14</v>
      </c>
      <c r="G363" s="36">
        <v>443.18181820000001</v>
      </c>
    </row>
    <row r="364" spans="1:7" ht="18.75" x14ac:dyDescent="0.3">
      <c r="A364" s="36">
        <v>2512</v>
      </c>
      <c r="B364" s="33">
        <v>2304</v>
      </c>
      <c r="C364" s="33" t="s">
        <v>20</v>
      </c>
      <c r="D364" s="33" t="s">
        <v>21</v>
      </c>
      <c r="E364" s="33" t="s">
        <v>15</v>
      </c>
      <c r="F364" s="33">
        <v>28</v>
      </c>
      <c r="G364" s="36">
        <v>468.18181820000001</v>
      </c>
    </row>
    <row r="365" spans="1:7" ht="18.75" x14ac:dyDescent="0.3">
      <c r="A365" s="36">
        <v>2512</v>
      </c>
      <c r="B365" s="33">
        <v>2304</v>
      </c>
      <c r="C365" s="33" t="s">
        <v>20</v>
      </c>
      <c r="D365" s="33" t="s">
        <v>21</v>
      </c>
      <c r="E365" s="33" t="s">
        <v>15</v>
      </c>
      <c r="F365" s="33">
        <v>42</v>
      </c>
      <c r="G365" s="36">
        <v>481.36363640000002</v>
      </c>
    </row>
    <row r="366" spans="1:7" ht="18.75" x14ac:dyDescent="0.3">
      <c r="A366" s="36">
        <v>2512</v>
      </c>
      <c r="B366" s="33">
        <v>2304</v>
      </c>
      <c r="C366" s="33" t="s">
        <v>20</v>
      </c>
      <c r="D366" s="33" t="s">
        <v>21</v>
      </c>
      <c r="E366" s="33" t="s">
        <v>15</v>
      </c>
      <c r="F366" s="33">
        <v>56</v>
      </c>
      <c r="G366" s="36">
        <v>516.36363640000002</v>
      </c>
    </row>
    <row r="367" spans="1:7" ht="18.75" x14ac:dyDescent="0.3">
      <c r="A367" s="36">
        <v>2512</v>
      </c>
      <c r="B367" s="33">
        <v>2304</v>
      </c>
      <c r="C367" s="33" t="s">
        <v>20</v>
      </c>
      <c r="D367" s="33" t="s">
        <v>21</v>
      </c>
      <c r="E367" s="33" t="s">
        <v>15</v>
      </c>
      <c r="F367" s="33">
        <v>70</v>
      </c>
      <c r="G367" s="36">
        <v>540.45454549999999</v>
      </c>
    </row>
    <row r="368" spans="1:7" ht="18.75" x14ac:dyDescent="0.3">
      <c r="A368" s="36">
        <v>2514</v>
      </c>
      <c r="B368" s="33">
        <v>2304</v>
      </c>
      <c r="C368" s="33" t="s">
        <v>20</v>
      </c>
      <c r="D368" s="33" t="s">
        <v>21</v>
      </c>
      <c r="E368" s="33" t="s">
        <v>15</v>
      </c>
      <c r="F368" s="33">
        <v>0</v>
      </c>
      <c r="G368" s="36">
        <v>362.27272729999999</v>
      </c>
    </row>
    <row r="369" spans="1:7" ht="18.75" x14ac:dyDescent="0.3">
      <c r="A369" s="36">
        <v>2514</v>
      </c>
      <c r="B369" s="33">
        <v>2304</v>
      </c>
      <c r="C369" s="33" t="s">
        <v>20</v>
      </c>
      <c r="D369" s="33" t="s">
        <v>21</v>
      </c>
      <c r="E369" s="33" t="s">
        <v>15</v>
      </c>
      <c r="F369" s="33">
        <v>14</v>
      </c>
      <c r="G369" s="36">
        <v>391.81818179999999</v>
      </c>
    </row>
    <row r="370" spans="1:7" ht="18.75" x14ac:dyDescent="0.3">
      <c r="A370" s="36">
        <v>2514</v>
      </c>
      <c r="B370" s="33">
        <v>2304</v>
      </c>
      <c r="C370" s="33" t="s">
        <v>20</v>
      </c>
      <c r="D370" s="33" t="s">
        <v>21</v>
      </c>
      <c r="E370" s="33" t="s">
        <v>15</v>
      </c>
      <c r="F370" s="33">
        <v>28</v>
      </c>
      <c r="G370" s="36">
        <v>415</v>
      </c>
    </row>
    <row r="371" spans="1:7" ht="18.75" x14ac:dyDescent="0.3">
      <c r="A371" s="36">
        <v>2514</v>
      </c>
      <c r="B371" s="33">
        <v>2304</v>
      </c>
      <c r="C371" s="33" t="s">
        <v>20</v>
      </c>
      <c r="D371" s="33" t="s">
        <v>21</v>
      </c>
      <c r="E371" s="33" t="s">
        <v>15</v>
      </c>
      <c r="F371" s="33">
        <v>42</v>
      </c>
      <c r="G371" s="36">
        <v>424.54545450000001</v>
      </c>
    </row>
    <row r="372" spans="1:7" ht="18.75" x14ac:dyDescent="0.3">
      <c r="A372" s="36">
        <v>2514</v>
      </c>
      <c r="B372" s="33">
        <v>2304</v>
      </c>
      <c r="C372" s="33" t="s">
        <v>20</v>
      </c>
      <c r="D372" s="33" t="s">
        <v>21</v>
      </c>
      <c r="E372" s="33" t="s">
        <v>15</v>
      </c>
      <c r="F372" s="33">
        <v>56</v>
      </c>
      <c r="G372" s="36">
        <v>470</v>
      </c>
    </row>
    <row r="373" spans="1:7" ht="18.75" x14ac:dyDescent="0.3">
      <c r="A373" s="36">
        <v>2514</v>
      </c>
      <c r="B373" s="33">
        <v>2304</v>
      </c>
      <c r="C373" s="33" t="s">
        <v>20</v>
      </c>
      <c r="D373" s="33" t="s">
        <v>21</v>
      </c>
      <c r="E373" s="33" t="s">
        <v>15</v>
      </c>
      <c r="F373" s="33">
        <v>70</v>
      </c>
      <c r="G373" s="36">
        <v>489.09090909999998</v>
      </c>
    </row>
    <row r="374" spans="1:7" ht="18.75" x14ac:dyDescent="0.3">
      <c r="A374" s="36">
        <v>2517</v>
      </c>
      <c r="B374" s="33">
        <v>2304</v>
      </c>
      <c r="C374" s="33" t="s">
        <v>14</v>
      </c>
      <c r="D374" s="33" t="s">
        <v>15</v>
      </c>
      <c r="E374" s="33" t="s">
        <v>15</v>
      </c>
      <c r="F374" s="33">
        <v>0</v>
      </c>
      <c r="G374" s="36">
        <v>500.90909090000002</v>
      </c>
    </row>
    <row r="375" spans="1:7" ht="18.75" x14ac:dyDescent="0.3">
      <c r="A375" s="36">
        <v>2517</v>
      </c>
      <c r="B375" s="33">
        <v>2304</v>
      </c>
      <c r="C375" s="33" t="s">
        <v>14</v>
      </c>
      <c r="D375" s="33" t="s">
        <v>15</v>
      </c>
      <c r="E375" s="33" t="s">
        <v>15</v>
      </c>
      <c r="F375" s="33">
        <v>14</v>
      </c>
      <c r="G375" s="36">
        <v>520.90909090000002</v>
      </c>
    </row>
    <row r="376" spans="1:7" ht="18.75" x14ac:dyDescent="0.3">
      <c r="A376" s="36">
        <v>2517</v>
      </c>
      <c r="B376" s="33">
        <v>2304</v>
      </c>
      <c r="C376" s="33" t="s">
        <v>14</v>
      </c>
      <c r="D376" s="33" t="s">
        <v>15</v>
      </c>
      <c r="E376" s="33" t="s">
        <v>15</v>
      </c>
      <c r="F376" s="33">
        <v>28</v>
      </c>
      <c r="G376" s="36">
        <v>540</v>
      </c>
    </row>
    <row r="377" spans="1:7" ht="18.75" x14ac:dyDescent="0.3">
      <c r="A377" s="36">
        <v>2517</v>
      </c>
      <c r="B377" s="33">
        <v>2304</v>
      </c>
      <c r="C377" s="33" t="s">
        <v>14</v>
      </c>
      <c r="D377" s="33" t="s">
        <v>15</v>
      </c>
      <c r="E377" s="33" t="s">
        <v>15</v>
      </c>
      <c r="F377" s="33">
        <v>42</v>
      </c>
      <c r="G377" s="36">
        <v>532.27272730000004</v>
      </c>
    </row>
    <row r="378" spans="1:7" ht="18.75" x14ac:dyDescent="0.3">
      <c r="A378" s="36">
        <v>2517</v>
      </c>
      <c r="B378" s="33">
        <v>2304</v>
      </c>
      <c r="C378" s="33" t="s">
        <v>14</v>
      </c>
      <c r="D378" s="33" t="s">
        <v>15</v>
      </c>
      <c r="E378" s="33" t="s">
        <v>15</v>
      </c>
      <c r="F378" s="33">
        <v>56</v>
      </c>
      <c r="G378" s="36">
        <v>569.09090909999998</v>
      </c>
    </row>
    <row r="379" spans="1:7" ht="18.75" x14ac:dyDescent="0.3">
      <c r="A379" s="36">
        <v>2517</v>
      </c>
      <c r="B379" s="33">
        <v>2304</v>
      </c>
      <c r="C379" s="33" t="s">
        <v>14</v>
      </c>
      <c r="D379" s="33" t="s">
        <v>15</v>
      </c>
      <c r="E379" s="33" t="s">
        <v>15</v>
      </c>
      <c r="F379" s="33">
        <v>70</v>
      </c>
      <c r="G379" s="36">
        <v>588.63636359999998</v>
      </c>
    </row>
    <row r="380" spans="1:7" ht="18.75" x14ac:dyDescent="0.3">
      <c r="A380" s="36">
        <v>2520</v>
      </c>
      <c r="B380" s="33">
        <v>2304</v>
      </c>
      <c r="C380" s="33" t="s">
        <v>20</v>
      </c>
      <c r="D380" s="33" t="s">
        <v>21</v>
      </c>
      <c r="E380" s="33" t="s">
        <v>15</v>
      </c>
      <c r="F380" s="33">
        <v>0</v>
      </c>
      <c r="G380" s="36">
        <v>416.81818179999999</v>
      </c>
    </row>
    <row r="381" spans="1:7" ht="18.75" x14ac:dyDescent="0.3">
      <c r="A381" s="36">
        <v>2520</v>
      </c>
      <c r="B381" s="33">
        <v>2304</v>
      </c>
      <c r="C381" s="33" t="s">
        <v>20</v>
      </c>
      <c r="D381" s="33" t="s">
        <v>21</v>
      </c>
      <c r="E381" s="33" t="s">
        <v>15</v>
      </c>
      <c r="F381" s="33">
        <v>14</v>
      </c>
      <c r="G381" s="36">
        <v>448.63636359999998</v>
      </c>
    </row>
    <row r="382" spans="1:7" ht="18.75" x14ac:dyDescent="0.3">
      <c r="A382" s="36">
        <v>2520</v>
      </c>
      <c r="B382" s="33">
        <v>2304</v>
      </c>
      <c r="C382" s="33" t="s">
        <v>20</v>
      </c>
      <c r="D382" s="33" t="s">
        <v>21</v>
      </c>
      <c r="E382" s="33" t="s">
        <v>15</v>
      </c>
      <c r="F382" s="33">
        <v>28</v>
      </c>
      <c r="G382" s="36">
        <v>468.63636359999998</v>
      </c>
    </row>
    <row r="383" spans="1:7" ht="18.75" x14ac:dyDescent="0.3">
      <c r="A383" s="36">
        <v>2520</v>
      </c>
      <c r="B383" s="33">
        <v>2304</v>
      </c>
      <c r="C383" s="33" t="s">
        <v>20</v>
      </c>
      <c r="D383" s="33" t="s">
        <v>21</v>
      </c>
      <c r="E383" s="33" t="s">
        <v>15</v>
      </c>
      <c r="F383" s="33">
        <v>42</v>
      </c>
      <c r="G383" s="36">
        <v>489.54545450000001</v>
      </c>
    </row>
    <row r="384" spans="1:7" ht="18.75" x14ac:dyDescent="0.3">
      <c r="A384" s="36">
        <v>2520</v>
      </c>
      <c r="B384" s="33">
        <v>2304</v>
      </c>
      <c r="C384" s="33" t="s">
        <v>20</v>
      </c>
      <c r="D384" s="33" t="s">
        <v>21</v>
      </c>
      <c r="E384" s="33" t="s">
        <v>15</v>
      </c>
      <c r="F384" s="33">
        <v>56</v>
      </c>
      <c r="G384" s="36">
        <v>534.54545450000001</v>
      </c>
    </row>
    <row r="385" spans="1:7" ht="18.75" x14ac:dyDescent="0.3">
      <c r="A385" s="36">
        <v>2520</v>
      </c>
      <c r="B385" s="33">
        <v>2304</v>
      </c>
      <c r="C385" s="33" t="s">
        <v>20</v>
      </c>
      <c r="D385" s="33" t="s">
        <v>21</v>
      </c>
      <c r="E385" s="33" t="s">
        <v>15</v>
      </c>
      <c r="F385" s="33">
        <v>70</v>
      </c>
      <c r="G385" s="36">
        <v>581.36363640000002</v>
      </c>
    </row>
    <row r="386" spans="1:7" ht="18.75" x14ac:dyDescent="0.3">
      <c r="A386" s="36">
        <v>2523</v>
      </c>
      <c r="B386" s="33">
        <v>2304</v>
      </c>
      <c r="C386" s="33" t="s">
        <v>14</v>
      </c>
      <c r="D386" s="33" t="s">
        <v>15</v>
      </c>
      <c r="E386" s="33" t="s">
        <v>15</v>
      </c>
      <c r="F386" s="33">
        <v>0</v>
      </c>
      <c r="G386" s="36">
        <v>468.18181820000001</v>
      </c>
    </row>
    <row r="387" spans="1:7" ht="18.75" x14ac:dyDescent="0.3">
      <c r="A387" s="36">
        <v>2523</v>
      </c>
      <c r="B387" s="33">
        <v>2304</v>
      </c>
      <c r="C387" s="33" t="s">
        <v>14</v>
      </c>
      <c r="D387" s="33" t="s">
        <v>15</v>
      </c>
      <c r="E387" s="33" t="s">
        <v>15</v>
      </c>
      <c r="F387" s="33">
        <v>14</v>
      </c>
      <c r="G387" s="36">
        <v>490.90909090000002</v>
      </c>
    </row>
    <row r="388" spans="1:7" ht="18.75" x14ac:dyDescent="0.3">
      <c r="A388" s="36">
        <v>2523</v>
      </c>
      <c r="B388" s="33">
        <v>2304</v>
      </c>
      <c r="C388" s="33" t="s">
        <v>14</v>
      </c>
      <c r="D388" s="33" t="s">
        <v>15</v>
      </c>
      <c r="E388" s="33" t="s">
        <v>15</v>
      </c>
      <c r="F388" s="33">
        <v>28</v>
      </c>
      <c r="G388" s="36">
        <v>530</v>
      </c>
    </row>
    <row r="389" spans="1:7" ht="18.75" x14ac:dyDescent="0.3">
      <c r="A389" s="36">
        <v>2523</v>
      </c>
      <c r="B389" s="33">
        <v>2304</v>
      </c>
      <c r="C389" s="33" t="s">
        <v>14</v>
      </c>
      <c r="D389" s="33" t="s">
        <v>15</v>
      </c>
      <c r="E389" s="33" t="s">
        <v>15</v>
      </c>
      <c r="F389" s="33">
        <v>42</v>
      </c>
      <c r="G389" s="36">
        <v>535</v>
      </c>
    </row>
    <row r="390" spans="1:7" ht="18.75" x14ac:dyDescent="0.3">
      <c r="A390" s="36">
        <v>2523</v>
      </c>
      <c r="B390" s="33">
        <v>2304</v>
      </c>
      <c r="C390" s="33" t="s">
        <v>14</v>
      </c>
      <c r="D390" s="33" t="s">
        <v>15</v>
      </c>
      <c r="E390" s="33" t="s">
        <v>15</v>
      </c>
      <c r="F390" s="33">
        <v>56</v>
      </c>
      <c r="G390" s="36">
        <v>555.45454549999999</v>
      </c>
    </row>
    <row r="391" spans="1:7" ht="18.75" x14ac:dyDescent="0.3">
      <c r="A391" s="36">
        <v>2523</v>
      </c>
      <c r="B391" s="33">
        <v>2304</v>
      </c>
      <c r="C391" s="33" t="s">
        <v>14</v>
      </c>
      <c r="D391" s="33" t="s">
        <v>15</v>
      </c>
      <c r="E391" s="33" t="s">
        <v>15</v>
      </c>
      <c r="F391" s="33">
        <v>70</v>
      </c>
      <c r="G391" s="36">
        <v>585</v>
      </c>
    </row>
    <row r="392" spans="1:7" ht="18.75" x14ac:dyDescent="0.3">
      <c r="A392" s="36">
        <v>2526</v>
      </c>
      <c r="B392" s="33">
        <v>2304</v>
      </c>
      <c r="C392" s="33" t="s">
        <v>23</v>
      </c>
      <c r="D392" s="33" t="s">
        <v>21</v>
      </c>
      <c r="E392" s="33" t="s">
        <v>24</v>
      </c>
      <c r="F392" s="33">
        <v>0</v>
      </c>
      <c r="G392" s="36">
        <v>405.90909090000002</v>
      </c>
    </row>
    <row r="393" spans="1:7" ht="18.75" x14ac:dyDescent="0.3">
      <c r="A393" s="36">
        <v>2526</v>
      </c>
      <c r="B393" s="33">
        <v>2304</v>
      </c>
      <c r="C393" s="33" t="s">
        <v>23</v>
      </c>
      <c r="D393" s="33" t="s">
        <v>21</v>
      </c>
      <c r="E393" s="33" t="s">
        <v>24</v>
      </c>
      <c r="F393" s="33">
        <v>14</v>
      </c>
      <c r="G393" s="36">
        <v>470</v>
      </c>
    </row>
    <row r="394" spans="1:7" ht="18.75" x14ac:dyDescent="0.3">
      <c r="A394" s="36">
        <v>2526</v>
      </c>
      <c r="B394" s="33">
        <v>2304</v>
      </c>
      <c r="C394" s="33" t="s">
        <v>23</v>
      </c>
      <c r="D394" s="33" t="s">
        <v>21</v>
      </c>
      <c r="E394" s="33" t="s">
        <v>24</v>
      </c>
      <c r="F394" s="33">
        <v>28</v>
      </c>
      <c r="G394" s="36">
        <v>477.27272729999999</v>
      </c>
    </row>
    <row r="395" spans="1:7" ht="18.75" x14ac:dyDescent="0.3">
      <c r="A395" s="36">
        <v>2526</v>
      </c>
      <c r="B395" s="33">
        <v>2304</v>
      </c>
      <c r="C395" s="33" t="s">
        <v>23</v>
      </c>
      <c r="D395" s="33" t="s">
        <v>21</v>
      </c>
      <c r="E395" s="33" t="s">
        <v>24</v>
      </c>
      <c r="F395" s="33">
        <v>42</v>
      </c>
      <c r="G395" s="36">
        <v>497.72727270000001</v>
      </c>
    </row>
    <row r="396" spans="1:7" ht="18.75" x14ac:dyDescent="0.3">
      <c r="A396" s="36">
        <v>2526</v>
      </c>
      <c r="B396" s="33">
        <v>2304</v>
      </c>
      <c r="C396" s="33" t="s">
        <v>23</v>
      </c>
      <c r="D396" s="33" t="s">
        <v>21</v>
      </c>
      <c r="E396" s="33" t="s">
        <v>24</v>
      </c>
      <c r="F396" s="33">
        <v>56</v>
      </c>
      <c r="G396" s="36">
        <v>512.27272730000004</v>
      </c>
    </row>
    <row r="397" spans="1:7" ht="18.75" x14ac:dyDescent="0.3">
      <c r="A397" s="36">
        <v>2526</v>
      </c>
      <c r="B397" s="33">
        <v>2304</v>
      </c>
      <c r="C397" s="33" t="s">
        <v>23</v>
      </c>
      <c r="D397" s="33" t="s">
        <v>21</v>
      </c>
      <c r="E397" s="33" t="s">
        <v>24</v>
      </c>
      <c r="F397" s="33">
        <v>70</v>
      </c>
      <c r="G397" s="36">
        <v>547.72727269999996</v>
      </c>
    </row>
    <row r="398" spans="1:7" ht="18.75" x14ac:dyDescent="0.3">
      <c r="A398" s="36">
        <v>2534</v>
      </c>
      <c r="B398" s="33">
        <v>2304</v>
      </c>
      <c r="C398" s="33" t="s">
        <v>14</v>
      </c>
      <c r="D398" s="33" t="s">
        <v>15</v>
      </c>
      <c r="E398" s="33" t="s">
        <v>15</v>
      </c>
      <c r="F398" s="33">
        <v>0</v>
      </c>
      <c r="G398" s="36">
        <v>441.36363640000002</v>
      </c>
    </row>
    <row r="399" spans="1:7" ht="18.75" x14ac:dyDescent="0.3">
      <c r="A399" s="36">
        <v>2534</v>
      </c>
      <c r="B399" s="33">
        <v>2304</v>
      </c>
      <c r="C399" s="33" t="s">
        <v>14</v>
      </c>
      <c r="D399" s="33" t="s">
        <v>15</v>
      </c>
      <c r="E399" s="33" t="s">
        <v>15</v>
      </c>
      <c r="F399" s="33">
        <v>14</v>
      </c>
      <c r="G399" s="36">
        <v>461.81818179999999</v>
      </c>
    </row>
    <row r="400" spans="1:7" ht="18.75" x14ac:dyDescent="0.3">
      <c r="A400" s="36">
        <v>2534</v>
      </c>
      <c r="B400" s="33">
        <v>2304</v>
      </c>
      <c r="C400" s="33" t="s">
        <v>14</v>
      </c>
      <c r="D400" s="33" t="s">
        <v>15</v>
      </c>
      <c r="E400" s="33" t="s">
        <v>15</v>
      </c>
      <c r="F400" s="33">
        <v>28</v>
      </c>
      <c r="G400" s="36">
        <v>480.90909090000002</v>
      </c>
    </row>
    <row r="401" spans="1:7" ht="18.75" x14ac:dyDescent="0.3">
      <c r="A401" s="36">
        <v>2534</v>
      </c>
      <c r="B401" s="33">
        <v>2304</v>
      </c>
      <c r="C401" s="33" t="s">
        <v>14</v>
      </c>
      <c r="D401" s="33" t="s">
        <v>15</v>
      </c>
      <c r="E401" s="33" t="s">
        <v>15</v>
      </c>
      <c r="F401" s="33">
        <v>42</v>
      </c>
      <c r="G401" s="36">
        <v>499.09090909999998</v>
      </c>
    </row>
    <row r="402" spans="1:7" ht="18.75" x14ac:dyDescent="0.3">
      <c r="A402" s="36">
        <v>2534</v>
      </c>
      <c r="B402" s="33">
        <v>2304</v>
      </c>
      <c r="C402" s="33" t="s">
        <v>14</v>
      </c>
      <c r="D402" s="33" t="s">
        <v>15</v>
      </c>
      <c r="E402" s="33" t="s">
        <v>15</v>
      </c>
      <c r="F402" s="33">
        <v>56</v>
      </c>
      <c r="G402" s="36">
        <v>520.90909090000002</v>
      </c>
    </row>
    <row r="403" spans="1:7" ht="18.75" x14ac:dyDescent="0.3">
      <c r="A403" s="36">
        <v>2534</v>
      </c>
      <c r="B403" s="33">
        <v>2304</v>
      </c>
      <c r="C403" s="33" t="s">
        <v>14</v>
      </c>
      <c r="D403" s="33" t="s">
        <v>15</v>
      </c>
      <c r="E403" s="33" t="s">
        <v>15</v>
      </c>
      <c r="F403" s="33">
        <v>70</v>
      </c>
      <c r="G403" s="36">
        <v>565</v>
      </c>
    </row>
    <row r="404" spans="1:7" ht="18.75" x14ac:dyDescent="0.3">
      <c r="A404" s="36">
        <v>2537</v>
      </c>
      <c r="B404" s="33">
        <v>2304</v>
      </c>
      <c r="C404" s="33" t="s">
        <v>23</v>
      </c>
      <c r="D404" s="33" t="s">
        <v>21</v>
      </c>
      <c r="E404" s="33" t="s">
        <v>24</v>
      </c>
      <c r="F404" s="33">
        <v>0</v>
      </c>
      <c r="G404" s="36">
        <v>373.63636359999998</v>
      </c>
    </row>
    <row r="405" spans="1:7" ht="18.75" x14ac:dyDescent="0.3">
      <c r="A405" s="36">
        <v>2537</v>
      </c>
      <c r="B405" s="33">
        <v>2304</v>
      </c>
      <c r="C405" s="33" t="s">
        <v>23</v>
      </c>
      <c r="D405" s="33" t="s">
        <v>21</v>
      </c>
      <c r="E405" s="33" t="s">
        <v>24</v>
      </c>
      <c r="F405" s="33">
        <v>14</v>
      </c>
      <c r="G405" s="36">
        <v>406.81818179999999</v>
      </c>
    </row>
    <row r="406" spans="1:7" ht="18.75" x14ac:dyDescent="0.3">
      <c r="A406" s="36">
        <v>2537</v>
      </c>
      <c r="B406" s="33">
        <v>2304</v>
      </c>
      <c r="C406" s="33" t="s">
        <v>23</v>
      </c>
      <c r="D406" s="33" t="s">
        <v>21</v>
      </c>
      <c r="E406" s="33" t="s">
        <v>24</v>
      </c>
      <c r="F406" s="33">
        <v>28</v>
      </c>
      <c r="G406" s="36">
        <v>411.36363640000002</v>
      </c>
    </row>
    <row r="407" spans="1:7" ht="18.75" x14ac:dyDescent="0.3">
      <c r="A407" s="36">
        <v>2537</v>
      </c>
      <c r="B407" s="33">
        <v>2304</v>
      </c>
      <c r="C407" s="33" t="s">
        <v>23</v>
      </c>
      <c r="D407" s="33" t="s">
        <v>21</v>
      </c>
      <c r="E407" s="33" t="s">
        <v>24</v>
      </c>
      <c r="F407" s="33">
        <v>42</v>
      </c>
      <c r="G407" s="36">
        <v>421.36363640000002</v>
      </c>
    </row>
    <row r="408" spans="1:7" ht="18.75" x14ac:dyDescent="0.3">
      <c r="A408" s="36">
        <v>2537</v>
      </c>
      <c r="B408" s="33">
        <v>2304</v>
      </c>
      <c r="C408" s="33" t="s">
        <v>23</v>
      </c>
      <c r="D408" s="33" t="s">
        <v>21</v>
      </c>
      <c r="E408" s="33" t="s">
        <v>24</v>
      </c>
      <c r="F408" s="33">
        <v>56</v>
      </c>
      <c r="G408" s="36">
        <v>435</v>
      </c>
    </row>
    <row r="409" spans="1:7" ht="18.75" x14ac:dyDescent="0.3">
      <c r="A409" s="36">
        <v>2537</v>
      </c>
      <c r="B409" s="33">
        <v>2304</v>
      </c>
      <c r="C409" s="33" t="s">
        <v>23</v>
      </c>
      <c r="D409" s="33" t="s">
        <v>21</v>
      </c>
      <c r="E409" s="33" t="s">
        <v>24</v>
      </c>
      <c r="F409" s="33">
        <v>70</v>
      </c>
      <c r="G409" s="36">
        <v>455.90909090000002</v>
      </c>
    </row>
    <row r="410" spans="1:7" ht="18.75" x14ac:dyDescent="0.3">
      <c r="A410" s="36">
        <v>2548</v>
      </c>
      <c r="B410" s="33">
        <v>2304</v>
      </c>
      <c r="C410" s="33" t="s">
        <v>14</v>
      </c>
      <c r="D410" s="33" t="s">
        <v>15</v>
      </c>
      <c r="E410" s="33" t="s">
        <v>15</v>
      </c>
      <c r="F410" s="33">
        <v>0</v>
      </c>
      <c r="G410" s="36">
        <v>470.90909090000002</v>
      </c>
    </row>
    <row r="411" spans="1:7" ht="18.75" x14ac:dyDescent="0.3">
      <c r="A411" s="36">
        <v>2548</v>
      </c>
      <c r="B411" s="33">
        <v>2304</v>
      </c>
      <c r="C411" s="33" t="s">
        <v>14</v>
      </c>
      <c r="D411" s="33" t="s">
        <v>15</v>
      </c>
      <c r="E411" s="33" t="s">
        <v>15</v>
      </c>
      <c r="F411" s="33">
        <v>14</v>
      </c>
      <c r="G411" s="36">
        <v>492.27272729999999</v>
      </c>
    </row>
    <row r="412" spans="1:7" ht="18.75" x14ac:dyDescent="0.3">
      <c r="A412" s="36">
        <v>2548</v>
      </c>
      <c r="B412" s="33">
        <v>2304</v>
      </c>
      <c r="C412" s="33" t="s">
        <v>14</v>
      </c>
      <c r="D412" s="33" t="s">
        <v>15</v>
      </c>
      <c r="E412" s="33" t="s">
        <v>15</v>
      </c>
      <c r="F412" s="33">
        <v>28</v>
      </c>
      <c r="G412" s="36">
        <v>522.72727269999996</v>
      </c>
    </row>
    <row r="413" spans="1:7" ht="18.75" x14ac:dyDescent="0.3">
      <c r="A413" s="36">
        <v>2548</v>
      </c>
      <c r="B413" s="33">
        <v>2304</v>
      </c>
      <c r="C413" s="33" t="s">
        <v>14</v>
      </c>
      <c r="D413" s="33" t="s">
        <v>15</v>
      </c>
      <c r="E413" s="33" t="s">
        <v>15</v>
      </c>
      <c r="F413" s="33">
        <v>42</v>
      </c>
      <c r="G413" s="36">
        <v>528.63636359999998</v>
      </c>
    </row>
    <row r="414" spans="1:7" ht="18.75" x14ac:dyDescent="0.3">
      <c r="A414" s="36">
        <v>2548</v>
      </c>
      <c r="B414" s="33">
        <v>2304</v>
      </c>
      <c r="C414" s="33" t="s">
        <v>14</v>
      </c>
      <c r="D414" s="33" t="s">
        <v>15</v>
      </c>
      <c r="E414" s="33" t="s">
        <v>15</v>
      </c>
      <c r="F414" s="33">
        <v>56</v>
      </c>
      <c r="G414" s="36">
        <v>557.27272730000004</v>
      </c>
    </row>
    <row r="415" spans="1:7" ht="18.75" x14ac:dyDescent="0.3">
      <c r="A415" s="36">
        <v>2548</v>
      </c>
      <c r="B415" s="33">
        <v>2304</v>
      </c>
      <c r="C415" s="33" t="s">
        <v>14</v>
      </c>
      <c r="D415" s="33" t="s">
        <v>15</v>
      </c>
      <c r="E415" s="33" t="s">
        <v>15</v>
      </c>
      <c r="F415" s="33">
        <v>70</v>
      </c>
      <c r="G415" s="36">
        <v>565.90909090000002</v>
      </c>
    </row>
    <row r="416" spans="1:7" ht="18.75" x14ac:dyDescent="0.3">
      <c r="A416" s="36">
        <v>2553</v>
      </c>
      <c r="B416" s="33">
        <v>2304</v>
      </c>
      <c r="C416" s="33" t="s">
        <v>20</v>
      </c>
      <c r="D416" s="33" t="s">
        <v>21</v>
      </c>
      <c r="E416" s="33" t="s">
        <v>15</v>
      </c>
      <c r="F416" s="33">
        <v>0</v>
      </c>
      <c r="G416" s="36">
        <v>405</v>
      </c>
    </row>
    <row r="417" spans="1:7" ht="18.75" x14ac:dyDescent="0.3">
      <c r="A417" s="36">
        <v>2553</v>
      </c>
      <c r="B417" s="33">
        <v>2304</v>
      </c>
      <c r="C417" s="33" t="s">
        <v>20</v>
      </c>
      <c r="D417" s="33" t="s">
        <v>21</v>
      </c>
      <c r="E417" s="33" t="s">
        <v>15</v>
      </c>
      <c r="F417" s="33">
        <v>14</v>
      </c>
      <c r="G417" s="36">
        <v>432.27272729999999</v>
      </c>
    </row>
    <row r="418" spans="1:7" ht="18.75" x14ac:dyDescent="0.3">
      <c r="A418" s="36">
        <v>2553</v>
      </c>
      <c r="B418" s="33">
        <v>2304</v>
      </c>
      <c r="C418" s="33" t="s">
        <v>20</v>
      </c>
      <c r="D418" s="33" t="s">
        <v>21</v>
      </c>
      <c r="E418" s="33" t="s">
        <v>15</v>
      </c>
      <c r="F418" s="33">
        <v>28</v>
      </c>
      <c r="G418" s="36">
        <v>448.63636359999998</v>
      </c>
    </row>
    <row r="419" spans="1:7" ht="18.75" x14ac:dyDescent="0.3">
      <c r="A419" s="36">
        <v>2553</v>
      </c>
      <c r="B419" s="33">
        <v>2304</v>
      </c>
      <c r="C419" s="33" t="s">
        <v>20</v>
      </c>
      <c r="D419" s="33" t="s">
        <v>21</v>
      </c>
      <c r="E419" s="33" t="s">
        <v>15</v>
      </c>
      <c r="F419" s="33">
        <v>42</v>
      </c>
      <c r="G419" s="36">
        <v>458.18181820000001</v>
      </c>
    </row>
    <row r="420" spans="1:7" ht="18.75" x14ac:dyDescent="0.3">
      <c r="A420" s="36">
        <v>2553</v>
      </c>
      <c r="B420" s="33">
        <v>2304</v>
      </c>
      <c r="C420" s="33" t="s">
        <v>20</v>
      </c>
      <c r="D420" s="33" t="s">
        <v>21</v>
      </c>
      <c r="E420" s="33" t="s">
        <v>15</v>
      </c>
      <c r="F420" s="33">
        <v>56</v>
      </c>
      <c r="G420" s="36">
        <v>500.90909090000002</v>
      </c>
    </row>
    <row r="421" spans="1:7" ht="18.75" x14ac:dyDescent="0.3">
      <c r="A421" s="36">
        <v>2553</v>
      </c>
      <c r="B421" s="33">
        <v>2304</v>
      </c>
      <c r="C421" s="33" t="s">
        <v>20</v>
      </c>
      <c r="D421" s="33" t="s">
        <v>21</v>
      </c>
      <c r="E421" s="33" t="s">
        <v>15</v>
      </c>
      <c r="F421" s="33">
        <v>70</v>
      </c>
      <c r="G421" s="36">
        <v>511.81818179999999</v>
      </c>
    </row>
    <row r="422" spans="1:7" ht="18.75" x14ac:dyDescent="0.3">
      <c r="A422" s="36">
        <v>2554</v>
      </c>
      <c r="B422" s="33">
        <v>2304</v>
      </c>
      <c r="C422" s="33" t="s">
        <v>23</v>
      </c>
      <c r="D422" s="33" t="s">
        <v>21</v>
      </c>
      <c r="E422" s="33" t="s">
        <v>24</v>
      </c>
      <c r="F422" s="33">
        <v>0</v>
      </c>
      <c r="G422" s="36">
        <v>435.90909090000002</v>
      </c>
    </row>
    <row r="423" spans="1:7" ht="18.75" x14ac:dyDescent="0.3">
      <c r="A423" s="36">
        <v>2554</v>
      </c>
      <c r="B423" s="33">
        <v>2304</v>
      </c>
      <c r="C423" s="33" t="s">
        <v>23</v>
      </c>
      <c r="D423" s="33" t="s">
        <v>21</v>
      </c>
      <c r="E423" s="33" t="s">
        <v>24</v>
      </c>
      <c r="F423" s="33">
        <v>14</v>
      </c>
      <c r="G423" s="36">
        <v>470.45454549999999</v>
      </c>
    </row>
    <row r="424" spans="1:7" ht="18.75" x14ac:dyDescent="0.3">
      <c r="A424" s="36">
        <v>2554</v>
      </c>
      <c r="B424" s="33">
        <v>2304</v>
      </c>
      <c r="C424" s="33" t="s">
        <v>23</v>
      </c>
      <c r="D424" s="33" t="s">
        <v>21</v>
      </c>
      <c r="E424" s="33" t="s">
        <v>24</v>
      </c>
      <c r="F424" s="33">
        <v>28</v>
      </c>
      <c r="G424" s="36">
        <v>490</v>
      </c>
    </row>
    <row r="425" spans="1:7" ht="18.75" x14ac:dyDescent="0.3">
      <c r="A425" s="36">
        <v>2554</v>
      </c>
      <c r="B425" s="33">
        <v>2304</v>
      </c>
      <c r="C425" s="33" t="s">
        <v>23</v>
      </c>
      <c r="D425" s="33" t="s">
        <v>21</v>
      </c>
      <c r="E425" s="33" t="s">
        <v>24</v>
      </c>
      <c r="F425" s="33">
        <v>42</v>
      </c>
      <c r="G425" s="36">
        <v>510</v>
      </c>
    </row>
    <row r="426" spans="1:7" ht="18.75" x14ac:dyDescent="0.3">
      <c r="A426" s="36">
        <v>2554</v>
      </c>
      <c r="B426" s="33">
        <v>2304</v>
      </c>
      <c r="C426" s="33" t="s">
        <v>23</v>
      </c>
      <c r="D426" s="33" t="s">
        <v>21</v>
      </c>
      <c r="E426" s="33" t="s">
        <v>24</v>
      </c>
      <c r="F426" s="33">
        <v>56</v>
      </c>
      <c r="G426" s="36">
        <v>545</v>
      </c>
    </row>
    <row r="427" spans="1:7" ht="18.75" x14ac:dyDescent="0.3">
      <c r="A427" s="36">
        <v>2554</v>
      </c>
      <c r="B427" s="33">
        <v>2304</v>
      </c>
      <c r="C427" s="33" t="s">
        <v>23</v>
      </c>
      <c r="D427" s="33" t="s">
        <v>21</v>
      </c>
      <c r="E427" s="33" t="s">
        <v>24</v>
      </c>
      <c r="F427" s="33">
        <v>70</v>
      </c>
      <c r="G427" s="36">
        <v>546.36363640000002</v>
      </c>
    </row>
    <row r="428" spans="1:7" ht="18.75" x14ac:dyDescent="0.3">
      <c r="A428" s="36">
        <v>2555</v>
      </c>
      <c r="B428" s="33">
        <v>2304</v>
      </c>
      <c r="C428" s="33" t="s">
        <v>27</v>
      </c>
      <c r="D428" s="33" t="s">
        <v>15</v>
      </c>
      <c r="E428" s="33" t="s">
        <v>24</v>
      </c>
      <c r="F428" s="33">
        <v>0</v>
      </c>
      <c r="G428" s="36">
        <v>409.09090909999998</v>
      </c>
    </row>
    <row r="429" spans="1:7" ht="18.75" x14ac:dyDescent="0.3">
      <c r="A429" s="36">
        <v>2555</v>
      </c>
      <c r="B429" s="33">
        <v>2304</v>
      </c>
      <c r="C429" s="33" t="s">
        <v>27</v>
      </c>
      <c r="D429" s="33" t="s">
        <v>15</v>
      </c>
      <c r="E429" s="33" t="s">
        <v>24</v>
      </c>
      <c r="F429" s="33">
        <v>14</v>
      </c>
      <c r="G429" s="36">
        <v>450</v>
      </c>
    </row>
    <row r="430" spans="1:7" ht="18.75" x14ac:dyDescent="0.3">
      <c r="A430" s="36">
        <v>2555</v>
      </c>
      <c r="B430" s="33">
        <v>2304</v>
      </c>
      <c r="C430" s="33" t="s">
        <v>27</v>
      </c>
      <c r="D430" s="33" t="s">
        <v>15</v>
      </c>
      <c r="E430" s="33" t="s">
        <v>24</v>
      </c>
      <c r="F430" s="33">
        <v>28</v>
      </c>
      <c r="G430" s="36">
        <v>474.54545450000001</v>
      </c>
    </row>
    <row r="431" spans="1:7" ht="18.75" x14ac:dyDescent="0.3">
      <c r="A431" s="36">
        <v>2555</v>
      </c>
      <c r="B431" s="33">
        <v>2304</v>
      </c>
      <c r="C431" s="33" t="s">
        <v>27</v>
      </c>
      <c r="D431" s="33" t="s">
        <v>15</v>
      </c>
      <c r="E431" s="33" t="s">
        <v>24</v>
      </c>
      <c r="F431" s="33">
        <v>42</v>
      </c>
      <c r="G431" s="36">
        <v>478.18181820000001</v>
      </c>
    </row>
    <row r="432" spans="1:7" ht="18.75" x14ac:dyDescent="0.3">
      <c r="A432" s="36">
        <v>2555</v>
      </c>
      <c r="B432" s="33">
        <v>2304</v>
      </c>
      <c r="C432" s="33" t="s">
        <v>27</v>
      </c>
      <c r="D432" s="33" t="s">
        <v>15</v>
      </c>
      <c r="E432" s="33" t="s">
        <v>24</v>
      </c>
      <c r="F432" s="33">
        <v>56</v>
      </c>
      <c r="G432" s="36">
        <v>504.54545450000001</v>
      </c>
    </row>
    <row r="433" spans="1:7" ht="18.75" x14ac:dyDescent="0.3">
      <c r="A433" s="36">
        <v>2555</v>
      </c>
      <c r="B433" s="33">
        <v>2304</v>
      </c>
      <c r="C433" s="33" t="s">
        <v>27</v>
      </c>
      <c r="D433" s="33" t="s">
        <v>15</v>
      </c>
      <c r="E433" s="33" t="s">
        <v>24</v>
      </c>
      <c r="F433" s="33">
        <v>70</v>
      </c>
      <c r="G433" s="36">
        <v>531.36363640000002</v>
      </c>
    </row>
    <row r="434" spans="1:7" ht="18.75" x14ac:dyDescent="0.3">
      <c r="A434" s="36">
        <v>2557</v>
      </c>
      <c r="B434" s="33">
        <v>2304</v>
      </c>
      <c r="C434" s="33" t="s">
        <v>23</v>
      </c>
      <c r="D434" s="33" t="s">
        <v>21</v>
      </c>
      <c r="E434" s="33" t="s">
        <v>24</v>
      </c>
      <c r="F434" s="33">
        <v>0</v>
      </c>
      <c r="G434" s="36">
        <v>419.54545450000001</v>
      </c>
    </row>
    <row r="435" spans="1:7" ht="18.75" x14ac:dyDescent="0.3">
      <c r="A435" s="36">
        <v>2557</v>
      </c>
      <c r="B435" s="33">
        <v>2304</v>
      </c>
      <c r="C435" s="33" t="s">
        <v>23</v>
      </c>
      <c r="D435" s="33" t="s">
        <v>21</v>
      </c>
      <c r="E435" s="33" t="s">
        <v>24</v>
      </c>
      <c r="F435" s="33">
        <v>14</v>
      </c>
      <c r="G435" s="36">
        <v>438.63636359999998</v>
      </c>
    </row>
    <row r="436" spans="1:7" ht="18.75" x14ac:dyDescent="0.3">
      <c r="A436" s="36">
        <v>2557</v>
      </c>
      <c r="B436" s="33">
        <v>2304</v>
      </c>
      <c r="C436" s="33" t="s">
        <v>23</v>
      </c>
      <c r="D436" s="33" t="s">
        <v>21</v>
      </c>
      <c r="E436" s="33" t="s">
        <v>24</v>
      </c>
      <c r="F436" s="33">
        <v>28</v>
      </c>
      <c r="G436" s="36">
        <v>455.45454549999999</v>
      </c>
    </row>
    <row r="437" spans="1:7" ht="18.75" x14ac:dyDescent="0.3">
      <c r="A437" s="36">
        <v>2557</v>
      </c>
      <c r="B437" s="33">
        <v>2304</v>
      </c>
      <c r="C437" s="33" t="s">
        <v>23</v>
      </c>
      <c r="D437" s="33" t="s">
        <v>21</v>
      </c>
      <c r="E437" s="33" t="s">
        <v>24</v>
      </c>
      <c r="F437" s="33">
        <v>42</v>
      </c>
      <c r="G437" s="36">
        <v>486.36363640000002</v>
      </c>
    </row>
    <row r="438" spans="1:7" ht="18.75" x14ac:dyDescent="0.3">
      <c r="A438" s="36">
        <v>2557</v>
      </c>
      <c r="B438" s="33">
        <v>2304</v>
      </c>
      <c r="C438" s="33" t="s">
        <v>23</v>
      </c>
      <c r="D438" s="33" t="s">
        <v>21</v>
      </c>
      <c r="E438" s="33" t="s">
        <v>24</v>
      </c>
      <c r="F438" s="33">
        <v>56</v>
      </c>
      <c r="G438" s="36">
        <v>504.54545450000001</v>
      </c>
    </row>
    <row r="439" spans="1:7" ht="18.75" x14ac:dyDescent="0.3">
      <c r="A439" s="36">
        <v>2557</v>
      </c>
      <c r="B439" s="33">
        <v>2304</v>
      </c>
      <c r="C439" s="33" t="s">
        <v>23</v>
      </c>
      <c r="D439" s="33" t="s">
        <v>21</v>
      </c>
      <c r="E439" s="33" t="s">
        <v>24</v>
      </c>
      <c r="F439" s="33">
        <v>70</v>
      </c>
      <c r="G439" s="36">
        <v>528.63636359999998</v>
      </c>
    </row>
    <row r="440" spans="1:7" ht="18.75" x14ac:dyDescent="0.3">
      <c r="A440" s="36">
        <v>2558</v>
      </c>
      <c r="B440" s="33">
        <v>2304</v>
      </c>
      <c r="C440" s="33" t="s">
        <v>14</v>
      </c>
      <c r="D440" s="33" t="s">
        <v>15</v>
      </c>
      <c r="E440" s="33" t="s">
        <v>15</v>
      </c>
      <c r="F440" s="33">
        <v>0</v>
      </c>
      <c r="G440" s="36">
        <v>417.72727270000001</v>
      </c>
    </row>
    <row r="441" spans="1:7" ht="18.75" x14ac:dyDescent="0.3">
      <c r="A441" s="36">
        <v>2558</v>
      </c>
      <c r="B441" s="33">
        <v>2304</v>
      </c>
      <c r="C441" s="33" t="s">
        <v>14</v>
      </c>
      <c r="D441" s="33" t="s">
        <v>15</v>
      </c>
      <c r="E441" s="33" t="s">
        <v>15</v>
      </c>
      <c r="F441" s="33">
        <v>14</v>
      </c>
      <c r="G441" s="36">
        <v>438.63636359999998</v>
      </c>
    </row>
    <row r="442" spans="1:7" ht="18.75" x14ac:dyDescent="0.3">
      <c r="A442" s="36">
        <v>2558</v>
      </c>
      <c r="B442" s="33">
        <v>2304</v>
      </c>
      <c r="C442" s="33" t="s">
        <v>14</v>
      </c>
      <c r="D442" s="33" t="s">
        <v>15</v>
      </c>
      <c r="E442" s="33" t="s">
        <v>15</v>
      </c>
      <c r="F442" s="33">
        <v>28</v>
      </c>
      <c r="G442" s="36">
        <v>458.63636359999998</v>
      </c>
    </row>
    <row r="443" spans="1:7" ht="18.75" x14ac:dyDescent="0.3">
      <c r="A443" s="36">
        <v>2558</v>
      </c>
      <c r="B443" s="33">
        <v>2304</v>
      </c>
      <c r="C443" s="33" t="s">
        <v>14</v>
      </c>
      <c r="D443" s="33" t="s">
        <v>15</v>
      </c>
      <c r="E443" s="33" t="s">
        <v>15</v>
      </c>
      <c r="F443" s="33">
        <v>42</v>
      </c>
      <c r="G443" s="36">
        <v>478.18181820000001</v>
      </c>
    </row>
    <row r="444" spans="1:7" ht="18.75" x14ac:dyDescent="0.3">
      <c r="A444" s="36">
        <v>2558</v>
      </c>
      <c r="B444" s="33">
        <v>2304</v>
      </c>
      <c r="C444" s="33" t="s">
        <v>14</v>
      </c>
      <c r="D444" s="33" t="s">
        <v>15</v>
      </c>
      <c r="E444" s="33" t="s">
        <v>15</v>
      </c>
      <c r="F444" s="33">
        <v>56</v>
      </c>
      <c r="G444" s="36">
        <v>502.27272729999999</v>
      </c>
    </row>
    <row r="445" spans="1:7" ht="18.75" x14ac:dyDescent="0.3">
      <c r="A445" s="36">
        <v>2558</v>
      </c>
      <c r="B445" s="33">
        <v>2304</v>
      </c>
      <c r="C445" s="33" t="s">
        <v>14</v>
      </c>
      <c r="D445" s="33" t="s">
        <v>15</v>
      </c>
      <c r="E445" s="33" t="s">
        <v>15</v>
      </c>
      <c r="F445" s="33">
        <v>70</v>
      </c>
      <c r="G445" s="36">
        <v>508.63636359999998</v>
      </c>
    </row>
    <row r="446" spans="1:7" ht="18.75" x14ac:dyDescent="0.3">
      <c r="A446" s="36">
        <v>2561</v>
      </c>
      <c r="B446" s="33">
        <v>2304</v>
      </c>
      <c r="C446" s="33" t="s">
        <v>27</v>
      </c>
      <c r="D446" s="33" t="s">
        <v>15</v>
      </c>
      <c r="E446" s="33" t="s">
        <v>24</v>
      </c>
      <c r="F446" s="33">
        <v>0</v>
      </c>
      <c r="G446" s="36">
        <v>358.18181820000001</v>
      </c>
    </row>
    <row r="447" spans="1:7" ht="18.75" x14ac:dyDescent="0.3">
      <c r="A447" s="36">
        <v>2561</v>
      </c>
      <c r="B447" s="33">
        <v>2304</v>
      </c>
      <c r="C447" s="33" t="s">
        <v>27</v>
      </c>
      <c r="D447" s="33" t="s">
        <v>15</v>
      </c>
      <c r="E447" s="33" t="s">
        <v>24</v>
      </c>
      <c r="F447" s="33">
        <v>14</v>
      </c>
      <c r="G447" s="36">
        <v>408.18181820000001</v>
      </c>
    </row>
    <row r="448" spans="1:7" ht="18.75" x14ac:dyDescent="0.3">
      <c r="A448" s="36">
        <v>2561</v>
      </c>
      <c r="B448" s="33">
        <v>2304</v>
      </c>
      <c r="C448" s="33" t="s">
        <v>27</v>
      </c>
      <c r="D448" s="33" t="s">
        <v>15</v>
      </c>
      <c r="E448" s="33" t="s">
        <v>24</v>
      </c>
      <c r="F448" s="33">
        <v>28</v>
      </c>
      <c r="G448" s="36">
        <v>414.54545450000001</v>
      </c>
    </row>
    <row r="449" spans="1:7" ht="18.75" x14ac:dyDescent="0.3">
      <c r="A449" s="36">
        <v>2561</v>
      </c>
      <c r="B449" s="33">
        <v>2304</v>
      </c>
      <c r="C449" s="33" t="s">
        <v>27</v>
      </c>
      <c r="D449" s="33" t="s">
        <v>15</v>
      </c>
      <c r="E449" s="33" t="s">
        <v>24</v>
      </c>
      <c r="F449" s="33">
        <v>42</v>
      </c>
      <c r="G449" s="36">
        <v>440.45454549999999</v>
      </c>
    </row>
    <row r="450" spans="1:7" ht="18.75" x14ac:dyDescent="0.3">
      <c r="A450" s="36">
        <v>2561</v>
      </c>
      <c r="B450" s="33">
        <v>2304</v>
      </c>
      <c r="C450" s="33" t="s">
        <v>27</v>
      </c>
      <c r="D450" s="33" t="s">
        <v>15</v>
      </c>
      <c r="E450" s="33" t="s">
        <v>24</v>
      </c>
      <c r="F450" s="33">
        <v>56</v>
      </c>
      <c r="G450" s="36">
        <v>456.36363640000002</v>
      </c>
    </row>
    <row r="451" spans="1:7" ht="18.75" x14ac:dyDescent="0.3">
      <c r="A451" s="36">
        <v>2561</v>
      </c>
      <c r="B451" s="33">
        <v>2304</v>
      </c>
      <c r="C451" s="33" t="s">
        <v>27</v>
      </c>
      <c r="D451" s="33" t="s">
        <v>15</v>
      </c>
      <c r="E451" s="33" t="s">
        <v>24</v>
      </c>
      <c r="F451" s="33">
        <v>70</v>
      </c>
      <c r="G451" s="36">
        <v>488.18181820000001</v>
      </c>
    </row>
    <row r="452" spans="1:7" ht="18.75" x14ac:dyDescent="0.3">
      <c r="A452" s="36">
        <v>2562</v>
      </c>
      <c r="B452" s="33">
        <v>2304</v>
      </c>
      <c r="C452" s="33" t="s">
        <v>14</v>
      </c>
      <c r="D452" s="33" t="s">
        <v>15</v>
      </c>
      <c r="E452" s="33" t="s">
        <v>15</v>
      </c>
      <c r="F452" s="33">
        <v>0</v>
      </c>
      <c r="G452" s="36">
        <v>435.90909090000002</v>
      </c>
    </row>
    <row r="453" spans="1:7" ht="18.75" x14ac:dyDescent="0.3">
      <c r="A453" s="36">
        <v>2562</v>
      </c>
      <c r="B453" s="33">
        <v>2304</v>
      </c>
      <c r="C453" s="33" t="s">
        <v>14</v>
      </c>
      <c r="D453" s="33" t="s">
        <v>15</v>
      </c>
      <c r="E453" s="33" t="s">
        <v>15</v>
      </c>
      <c r="F453" s="33">
        <v>14</v>
      </c>
      <c r="G453" s="36">
        <v>460.90909090000002</v>
      </c>
    </row>
    <row r="454" spans="1:7" ht="18.75" x14ac:dyDescent="0.3">
      <c r="A454" s="36">
        <v>2562</v>
      </c>
      <c r="B454" s="33">
        <v>2304</v>
      </c>
      <c r="C454" s="33" t="s">
        <v>14</v>
      </c>
      <c r="D454" s="33" t="s">
        <v>15</v>
      </c>
      <c r="E454" s="33" t="s">
        <v>15</v>
      </c>
      <c r="F454" s="33">
        <v>28</v>
      </c>
      <c r="G454" s="36">
        <v>503.63636359999998</v>
      </c>
    </row>
    <row r="455" spans="1:7" ht="18.75" x14ac:dyDescent="0.3">
      <c r="A455" s="36">
        <v>2562</v>
      </c>
      <c r="B455" s="33">
        <v>2304</v>
      </c>
      <c r="C455" s="33" t="s">
        <v>14</v>
      </c>
      <c r="D455" s="33" t="s">
        <v>15</v>
      </c>
      <c r="E455" s="33" t="s">
        <v>15</v>
      </c>
      <c r="F455" s="33">
        <v>42</v>
      </c>
      <c r="G455" s="36">
        <v>501.81818179999999</v>
      </c>
    </row>
    <row r="456" spans="1:7" ht="18.75" x14ac:dyDescent="0.3">
      <c r="A456" s="36">
        <v>2562</v>
      </c>
      <c r="B456" s="33">
        <v>2304</v>
      </c>
      <c r="C456" s="33" t="s">
        <v>14</v>
      </c>
      <c r="D456" s="33" t="s">
        <v>15</v>
      </c>
      <c r="E456" s="33" t="s">
        <v>15</v>
      </c>
      <c r="F456" s="33">
        <v>56</v>
      </c>
      <c r="G456" s="36">
        <v>514.09090909999998</v>
      </c>
    </row>
    <row r="457" spans="1:7" ht="18.75" x14ac:dyDescent="0.3">
      <c r="A457" s="36">
        <v>2562</v>
      </c>
      <c r="B457" s="33">
        <v>2304</v>
      </c>
      <c r="C457" s="33" t="s">
        <v>14</v>
      </c>
      <c r="D457" s="33" t="s">
        <v>15</v>
      </c>
      <c r="E457" s="33" t="s">
        <v>15</v>
      </c>
      <c r="F457" s="33">
        <v>70</v>
      </c>
      <c r="G457" s="36">
        <v>545</v>
      </c>
    </row>
    <row r="458" spans="1:7" ht="18.75" x14ac:dyDescent="0.3">
      <c r="A458" s="36">
        <v>2564</v>
      </c>
      <c r="B458" s="33">
        <v>2304</v>
      </c>
      <c r="C458" s="33" t="s">
        <v>20</v>
      </c>
      <c r="D458" s="33" t="s">
        <v>21</v>
      </c>
      <c r="E458" s="33" t="s">
        <v>15</v>
      </c>
      <c r="F458" s="33">
        <v>0</v>
      </c>
      <c r="G458" s="36">
        <v>445</v>
      </c>
    </row>
    <row r="459" spans="1:7" ht="18.75" x14ac:dyDescent="0.3">
      <c r="A459" s="36">
        <v>2564</v>
      </c>
      <c r="B459" s="33">
        <v>2304</v>
      </c>
      <c r="C459" s="33" t="s">
        <v>20</v>
      </c>
      <c r="D459" s="33" t="s">
        <v>21</v>
      </c>
      <c r="E459" s="33" t="s">
        <v>15</v>
      </c>
      <c r="F459" s="33">
        <v>14</v>
      </c>
      <c r="G459" s="36">
        <v>476.36363640000002</v>
      </c>
    </row>
    <row r="460" spans="1:7" ht="18.75" x14ac:dyDescent="0.3">
      <c r="A460" s="36">
        <v>2564</v>
      </c>
      <c r="B460" s="33">
        <v>2304</v>
      </c>
      <c r="C460" s="33" t="s">
        <v>20</v>
      </c>
      <c r="D460" s="33" t="s">
        <v>21</v>
      </c>
      <c r="E460" s="33" t="s">
        <v>15</v>
      </c>
      <c r="F460" s="33">
        <v>28</v>
      </c>
      <c r="G460" s="36">
        <v>495</v>
      </c>
    </row>
    <row r="461" spans="1:7" ht="18.75" x14ac:dyDescent="0.3">
      <c r="A461" s="36">
        <v>2564</v>
      </c>
      <c r="B461" s="33">
        <v>2304</v>
      </c>
      <c r="C461" s="33" t="s">
        <v>20</v>
      </c>
      <c r="D461" s="33" t="s">
        <v>21</v>
      </c>
      <c r="E461" s="33" t="s">
        <v>15</v>
      </c>
      <c r="F461" s="33">
        <v>42</v>
      </c>
      <c r="G461" s="36">
        <v>517.27272730000004</v>
      </c>
    </row>
    <row r="462" spans="1:7" ht="18.75" x14ac:dyDescent="0.3">
      <c r="A462" s="36">
        <v>2564</v>
      </c>
      <c r="B462" s="33">
        <v>2304</v>
      </c>
      <c r="C462" s="33" t="s">
        <v>20</v>
      </c>
      <c r="D462" s="33" t="s">
        <v>21</v>
      </c>
      <c r="E462" s="33" t="s">
        <v>15</v>
      </c>
      <c r="F462" s="33">
        <v>56</v>
      </c>
      <c r="G462" s="36">
        <v>559.54545450000001</v>
      </c>
    </row>
    <row r="463" spans="1:7" ht="18.75" x14ac:dyDescent="0.3">
      <c r="A463" s="36">
        <v>2564</v>
      </c>
      <c r="B463" s="33">
        <v>2304</v>
      </c>
      <c r="C463" s="33" t="s">
        <v>20</v>
      </c>
      <c r="D463" s="33" t="s">
        <v>21</v>
      </c>
      <c r="E463" s="33" t="s">
        <v>15</v>
      </c>
      <c r="F463" s="33">
        <v>70</v>
      </c>
      <c r="G463" s="36">
        <v>566.36363640000002</v>
      </c>
    </row>
    <row r="464" spans="1:7" ht="18.75" x14ac:dyDescent="0.3">
      <c r="A464" s="36">
        <v>2565</v>
      </c>
      <c r="B464" s="33">
        <v>2304</v>
      </c>
      <c r="C464" s="33" t="s">
        <v>27</v>
      </c>
      <c r="D464" s="33" t="s">
        <v>15</v>
      </c>
      <c r="E464" s="33" t="s">
        <v>24</v>
      </c>
      <c r="F464" s="33">
        <v>0</v>
      </c>
      <c r="G464" s="36">
        <v>432.72727270000001</v>
      </c>
    </row>
    <row r="465" spans="1:7" ht="18.75" x14ac:dyDescent="0.3">
      <c r="A465" s="36">
        <v>2565</v>
      </c>
      <c r="B465" s="33">
        <v>2304</v>
      </c>
      <c r="C465" s="33" t="s">
        <v>27</v>
      </c>
      <c r="D465" s="33" t="s">
        <v>15</v>
      </c>
      <c r="E465" s="33" t="s">
        <v>24</v>
      </c>
      <c r="F465" s="33">
        <v>14</v>
      </c>
      <c r="G465" s="36">
        <v>470.90909090000002</v>
      </c>
    </row>
    <row r="466" spans="1:7" ht="18.75" x14ac:dyDescent="0.3">
      <c r="A466" s="36">
        <v>2565</v>
      </c>
      <c r="B466" s="33">
        <v>2304</v>
      </c>
      <c r="C466" s="33" t="s">
        <v>27</v>
      </c>
      <c r="D466" s="33" t="s">
        <v>15</v>
      </c>
      <c r="E466" s="33" t="s">
        <v>24</v>
      </c>
      <c r="F466" s="33">
        <v>28</v>
      </c>
      <c r="G466" s="36">
        <v>499.54545450000001</v>
      </c>
    </row>
    <row r="467" spans="1:7" ht="18.75" x14ac:dyDescent="0.3">
      <c r="A467" s="36">
        <v>2565</v>
      </c>
      <c r="B467" s="33">
        <v>2304</v>
      </c>
      <c r="C467" s="33" t="s">
        <v>27</v>
      </c>
      <c r="D467" s="33" t="s">
        <v>15</v>
      </c>
      <c r="E467" s="33" t="s">
        <v>24</v>
      </c>
      <c r="F467" s="33">
        <v>42</v>
      </c>
      <c r="G467" s="36">
        <v>530</v>
      </c>
    </row>
    <row r="468" spans="1:7" ht="18.75" x14ac:dyDescent="0.3">
      <c r="A468" s="36">
        <v>2565</v>
      </c>
      <c r="B468" s="33">
        <v>2304</v>
      </c>
      <c r="C468" s="33" t="s">
        <v>27</v>
      </c>
      <c r="D468" s="33" t="s">
        <v>15</v>
      </c>
      <c r="E468" s="33" t="s">
        <v>24</v>
      </c>
      <c r="F468" s="33">
        <v>56</v>
      </c>
      <c r="G468" s="36">
        <v>551.81818180000005</v>
      </c>
    </row>
    <row r="469" spans="1:7" ht="18.75" x14ac:dyDescent="0.3">
      <c r="A469" s="36">
        <v>2565</v>
      </c>
      <c r="B469" s="33">
        <v>2304</v>
      </c>
      <c r="C469" s="33" t="s">
        <v>27</v>
      </c>
      <c r="D469" s="33" t="s">
        <v>15</v>
      </c>
      <c r="E469" s="33" t="s">
        <v>24</v>
      </c>
      <c r="F469" s="33">
        <v>70</v>
      </c>
      <c r="G469" s="36">
        <v>568.18181819999995</v>
      </c>
    </row>
    <row r="470" spans="1:7" ht="18.75" x14ac:dyDescent="0.3">
      <c r="A470" s="36">
        <v>2566</v>
      </c>
      <c r="B470" s="33">
        <v>2304</v>
      </c>
      <c r="C470" s="33" t="s">
        <v>20</v>
      </c>
      <c r="D470" s="33" t="s">
        <v>21</v>
      </c>
      <c r="E470" s="33" t="s">
        <v>15</v>
      </c>
      <c r="F470" s="33">
        <v>0</v>
      </c>
      <c r="G470" s="36">
        <v>424.54545450000001</v>
      </c>
    </row>
    <row r="471" spans="1:7" ht="18.75" x14ac:dyDescent="0.3">
      <c r="A471" s="36">
        <v>2566</v>
      </c>
      <c r="B471" s="33">
        <v>2304</v>
      </c>
      <c r="C471" s="33" t="s">
        <v>20</v>
      </c>
      <c r="D471" s="33" t="s">
        <v>21</v>
      </c>
      <c r="E471" s="33" t="s">
        <v>15</v>
      </c>
      <c r="F471" s="33">
        <v>14</v>
      </c>
      <c r="G471" s="36">
        <v>461.36363640000002</v>
      </c>
    </row>
    <row r="472" spans="1:7" ht="18.75" x14ac:dyDescent="0.3">
      <c r="A472" s="36">
        <v>2566</v>
      </c>
      <c r="B472" s="33">
        <v>2304</v>
      </c>
      <c r="C472" s="33" t="s">
        <v>20</v>
      </c>
      <c r="D472" s="33" t="s">
        <v>21</v>
      </c>
      <c r="E472" s="33" t="s">
        <v>15</v>
      </c>
      <c r="F472" s="33">
        <v>28</v>
      </c>
      <c r="G472" s="36">
        <v>475.45454549999999</v>
      </c>
    </row>
    <row r="473" spans="1:7" ht="18.75" x14ac:dyDescent="0.3">
      <c r="A473" s="36">
        <v>2566</v>
      </c>
      <c r="B473" s="33">
        <v>2304</v>
      </c>
      <c r="C473" s="33" t="s">
        <v>20</v>
      </c>
      <c r="D473" s="33" t="s">
        <v>21</v>
      </c>
      <c r="E473" s="33" t="s">
        <v>15</v>
      </c>
      <c r="F473" s="33">
        <v>42</v>
      </c>
      <c r="G473" s="36">
        <v>493.18181820000001</v>
      </c>
    </row>
    <row r="474" spans="1:7" ht="18.75" x14ac:dyDescent="0.3">
      <c r="A474" s="36">
        <v>2566</v>
      </c>
      <c r="B474" s="33">
        <v>2304</v>
      </c>
      <c r="C474" s="33" t="s">
        <v>20</v>
      </c>
      <c r="D474" s="33" t="s">
        <v>21</v>
      </c>
      <c r="E474" s="33" t="s">
        <v>15</v>
      </c>
      <c r="F474" s="33">
        <v>56</v>
      </c>
      <c r="G474" s="36">
        <v>520</v>
      </c>
    </row>
    <row r="475" spans="1:7" ht="18.75" x14ac:dyDescent="0.3">
      <c r="A475" s="36">
        <v>2566</v>
      </c>
      <c r="B475" s="33">
        <v>2304</v>
      </c>
      <c r="C475" s="33" t="s">
        <v>20</v>
      </c>
      <c r="D475" s="33" t="s">
        <v>21</v>
      </c>
      <c r="E475" s="33" t="s">
        <v>15</v>
      </c>
      <c r="F475" s="33">
        <v>70</v>
      </c>
      <c r="G475" s="36">
        <v>539.54545450000001</v>
      </c>
    </row>
    <row r="476" spans="1:7" ht="18.75" x14ac:dyDescent="0.3">
      <c r="A476" s="36">
        <v>2568</v>
      </c>
      <c r="B476" s="33">
        <v>2304</v>
      </c>
      <c r="C476" s="33" t="s">
        <v>27</v>
      </c>
      <c r="D476" s="33" t="s">
        <v>15</v>
      </c>
      <c r="E476" s="33" t="s">
        <v>24</v>
      </c>
      <c r="F476" s="33">
        <v>0</v>
      </c>
      <c r="G476" s="36">
        <v>427.27272729999999</v>
      </c>
    </row>
    <row r="477" spans="1:7" ht="18.75" x14ac:dyDescent="0.3">
      <c r="A477" s="36">
        <v>2568</v>
      </c>
      <c r="B477" s="33">
        <v>2304</v>
      </c>
      <c r="C477" s="33" t="s">
        <v>27</v>
      </c>
      <c r="D477" s="33" t="s">
        <v>15</v>
      </c>
      <c r="E477" s="33" t="s">
        <v>24</v>
      </c>
      <c r="F477" s="33">
        <v>14</v>
      </c>
      <c r="G477" s="36">
        <v>458.18181820000001</v>
      </c>
    </row>
    <row r="478" spans="1:7" ht="18.75" x14ac:dyDescent="0.3">
      <c r="A478" s="36">
        <v>2568</v>
      </c>
      <c r="B478" s="33">
        <v>2304</v>
      </c>
      <c r="C478" s="33" t="s">
        <v>27</v>
      </c>
      <c r="D478" s="33" t="s">
        <v>15</v>
      </c>
      <c r="E478" s="33" t="s">
        <v>24</v>
      </c>
      <c r="F478" s="33">
        <v>28</v>
      </c>
      <c r="G478" s="36">
        <v>482.72727270000001</v>
      </c>
    </row>
    <row r="479" spans="1:7" ht="18.75" x14ac:dyDescent="0.3">
      <c r="A479" s="36">
        <v>2568</v>
      </c>
      <c r="B479" s="33">
        <v>2304</v>
      </c>
      <c r="C479" s="33" t="s">
        <v>27</v>
      </c>
      <c r="D479" s="33" t="s">
        <v>15</v>
      </c>
      <c r="E479" s="33" t="s">
        <v>24</v>
      </c>
      <c r="F479" s="33">
        <v>42</v>
      </c>
      <c r="G479" s="36">
        <v>505</v>
      </c>
    </row>
    <row r="480" spans="1:7" ht="18.75" x14ac:dyDescent="0.3">
      <c r="A480" s="36">
        <v>2568</v>
      </c>
      <c r="B480" s="33">
        <v>2304</v>
      </c>
      <c r="C480" s="33" t="s">
        <v>27</v>
      </c>
      <c r="D480" s="33" t="s">
        <v>15</v>
      </c>
      <c r="E480" s="33" t="s">
        <v>24</v>
      </c>
      <c r="F480" s="33">
        <v>56</v>
      </c>
      <c r="G480" s="36">
        <v>505.45454549999999</v>
      </c>
    </row>
    <row r="481" spans="1:7" ht="18.75" x14ac:dyDescent="0.3">
      <c r="A481" s="36">
        <v>2568</v>
      </c>
      <c r="B481" s="33">
        <v>2304</v>
      </c>
      <c r="C481" s="33" t="s">
        <v>27</v>
      </c>
      <c r="D481" s="33" t="s">
        <v>15</v>
      </c>
      <c r="E481" s="33" t="s">
        <v>24</v>
      </c>
      <c r="F481" s="33">
        <v>70</v>
      </c>
      <c r="G481" s="36">
        <v>559.09090909999998</v>
      </c>
    </row>
    <row r="482" spans="1:7" ht="18.75" x14ac:dyDescent="0.3">
      <c r="A482" s="36">
        <v>2569</v>
      </c>
      <c r="B482" s="33">
        <v>2304</v>
      </c>
      <c r="C482" s="33" t="s">
        <v>27</v>
      </c>
      <c r="D482" s="33" t="s">
        <v>15</v>
      </c>
      <c r="E482" s="33" t="s">
        <v>24</v>
      </c>
      <c r="F482" s="33">
        <v>0</v>
      </c>
      <c r="G482" s="36">
        <v>405</v>
      </c>
    </row>
    <row r="483" spans="1:7" ht="18.75" x14ac:dyDescent="0.3">
      <c r="A483" s="36">
        <v>2569</v>
      </c>
      <c r="B483" s="33">
        <v>2304</v>
      </c>
      <c r="C483" s="33" t="s">
        <v>27</v>
      </c>
      <c r="D483" s="33" t="s">
        <v>15</v>
      </c>
      <c r="E483" s="33" t="s">
        <v>24</v>
      </c>
      <c r="F483" s="33">
        <v>14</v>
      </c>
      <c r="G483" s="36">
        <v>435.45454549999999</v>
      </c>
    </row>
    <row r="484" spans="1:7" ht="18.75" x14ac:dyDescent="0.3">
      <c r="A484" s="36">
        <v>2569</v>
      </c>
      <c r="B484" s="33">
        <v>2304</v>
      </c>
      <c r="C484" s="33" t="s">
        <v>27</v>
      </c>
      <c r="D484" s="33" t="s">
        <v>15</v>
      </c>
      <c r="E484" s="33" t="s">
        <v>24</v>
      </c>
      <c r="F484" s="33">
        <v>28</v>
      </c>
      <c r="G484" s="36">
        <v>441.36363640000002</v>
      </c>
    </row>
    <row r="485" spans="1:7" ht="18.75" x14ac:dyDescent="0.3">
      <c r="A485" s="36">
        <v>2569</v>
      </c>
      <c r="B485" s="33">
        <v>2304</v>
      </c>
      <c r="C485" s="33" t="s">
        <v>27</v>
      </c>
      <c r="D485" s="33" t="s">
        <v>15</v>
      </c>
      <c r="E485" s="33" t="s">
        <v>24</v>
      </c>
      <c r="F485" s="33">
        <v>42</v>
      </c>
      <c r="G485" s="36">
        <v>470.45454549999999</v>
      </c>
    </row>
    <row r="486" spans="1:7" ht="18.75" x14ac:dyDescent="0.3">
      <c r="A486" s="36">
        <v>2569</v>
      </c>
      <c r="B486" s="33">
        <v>2304</v>
      </c>
      <c r="C486" s="33" t="s">
        <v>27</v>
      </c>
      <c r="D486" s="33" t="s">
        <v>15</v>
      </c>
      <c r="E486" s="33" t="s">
        <v>24</v>
      </c>
      <c r="F486" s="33">
        <v>56</v>
      </c>
      <c r="G486" s="36">
        <v>493.63636359999998</v>
      </c>
    </row>
    <row r="487" spans="1:7" ht="18.75" x14ac:dyDescent="0.3">
      <c r="A487" s="36">
        <v>2569</v>
      </c>
      <c r="B487" s="33">
        <v>2304</v>
      </c>
      <c r="C487" s="33" t="s">
        <v>27</v>
      </c>
      <c r="D487" s="33" t="s">
        <v>15</v>
      </c>
      <c r="E487" s="33" t="s">
        <v>24</v>
      </c>
      <c r="F487" s="33">
        <v>70</v>
      </c>
      <c r="G487" s="36">
        <v>493.18181820000001</v>
      </c>
    </row>
    <row r="488" spans="1:7" ht="18.75" x14ac:dyDescent="0.3">
      <c r="A488" s="36">
        <v>2571</v>
      </c>
      <c r="B488" s="33">
        <v>2304</v>
      </c>
      <c r="C488" s="33" t="s">
        <v>27</v>
      </c>
      <c r="D488" s="33" t="s">
        <v>15</v>
      </c>
      <c r="E488" s="33" t="s">
        <v>24</v>
      </c>
      <c r="F488" s="33">
        <v>0</v>
      </c>
      <c r="G488" s="36">
        <v>470.45454549999999</v>
      </c>
    </row>
    <row r="489" spans="1:7" ht="18.75" x14ac:dyDescent="0.3">
      <c r="A489" s="36">
        <v>2571</v>
      </c>
      <c r="B489" s="33">
        <v>2304</v>
      </c>
      <c r="C489" s="33" t="s">
        <v>27</v>
      </c>
      <c r="D489" s="33" t="s">
        <v>15</v>
      </c>
      <c r="E489" s="33" t="s">
        <v>24</v>
      </c>
      <c r="F489" s="33">
        <v>14</v>
      </c>
      <c r="G489" s="36">
        <v>500.90909090000002</v>
      </c>
    </row>
    <row r="490" spans="1:7" ht="18.75" x14ac:dyDescent="0.3">
      <c r="A490" s="36">
        <v>2571</v>
      </c>
      <c r="B490" s="33">
        <v>2304</v>
      </c>
      <c r="C490" s="33" t="s">
        <v>27</v>
      </c>
      <c r="D490" s="33" t="s">
        <v>15</v>
      </c>
      <c r="E490" s="33" t="s">
        <v>24</v>
      </c>
      <c r="F490" s="33">
        <v>28</v>
      </c>
      <c r="G490" s="36">
        <v>517.72727269999996</v>
      </c>
    </row>
    <row r="491" spans="1:7" ht="18.75" x14ac:dyDescent="0.3">
      <c r="A491" s="36">
        <v>2571</v>
      </c>
      <c r="B491" s="33">
        <v>2304</v>
      </c>
      <c r="C491" s="33" t="s">
        <v>27</v>
      </c>
      <c r="D491" s="33" t="s">
        <v>15</v>
      </c>
      <c r="E491" s="33" t="s">
        <v>24</v>
      </c>
      <c r="F491" s="33">
        <v>42</v>
      </c>
      <c r="G491" s="36">
        <v>526.36363640000002</v>
      </c>
    </row>
    <row r="492" spans="1:7" ht="18.75" x14ac:dyDescent="0.3">
      <c r="A492" s="36">
        <v>2571</v>
      </c>
      <c r="B492" s="33">
        <v>2304</v>
      </c>
      <c r="C492" s="33" t="s">
        <v>27</v>
      </c>
      <c r="D492" s="33" t="s">
        <v>15</v>
      </c>
      <c r="E492" s="33" t="s">
        <v>24</v>
      </c>
      <c r="F492" s="33">
        <v>56</v>
      </c>
      <c r="G492" s="36">
        <v>550.45454549999999</v>
      </c>
    </row>
    <row r="493" spans="1:7" ht="18.75" x14ac:dyDescent="0.3">
      <c r="A493" s="36">
        <v>2571</v>
      </c>
      <c r="B493" s="33">
        <v>2304</v>
      </c>
      <c r="C493" s="33" t="s">
        <v>27</v>
      </c>
      <c r="D493" s="33" t="s">
        <v>15</v>
      </c>
      <c r="E493" s="33" t="s">
        <v>24</v>
      </c>
      <c r="F493" s="33">
        <v>70</v>
      </c>
      <c r="G493" s="36">
        <v>555.90909090000002</v>
      </c>
    </row>
    <row r="494" spans="1:7" ht="18.75" x14ac:dyDescent="0.3">
      <c r="A494" s="36">
        <v>2572</v>
      </c>
      <c r="B494" s="33">
        <v>2304</v>
      </c>
      <c r="C494" s="33" t="s">
        <v>14</v>
      </c>
      <c r="D494" s="33" t="s">
        <v>15</v>
      </c>
      <c r="E494" s="33" t="s">
        <v>15</v>
      </c>
      <c r="F494" s="33">
        <v>0</v>
      </c>
      <c r="G494" s="36">
        <v>447.27272729999999</v>
      </c>
    </row>
    <row r="495" spans="1:7" ht="18.75" x14ac:dyDescent="0.3">
      <c r="A495" s="36">
        <v>2572</v>
      </c>
      <c r="B495" s="33">
        <v>2304</v>
      </c>
      <c r="C495" s="33" t="s">
        <v>14</v>
      </c>
      <c r="D495" s="33" t="s">
        <v>15</v>
      </c>
      <c r="E495" s="33" t="s">
        <v>15</v>
      </c>
      <c r="F495" s="33">
        <v>14</v>
      </c>
      <c r="G495" s="36">
        <v>480.45454549999999</v>
      </c>
    </row>
    <row r="496" spans="1:7" ht="18.75" x14ac:dyDescent="0.3">
      <c r="A496" s="36">
        <v>2572</v>
      </c>
      <c r="B496" s="33">
        <v>2304</v>
      </c>
      <c r="C496" s="33" t="s">
        <v>14</v>
      </c>
      <c r="D496" s="33" t="s">
        <v>15</v>
      </c>
      <c r="E496" s="33" t="s">
        <v>15</v>
      </c>
      <c r="F496" s="33">
        <v>28</v>
      </c>
      <c r="G496" s="36">
        <v>491.36363640000002</v>
      </c>
    </row>
    <row r="497" spans="1:7" ht="18.75" x14ac:dyDescent="0.3">
      <c r="A497" s="36">
        <v>2572</v>
      </c>
      <c r="B497" s="33">
        <v>2304</v>
      </c>
      <c r="C497" s="33" t="s">
        <v>14</v>
      </c>
      <c r="D497" s="33" t="s">
        <v>15</v>
      </c>
      <c r="E497" s="33" t="s">
        <v>15</v>
      </c>
      <c r="F497" s="33">
        <v>42</v>
      </c>
      <c r="G497" s="36">
        <v>515.90909090000002</v>
      </c>
    </row>
    <row r="498" spans="1:7" ht="18.75" x14ac:dyDescent="0.3">
      <c r="A498" s="36">
        <v>2572</v>
      </c>
      <c r="B498" s="33">
        <v>2304</v>
      </c>
      <c r="C498" s="33" t="s">
        <v>14</v>
      </c>
      <c r="D498" s="33" t="s">
        <v>15</v>
      </c>
      <c r="E498" s="33" t="s">
        <v>15</v>
      </c>
      <c r="F498" s="33">
        <v>56</v>
      </c>
      <c r="G498" s="36">
        <v>512.27272730000004</v>
      </c>
    </row>
    <row r="499" spans="1:7" ht="18.75" x14ac:dyDescent="0.3">
      <c r="A499" s="36">
        <v>2572</v>
      </c>
      <c r="B499" s="33">
        <v>2304</v>
      </c>
      <c r="C499" s="33" t="s">
        <v>14</v>
      </c>
      <c r="D499" s="33" t="s">
        <v>15</v>
      </c>
      <c r="E499" s="33" t="s">
        <v>15</v>
      </c>
      <c r="F499" s="33">
        <v>70</v>
      </c>
      <c r="G499" s="36">
        <v>561.81818180000005</v>
      </c>
    </row>
    <row r="500" spans="1:7" ht="18.75" x14ac:dyDescent="0.3">
      <c r="A500" s="36">
        <v>2575</v>
      </c>
      <c r="B500" s="33">
        <v>2304</v>
      </c>
      <c r="C500" s="33" t="s">
        <v>20</v>
      </c>
      <c r="D500" s="33" t="s">
        <v>21</v>
      </c>
      <c r="E500" s="33" t="s">
        <v>15</v>
      </c>
      <c r="F500" s="33">
        <v>0</v>
      </c>
      <c r="G500" s="36">
        <v>392.72727270000001</v>
      </c>
    </row>
    <row r="501" spans="1:7" ht="18.75" x14ac:dyDescent="0.3">
      <c r="A501" s="36">
        <v>2575</v>
      </c>
      <c r="B501" s="33">
        <v>2304</v>
      </c>
      <c r="C501" s="33" t="s">
        <v>20</v>
      </c>
      <c r="D501" s="33" t="s">
        <v>21</v>
      </c>
      <c r="E501" s="33" t="s">
        <v>15</v>
      </c>
      <c r="F501" s="33">
        <v>14</v>
      </c>
      <c r="G501" s="36">
        <v>429.54545450000001</v>
      </c>
    </row>
    <row r="502" spans="1:7" ht="18.75" x14ac:dyDescent="0.3">
      <c r="A502" s="36">
        <v>2575</v>
      </c>
      <c r="B502" s="33">
        <v>2304</v>
      </c>
      <c r="C502" s="33" t="s">
        <v>20</v>
      </c>
      <c r="D502" s="33" t="s">
        <v>21</v>
      </c>
      <c r="E502" s="33" t="s">
        <v>15</v>
      </c>
      <c r="F502" s="33">
        <v>28</v>
      </c>
      <c r="G502" s="36">
        <v>453.18181820000001</v>
      </c>
    </row>
    <row r="503" spans="1:7" ht="18.75" x14ac:dyDescent="0.3">
      <c r="A503" s="36">
        <v>2575</v>
      </c>
      <c r="B503" s="33">
        <v>2304</v>
      </c>
      <c r="C503" s="33" t="s">
        <v>20</v>
      </c>
      <c r="D503" s="33" t="s">
        <v>21</v>
      </c>
      <c r="E503" s="33" t="s">
        <v>15</v>
      </c>
      <c r="F503" s="33">
        <v>42</v>
      </c>
      <c r="G503" s="36">
        <v>467.27272729999999</v>
      </c>
    </row>
    <row r="504" spans="1:7" ht="18.75" x14ac:dyDescent="0.3">
      <c r="A504" s="36">
        <v>2575</v>
      </c>
      <c r="B504" s="33">
        <v>2304</v>
      </c>
      <c r="C504" s="33" t="s">
        <v>20</v>
      </c>
      <c r="D504" s="33" t="s">
        <v>21</v>
      </c>
      <c r="E504" s="33" t="s">
        <v>15</v>
      </c>
      <c r="F504" s="33">
        <v>56</v>
      </c>
      <c r="G504" s="36">
        <v>499.54545450000001</v>
      </c>
    </row>
    <row r="505" spans="1:7" ht="18.75" x14ac:dyDescent="0.3">
      <c r="A505" s="36">
        <v>2575</v>
      </c>
      <c r="B505" s="33">
        <v>2304</v>
      </c>
      <c r="C505" s="33" t="s">
        <v>20</v>
      </c>
      <c r="D505" s="33" t="s">
        <v>21</v>
      </c>
      <c r="E505" s="33" t="s">
        <v>15</v>
      </c>
      <c r="F505" s="33">
        <v>70</v>
      </c>
      <c r="G505" s="36">
        <v>500</v>
      </c>
    </row>
    <row r="506" spans="1:7" ht="18.75" x14ac:dyDescent="0.3">
      <c r="A506" s="36">
        <v>2578</v>
      </c>
      <c r="B506" s="33">
        <v>2304</v>
      </c>
      <c r="C506" s="33" t="s">
        <v>27</v>
      </c>
      <c r="D506" s="33" t="s">
        <v>15</v>
      </c>
      <c r="E506" s="33" t="s">
        <v>24</v>
      </c>
      <c r="F506" s="33">
        <v>0</v>
      </c>
      <c r="G506" s="36">
        <v>480.45454549999999</v>
      </c>
    </row>
    <row r="507" spans="1:7" ht="18.75" x14ac:dyDescent="0.3">
      <c r="A507" s="36">
        <v>2578</v>
      </c>
      <c r="B507" s="33">
        <v>2304</v>
      </c>
      <c r="C507" s="33" t="s">
        <v>27</v>
      </c>
      <c r="D507" s="33" t="s">
        <v>15</v>
      </c>
      <c r="E507" s="33" t="s">
        <v>24</v>
      </c>
      <c r="F507" s="33">
        <v>14</v>
      </c>
      <c r="G507" s="36">
        <v>531.81818180000005</v>
      </c>
    </row>
    <row r="508" spans="1:7" ht="18.75" x14ac:dyDescent="0.3">
      <c r="A508" s="36">
        <v>2578</v>
      </c>
      <c r="B508" s="33">
        <v>2304</v>
      </c>
      <c r="C508" s="33" t="s">
        <v>27</v>
      </c>
      <c r="D508" s="33" t="s">
        <v>15</v>
      </c>
      <c r="E508" s="33" t="s">
        <v>24</v>
      </c>
      <c r="F508" s="33">
        <v>28</v>
      </c>
      <c r="G508" s="36">
        <v>536.81818180000005</v>
      </c>
    </row>
    <row r="509" spans="1:7" ht="18.75" x14ac:dyDescent="0.3">
      <c r="A509" s="36">
        <v>2578</v>
      </c>
      <c r="B509" s="33">
        <v>2304</v>
      </c>
      <c r="C509" s="33" t="s">
        <v>27</v>
      </c>
      <c r="D509" s="33" t="s">
        <v>15</v>
      </c>
      <c r="E509" s="33" t="s">
        <v>24</v>
      </c>
      <c r="F509" s="33">
        <v>42</v>
      </c>
      <c r="G509" s="36">
        <v>541.81818180000005</v>
      </c>
    </row>
    <row r="510" spans="1:7" ht="18.75" x14ac:dyDescent="0.3">
      <c r="A510" s="36">
        <v>2578</v>
      </c>
      <c r="B510" s="33">
        <v>2304</v>
      </c>
      <c r="C510" s="33" t="s">
        <v>27</v>
      </c>
      <c r="D510" s="33" t="s">
        <v>15</v>
      </c>
      <c r="E510" s="33" t="s">
        <v>24</v>
      </c>
      <c r="F510" s="33">
        <v>56</v>
      </c>
      <c r="G510" s="36">
        <v>570</v>
      </c>
    </row>
    <row r="511" spans="1:7" ht="18.75" x14ac:dyDescent="0.3">
      <c r="A511" s="36">
        <v>2578</v>
      </c>
      <c r="B511" s="33">
        <v>2304</v>
      </c>
      <c r="C511" s="33" t="s">
        <v>27</v>
      </c>
      <c r="D511" s="33" t="s">
        <v>15</v>
      </c>
      <c r="E511" s="33" t="s">
        <v>24</v>
      </c>
      <c r="F511" s="33">
        <v>70</v>
      </c>
      <c r="G511" s="36">
        <v>608.63636359999998</v>
      </c>
    </row>
    <row r="512" spans="1:7" ht="18.75" x14ac:dyDescent="0.3">
      <c r="A512" s="36">
        <v>2579</v>
      </c>
      <c r="B512" s="33">
        <v>2304</v>
      </c>
      <c r="C512" s="33" t="s">
        <v>20</v>
      </c>
      <c r="D512" s="33" t="s">
        <v>21</v>
      </c>
      <c r="E512" s="33" t="s">
        <v>15</v>
      </c>
      <c r="F512" s="33">
        <v>0</v>
      </c>
      <c r="G512" s="36">
        <v>420.45454549999999</v>
      </c>
    </row>
    <row r="513" spans="1:7" ht="18.75" x14ac:dyDescent="0.3">
      <c r="A513" s="36">
        <v>2579</v>
      </c>
      <c r="B513" s="33">
        <v>2304</v>
      </c>
      <c r="C513" s="33" t="s">
        <v>20</v>
      </c>
      <c r="D513" s="33" t="s">
        <v>21</v>
      </c>
      <c r="E513" s="33" t="s">
        <v>15</v>
      </c>
      <c r="F513" s="33">
        <v>14</v>
      </c>
      <c r="G513" s="36">
        <v>445.90909090000002</v>
      </c>
    </row>
    <row r="514" spans="1:7" ht="18.75" x14ac:dyDescent="0.3">
      <c r="A514" s="36">
        <v>2579</v>
      </c>
      <c r="B514" s="33">
        <v>2304</v>
      </c>
      <c r="C514" s="33" t="s">
        <v>20</v>
      </c>
      <c r="D514" s="33" t="s">
        <v>21</v>
      </c>
      <c r="E514" s="33" t="s">
        <v>15</v>
      </c>
      <c r="F514" s="33">
        <v>28</v>
      </c>
      <c r="G514" s="36">
        <v>472.72727270000001</v>
      </c>
    </row>
    <row r="515" spans="1:7" ht="18.75" x14ac:dyDescent="0.3">
      <c r="A515" s="36">
        <v>2579</v>
      </c>
      <c r="B515" s="33">
        <v>2304</v>
      </c>
      <c r="C515" s="33" t="s">
        <v>20</v>
      </c>
      <c r="D515" s="33" t="s">
        <v>21</v>
      </c>
      <c r="E515" s="33" t="s">
        <v>15</v>
      </c>
      <c r="F515" s="33">
        <v>42</v>
      </c>
      <c r="G515" s="36">
        <v>467.72727270000001</v>
      </c>
    </row>
    <row r="516" spans="1:7" ht="18.75" x14ac:dyDescent="0.3">
      <c r="A516" s="36">
        <v>2579</v>
      </c>
      <c r="B516" s="33">
        <v>2304</v>
      </c>
      <c r="C516" s="33" t="s">
        <v>20</v>
      </c>
      <c r="D516" s="33" t="s">
        <v>21</v>
      </c>
      <c r="E516" s="33" t="s">
        <v>15</v>
      </c>
      <c r="F516" s="33">
        <v>56</v>
      </c>
      <c r="G516" s="36">
        <v>514.54545450000001</v>
      </c>
    </row>
    <row r="517" spans="1:7" ht="18.75" x14ac:dyDescent="0.3">
      <c r="A517" s="36">
        <v>2579</v>
      </c>
      <c r="B517" s="33">
        <v>2304</v>
      </c>
      <c r="C517" s="33" t="s">
        <v>20</v>
      </c>
      <c r="D517" s="33" t="s">
        <v>21</v>
      </c>
      <c r="E517" s="33" t="s">
        <v>15</v>
      </c>
      <c r="F517" s="33">
        <v>70</v>
      </c>
      <c r="G517" s="36">
        <v>523.18181819999995</v>
      </c>
    </row>
    <row r="518" spans="1:7" ht="18.75" x14ac:dyDescent="0.3">
      <c r="A518" s="36">
        <v>2581</v>
      </c>
      <c r="B518" s="33">
        <v>2304</v>
      </c>
      <c r="C518" s="33" t="s">
        <v>23</v>
      </c>
      <c r="D518" s="33" t="s">
        <v>21</v>
      </c>
      <c r="E518" s="33" t="s">
        <v>24</v>
      </c>
      <c r="F518" s="33">
        <v>0</v>
      </c>
      <c r="G518" s="36">
        <v>417.27272729999999</v>
      </c>
    </row>
    <row r="519" spans="1:7" ht="18.75" x14ac:dyDescent="0.3">
      <c r="A519" s="36">
        <v>2581</v>
      </c>
      <c r="B519" s="33">
        <v>2304</v>
      </c>
      <c r="C519" s="33" t="s">
        <v>23</v>
      </c>
      <c r="D519" s="33" t="s">
        <v>21</v>
      </c>
      <c r="E519" s="33" t="s">
        <v>24</v>
      </c>
      <c r="F519" s="33">
        <v>14</v>
      </c>
      <c r="G519" s="36">
        <v>464.54545450000001</v>
      </c>
    </row>
    <row r="520" spans="1:7" ht="18.75" x14ac:dyDescent="0.3">
      <c r="A520" s="36">
        <v>2581</v>
      </c>
      <c r="B520" s="33">
        <v>2304</v>
      </c>
      <c r="C520" s="33" t="s">
        <v>23</v>
      </c>
      <c r="D520" s="33" t="s">
        <v>21</v>
      </c>
      <c r="E520" s="33" t="s">
        <v>24</v>
      </c>
      <c r="F520" s="33">
        <v>28</v>
      </c>
      <c r="G520" s="36">
        <v>470</v>
      </c>
    </row>
    <row r="521" spans="1:7" ht="18.75" x14ac:dyDescent="0.3">
      <c r="A521" s="36">
        <v>2581</v>
      </c>
      <c r="B521" s="33">
        <v>2304</v>
      </c>
      <c r="C521" s="33" t="s">
        <v>23</v>
      </c>
      <c r="D521" s="33" t="s">
        <v>21</v>
      </c>
      <c r="E521" s="33" t="s">
        <v>24</v>
      </c>
      <c r="F521" s="33">
        <v>42</v>
      </c>
      <c r="G521" s="36">
        <v>493.63636359999998</v>
      </c>
    </row>
    <row r="522" spans="1:7" ht="18.75" x14ac:dyDescent="0.3">
      <c r="A522" s="36">
        <v>2581</v>
      </c>
      <c r="B522" s="33">
        <v>2304</v>
      </c>
      <c r="C522" s="33" t="s">
        <v>23</v>
      </c>
      <c r="D522" s="33" t="s">
        <v>21</v>
      </c>
      <c r="E522" s="33" t="s">
        <v>24</v>
      </c>
      <c r="F522" s="33">
        <v>56</v>
      </c>
      <c r="G522" s="36">
        <v>502.27272729999999</v>
      </c>
    </row>
    <row r="523" spans="1:7" ht="18.75" x14ac:dyDescent="0.3">
      <c r="A523" s="36">
        <v>2581</v>
      </c>
      <c r="B523" s="33">
        <v>2304</v>
      </c>
      <c r="C523" s="33" t="s">
        <v>23</v>
      </c>
      <c r="D523" s="33" t="s">
        <v>21</v>
      </c>
      <c r="E523" s="33" t="s">
        <v>24</v>
      </c>
      <c r="F523" s="33">
        <v>70</v>
      </c>
      <c r="G523" s="36">
        <v>521.36363640000002</v>
      </c>
    </row>
    <row r="524" spans="1:7" ht="18.75" x14ac:dyDescent="0.3">
      <c r="A524" s="36">
        <v>2589</v>
      </c>
      <c r="B524" s="33">
        <v>2304</v>
      </c>
      <c r="C524" s="33" t="s">
        <v>14</v>
      </c>
      <c r="D524" s="33" t="s">
        <v>15</v>
      </c>
      <c r="E524" s="33" t="s">
        <v>15</v>
      </c>
      <c r="F524" s="33">
        <v>0</v>
      </c>
      <c r="G524" s="36">
        <v>461.81818179999999</v>
      </c>
    </row>
    <row r="525" spans="1:7" ht="18.75" x14ac:dyDescent="0.3">
      <c r="A525" s="36">
        <v>2589</v>
      </c>
      <c r="B525" s="33">
        <v>2304</v>
      </c>
      <c r="C525" s="33" t="s">
        <v>14</v>
      </c>
      <c r="D525" s="33" t="s">
        <v>15</v>
      </c>
      <c r="E525" s="33" t="s">
        <v>15</v>
      </c>
      <c r="F525" s="33">
        <v>14</v>
      </c>
      <c r="G525" s="36">
        <v>493.63636359999998</v>
      </c>
    </row>
    <row r="526" spans="1:7" ht="18.75" x14ac:dyDescent="0.3">
      <c r="A526" s="36">
        <v>2589</v>
      </c>
      <c r="B526" s="33">
        <v>2304</v>
      </c>
      <c r="C526" s="33" t="s">
        <v>14</v>
      </c>
      <c r="D526" s="33" t="s">
        <v>15</v>
      </c>
      <c r="E526" s="33" t="s">
        <v>15</v>
      </c>
      <c r="F526" s="33">
        <v>28</v>
      </c>
      <c r="G526" s="36">
        <v>518.63636359999998</v>
      </c>
    </row>
    <row r="527" spans="1:7" ht="18.75" x14ac:dyDescent="0.3">
      <c r="A527" s="36">
        <v>2589</v>
      </c>
      <c r="B527" s="33">
        <v>2304</v>
      </c>
      <c r="C527" s="33" t="s">
        <v>14</v>
      </c>
      <c r="D527" s="33" t="s">
        <v>15</v>
      </c>
      <c r="E527" s="33" t="s">
        <v>15</v>
      </c>
      <c r="F527" s="33">
        <v>42</v>
      </c>
      <c r="G527" s="36">
        <v>522.27272730000004</v>
      </c>
    </row>
    <row r="528" spans="1:7" ht="18.75" x14ac:dyDescent="0.3">
      <c r="A528" s="36">
        <v>2589</v>
      </c>
      <c r="B528" s="33">
        <v>2304</v>
      </c>
      <c r="C528" s="33" t="s">
        <v>14</v>
      </c>
      <c r="D528" s="33" t="s">
        <v>15</v>
      </c>
      <c r="E528" s="33" t="s">
        <v>15</v>
      </c>
      <c r="F528" s="33">
        <v>56</v>
      </c>
      <c r="G528" s="36">
        <v>561.81818180000005</v>
      </c>
    </row>
    <row r="529" spans="1:7" ht="18.75" x14ac:dyDescent="0.3">
      <c r="A529" s="36">
        <v>2589</v>
      </c>
      <c r="B529" s="33">
        <v>2304</v>
      </c>
      <c r="C529" s="33" t="s">
        <v>14</v>
      </c>
      <c r="D529" s="33" t="s">
        <v>15</v>
      </c>
      <c r="E529" s="33" t="s">
        <v>15</v>
      </c>
      <c r="F529" s="33">
        <v>70</v>
      </c>
      <c r="G529" s="36">
        <v>567.72727269999996</v>
      </c>
    </row>
    <row r="530" spans="1:7" ht="18.75" x14ac:dyDescent="0.3">
      <c r="A530" s="36">
        <v>2590</v>
      </c>
      <c r="B530" s="33">
        <v>2304</v>
      </c>
      <c r="C530" s="33" t="s">
        <v>20</v>
      </c>
      <c r="D530" s="33" t="s">
        <v>21</v>
      </c>
      <c r="E530" s="33" t="s">
        <v>15</v>
      </c>
      <c r="F530" s="33">
        <v>0</v>
      </c>
      <c r="G530" s="36">
        <v>409.09090909999998</v>
      </c>
    </row>
    <row r="531" spans="1:7" ht="18.75" x14ac:dyDescent="0.3">
      <c r="A531" s="36">
        <v>2590</v>
      </c>
      <c r="B531" s="33">
        <v>2304</v>
      </c>
      <c r="C531" s="33" t="s">
        <v>20</v>
      </c>
      <c r="D531" s="33" t="s">
        <v>21</v>
      </c>
      <c r="E531" s="33" t="s">
        <v>15</v>
      </c>
      <c r="F531" s="33">
        <v>14</v>
      </c>
      <c r="G531" s="36">
        <v>432.27272729999999</v>
      </c>
    </row>
    <row r="532" spans="1:7" ht="18.75" x14ac:dyDescent="0.3">
      <c r="A532" s="36">
        <v>2590</v>
      </c>
      <c r="B532" s="33">
        <v>2304</v>
      </c>
      <c r="C532" s="33" t="s">
        <v>20</v>
      </c>
      <c r="D532" s="33" t="s">
        <v>21</v>
      </c>
      <c r="E532" s="33" t="s">
        <v>15</v>
      </c>
      <c r="F532" s="33">
        <v>28</v>
      </c>
      <c r="G532" s="36">
        <v>466.81818179999999</v>
      </c>
    </row>
    <row r="533" spans="1:7" ht="18.75" x14ac:dyDescent="0.3">
      <c r="A533" s="36">
        <v>2590</v>
      </c>
      <c r="B533" s="33">
        <v>2304</v>
      </c>
      <c r="C533" s="33" t="s">
        <v>20</v>
      </c>
      <c r="D533" s="33" t="s">
        <v>21</v>
      </c>
      <c r="E533" s="33" t="s">
        <v>15</v>
      </c>
      <c r="F533" s="33">
        <v>42</v>
      </c>
      <c r="G533" s="36">
        <v>484.09090909999998</v>
      </c>
    </row>
    <row r="534" spans="1:7" ht="18.75" x14ac:dyDescent="0.3">
      <c r="A534" s="36">
        <v>2590</v>
      </c>
      <c r="B534" s="33">
        <v>2304</v>
      </c>
      <c r="C534" s="33" t="s">
        <v>20</v>
      </c>
      <c r="D534" s="33" t="s">
        <v>21</v>
      </c>
      <c r="E534" s="33" t="s">
        <v>15</v>
      </c>
      <c r="F534" s="33">
        <v>56</v>
      </c>
      <c r="G534" s="36">
        <v>492.27272729999999</v>
      </c>
    </row>
    <row r="535" spans="1:7" ht="18.75" x14ac:dyDescent="0.3">
      <c r="A535" s="36">
        <v>2590</v>
      </c>
      <c r="B535" s="33">
        <v>2304</v>
      </c>
      <c r="C535" s="33" t="s">
        <v>20</v>
      </c>
      <c r="D535" s="33" t="s">
        <v>21</v>
      </c>
      <c r="E535" s="33" t="s">
        <v>15</v>
      </c>
      <c r="F535" s="33">
        <v>70</v>
      </c>
      <c r="G535" s="36">
        <v>501.36363640000002</v>
      </c>
    </row>
    <row r="536" spans="1:7" ht="18.75" x14ac:dyDescent="0.3">
      <c r="A536" s="36">
        <v>2591</v>
      </c>
      <c r="B536" s="33">
        <v>2304</v>
      </c>
      <c r="C536" s="33" t="s">
        <v>27</v>
      </c>
      <c r="D536" s="33" t="s">
        <v>15</v>
      </c>
      <c r="E536" s="33" t="s">
        <v>24</v>
      </c>
      <c r="F536" s="33">
        <v>0</v>
      </c>
      <c r="G536" s="36">
        <v>500</v>
      </c>
    </row>
    <row r="537" spans="1:7" ht="18.75" x14ac:dyDescent="0.3">
      <c r="A537" s="36">
        <v>2591</v>
      </c>
      <c r="B537" s="33">
        <v>2304</v>
      </c>
      <c r="C537" s="33" t="s">
        <v>27</v>
      </c>
      <c r="D537" s="33" t="s">
        <v>15</v>
      </c>
      <c r="E537" s="33" t="s">
        <v>24</v>
      </c>
      <c r="F537" s="33">
        <v>14</v>
      </c>
      <c r="G537" s="36">
        <v>528.63636359999998</v>
      </c>
    </row>
    <row r="538" spans="1:7" ht="18.75" x14ac:dyDescent="0.3">
      <c r="A538" s="36">
        <v>2591</v>
      </c>
      <c r="B538" s="33">
        <v>2304</v>
      </c>
      <c r="C538" s="33" t="s">
        <v>27</v>
      </c>
      <c r="D538" s="33" t="s">
        <v>15</v>
      </c>
      <c r="E538" s="33" t="s">
        <v>24</v>
      </c>
      <c r="F538" s="33">
        <v>28</v>
      </c>
      <c r="G538" s="36">
        <v>545</v>
      </c>
    </row>
    <row r="539" spans="1:7" ht="18.75" x14ac:dyDescent="0.3">
      <c r="A539" s="36">
        <v>2591</v>
      </c>
      <c r="B539" s="33">
        <v>2304</v>
      </c>
      <c r="C539" s="33" t="s">
        <v>27</v>
      </c>
      <c r="D539" s="33" t="s">
        <v>15</v>
      </c>
      <c r="E539" s="33" t="s">
        <v>24</v>
      </c>
      <c r="F539" s="33">
        <v>42</v>
      </c>
      <c r="G539" s="36">
        <v>566.36363640000002</v>
      </c>
    </row>
    <row r="540" spans="1:7" ht="18.75" x14ac:dyDescent="0.3">
      <c r="A540" s="36">
        <v>2591</v>
      </c>
      <c r="B540" s="33">
        <v>2304</v>
      </c>
      <c r="C540" s="33" t="s">
        <v>27</v>
      </c>
      <c r="D540" s="33" t="s">
        <v>15</v>
      </c>
      <c r="E540" s="33" t="s">
        <v>24</v>
      </c>
      <c r="F540" s="33">
        <v>56</v>
      </c>
      <c r="G540" s="36">
        <v>638.18181819999995</v>
      </c>
    </row>
    <row r="541" spans="1:7" ht="18.75" x14ac:dyDescent="0.3">
      <c r="A541" s="36">
        <v>2591</v>
      </c>
      <c r="B541" s="33">
        <v>2304</v>
      </c>
      <c r="C541" s="33" t="s">
        <v>27</v>
      </c>
      <c r="D541" s="33" t="s">
        <v>15</v>
      </c>
      <c r="E541" s="33" t="s">
        <v>24</v>
      </c>
      <c r="F541" s="33">
        <v>70</v>
      </c>
      <c r="G541" s="36">
        <v>638.63636359999998</v>
      </c>
    </row>
    <row r="542" spans="1:7" ht="18.75" x14ac:dyDescent="0.3">
      <c r="A542" s="36">
        <v>2592</v>
      </c>
      <c r="B542" s="33">
        <v>2304</v>
      </c>
      <c r="C542" s="33" t="s">
        <v>20</v>
      </c>
      <c r="D542" s="33" t="s">
        <v>21</v>
      </c>
      <c r="E542" s="33" t="s">
        <v>15</v>
      </c>
      <c r="F542" s="33">
        <v>0</v>
      </c>
      <c r="G542" s="36">
        <v>419.54545450000001</v>
      </c>
    </row>
    <row r="543" spans="1:7" ht="18.75" x14ac:dyDescent="0.3">
      <c r="A543" s="36">
        <v>2592</v>
      </c>
      <c r="B543" s="33">
        <v>2304</v>
      </c>
      <c r="C543" s="33" t="s">
        <v>20</v>
      </c>
      <c r="D543" s="33" t="s">
        <v>21</v>
      </c>
      <c r="E543" s="33" t="s">
        <v>15</v>
      </c>
      <c r="F543" s="33">
        <v>14</v>
      </c>
      <c r="G543" s="36">
        <v>453.18181820000001</v>
      </c>
    </row>
    <row r="544" spans="1:7" ht="18.75" x14ac:dyDescent="0.3">
      <c r="A544" s="36">
        <v>2592</v>
      </c>
      <c r="B544" s="33">
        <v>2304</v>
      </c>
      <c r="C544" s="33" t="s">
        <v>20</v>
      </c>
      <c r="D544" s="33" t="s">
        <v>21</v>
      </c>
      <c r="E544" s="33" t="s">
        <v>15</v>
      </c>
      <c r="F544" s="33">
        <v>28</v>
      </c>
      <c r="G544" s="36">
        <v>472.27272729999999</v>
      </c>
    </row>
    <row r="545" spans="1:7" ht="18.75" x14ac:dyDescent="0.3">
      <c r="A545" s="36">
        <v>2592</v>
      </c>
      <c r="B545" s="33">
        <v>2304</v>
      </c>
      <c r="C545" s="33" t="s">
        <v>20</v>
      </c>
      <c r="D545" s="33" t="s">
        <v>21</v>
      </c>
      <c r="E545" s="33" t="s">
        <v>15</v>
      </c>
      <c r="F545" s="33">
        <v>42</v>
      </c>
      <c r="G545" s="36">
        <v>496.81818179999999</v>
      </c>
    </row>
    <row r="546" spans="1:7" ht="18.75" x14ac:dyDescent="0.3">
      <c r="A546" s="36">
        <v>2592</v>
      </c>
      <c r="B546" s="33">
        <v>2304</v>
      </c>
      <c r="C546" s="33" t="s">
        <v>20</v>
      </c>
      <c r="D546" s="33" t="s">
        <v>21</v>
      </c>
      <c r="E546" s="33" t="s">
        <v>15</v>
      </c>
      <c r="F546" s="33">
        <v>56</v>
      </c>
      <c r="G546" s="36">
        <v>546.81818180000005</v>
      </c>
    </row>
    <row r="547" spans="1:7" ht="18.75" x14ac:dyDescent="0.3">
      <c r="A547" s="36">
        <v>2592</v>
      </c>
      <c r="B547" s="33">
        <v>2304</v>
      </c>
      <c r="C547" s="33" t="s">
        <v>20</v>
      </c>
      <c r="D547" s="33" t="s">
        <v>21</v>
      </c>
      <c r="E547" s="33" t="s">
        <v>15</v>
      </c>
      <c r="F547" s="33">
        <v>70</v>
      </c>
      <c r="G547" s="36">
        <v>556.36363640000002</v>
      </c>
    </row>
    <row r="548" spans="1:7" ht="18.75" x14ac:dyDescent="0.3">
      <c r="A548" s="36">
        <v>2593</v>
      </c>
      <c r="B548" s="33">
        <v>2304</v>
      </c>
      <c r="C548" s="33" t="s">
        <v>20</v>
      </c>
      <c r="D548" s="33" t="s">
        <v>21</v>
      </c>
      <c r="E548" s="33" t="s">
        <v>15</v>
      </c>
      <c r="F548" s="33">
        <v>0</v>
      </c>
      <c r="G548" s="36">
        <v>432.27272729999999</v>
      </c>
    </row>
    <row r="549" spans="1:7" ht="18.75" x14ac:dyDescent="0.3">
      <c r="A549" s="36">
        <v>2593</v>
      </c>
      <c r="B549" s="33">
        <v>2304</v>
      </c>
      <c r="C549" s="33" t="s">
        <v>20</v>
      </c>
      <c r="D549" s="33" t="s">
        <v>21</v>
      </c>
      <c r="E549" s="33" t="s">
        <v>15</v>
      </c>
      <c r="F549" s="33">
        <v>14</v>
      </c>
      <c r="G549" s="36">
        <v>465.90909090000002</v>
      </c>
    </row>
    <row r="550" spans="1:7" ht="18.75" x14ac:dyDescent="0.3">
      <c r="A550" s="36">
        <v>2593</v>
      </c>
      <c r="B550" s="33">
        <v>2304</v>
      </c>
      <c r="C550" s="33" t="s">
        <v>20</v>
      </c>
      <c r="D550" s="33" t="s">
        <v>21</v>
      </c>
      <c r="E550" s="33" t="s">
        <v>15</v>
      </c>
      <c r="F550" s="33">
        <v>28</v>
      </c>
      <c r="G550" s="36">
        <v>476.36363640000002</v>
      </c>
    </row>
    <row r="551" spans="1:7" ht="18.75" x14ac:dyDescent="0.3">
      <c r="A551" s="36">
        <v>2593</v>
      </c>
      <c r="B551" s="33">
        <v>2304</v>
      </c>
      <c r="C551" s="33" t="s">
        <v>20</v>
      </c>
      <c r="D551" s="33" t="s">
        <v>21</v>
      </c>
      <c r="E551" s="33" t="s">
        <v>15</v>
      </c>
      <c r="F551" s="33">
        <v>42</v>
      </c>
      <c r="G551" s="36">
        <v>486.81818179999999</v>
      </c>
    </row>
    <row r="552" spans="1:7" ht="18.75" x14ac:dyDescent="0.3">
      <c r="A552" s="36">
        <v>2593</v>
      </c>
      <c r="B552" s="33">
        <v>2304</v>
      </c>
      <c r="C552" s="33" t="s">
        <v>20</v>
      </c>
      <c r="D552" s="33" t="s">
        <v>21</v>
      </c>
      <c r="E552" s="33" t="s">
        <v>15</v>
      </c>
      <c r="F552" s="33">
        <v>56</v>
      </c>
      <c r="G552" s="36">
        <v>501.36363640000002</v>
      </c>
    </row>
    <row r="553" spans="1:7" ht="18.75" x14ac:dyDescent="0.3">
      <c r="A553" s="36">
        <v>2593</v>
      </c>
      <c r="B553" s="33">
        <v>2304</v>
      </c>
      <c r="C553" s="33" t="s">
        <v>20</v>
      </c>
      <c r="D553" s="33" t="s">
        <v>21</v>
      </c>
      <c r="E553" s="33" t="s">
        <v>15</v>
      </c>
      <c r="F553" s="33">
        <v>70</v>
      </c>
      <c r="G553" s="36">
        <v>539.54545450000001</v>
      </c>
    </row>
    <row r="554" spans="1:7" ht="18.75" x14ac:dyDescent="0.3">
      <c r="A554" s="36">
        <v>2595</v>
      </c>
      <c r="B554" s="33">
        <v>2304</v>
      </c>
      <c r="C554" s="33" t="s">
        <v>20</v>
      </c>
      <c r="D554" s="33" t="s">
        <v>21</v>
      </c>
      <c r="E554" s="33" t="s">
        <v>15</v>
      </c>
      <c r="F554" s="33">
        <v>0</v>
      </c>
      <c r="G554" s="36">
        <v>395</v>
      </c>
    </row>
    <row r="555" spans="1:7" ht="18.75" x14ac:dyDescent="0.3">
      <c r="A555" s="36">
        <v>2595</v>
      </c>
      <c r="B555" s="33">
        <v>2304</v>
      </c>
      <c r="C555" s="33" t="s">
        <v>20</v>
      </c>
      <c r="D555" s="33" t="s">
        <v>21</v>
      </c>
      <c r="E555" s="33" t="s">
        <v>15</v>
      </c>
      <c r="F555" s="33">
        <v>14</v>
      </c>
      <c r="G555" s="36">
        <v>405</v>
      </c>
    </row>
    <row r="556" spans="1:7" ht="18.75" x14ac:dyDescent="0.3">
      <c r="A556" s="36">
        <v>2595</v>
      </c>
      <c r="B556" s="33">
        <v>2304</v>
      </c>
      <c r="C556" s="33" t="s">
        <v>20</v>
      </c>
      <c r="D556" s="33" t="s">
        <v>21</v>
      </c>
      <c r="E556" s="33" t="s">
        <v>15</v>
      </c>
      <c r="F556" s="33">
        <v>28</v>
      </c>
      <c r="G556" s="36">
        <v>431.81818179999999</v>
      </c>
    </row>
    <row r="557" spans="1:7" ht="18.75" x14ac:dyDescent="0.3">
      <c r="A557" s="36">
        <v>2595</v>
      </c>
      <c r="B557" s="33">
        <v>2304</v>
      </c>
      <c r="C557" s="33" t="s">
        <v>20</v>
      </c>
      <c r="D557" s="33" t="s">
        <v>21</v>
      </c>
      <c r="E557" s="33" t="s">
        <v>15</v>
      </c>
      <c r="F557" s="33">
        <v>42</v>
      </c>
      <c r="G557" s="36">
        <v>435</v>
      </c>
    </row>
    <row r="558" spans="1:7" ht="18.75" x14ac:dyDescent="0.3">
      <c r="A558" s="36">
        <v>2595</v>
      </c>
      <c r="B558" s="33">
        <v>2304</v>
      </c>
      <c r="C558" s="33" t="s">
        <v>20</v>
      </c>
      <c r="D558" s="33" t="s">
        <v>21</v>
      </c>
      <c r="E558" s="33" t="s">
        <v>15</v>
      </c>
      <c r="F558" s="33">
        <v>56</v>
      </c>
      <c r="G558" s="36">
        <v>457.27272729999999</v>
      </c>
    </row>
    <row r="559" spans="1:7" ht="18.75" x14ac:dyDescent="0.3">
      <c r="A559" s="36">
        <v>2595</v>
      </c>
      <c r="B559" s="33">
        <v>2304</v>
      </c>
      <c r="C559" s="33" t="s">
        <v>20</v>
      </c>
      <c r="D559" s="33" t="s">
        <v>21</v>
      </c>
      <c r="E559" s="33" t="s">
        <v>15</v>
      </c>
      <c r="F559" s="33">
        <v>70</v>
      </c>
      <c r="G559" s="36">
        <v>498.63636359999998</v>
      </c>
    </row>
    <row r="560" spans="1:7" ht="18.75" x14ac:dyDescent="0.3">
      <c r="A560" s="36">
        <v>2598</v>
      </c>
      <c r="B560" s="33">
        <v>2304</v>
      </c>
      <c r="C560" s="33" t="s">
        <v>20</v>
      </c>
      <c r="D560" s="33" t="s">
        <v>21</v>
      </c>
      <c r="E560" s="33" t="s">
        <v>15</v>
      </c>
      <c r="F560" s="33">
        <v>0</v>
      </c>
      <c r="G560" s="36">
        <v>356.81818179999999</v>
      </c>
    </row>
    <row r="561" spans="1:7" ht="18.75" x14ac:dyDescent="0.3">
      <c r="A561" s="36">
        <v>2598</v>
      </c>
      <c r="B561" s="33">
        <v>2304</v>
      </c>
      <c r="C561" s="33" t="s">
        <v>20</v>
      </c>
      <c r="D561" s="33" t="s">
        <v>21</v>
      </c>
      <c r="E561" s="33" t="s">
        <v>15</v>
      </c>
      <c r="F561" s="33">
        <v>14</v>
      </c>
      <c r="G561" s="36">
        <v>374.09090909999998</v>
      </c>
    </row>
    <row r="562" spans="1:7" ht="18.75" x14ac:dyDescent="0.3">
      <c r="A562" s="36">
        <v>2598</v>
      </c>
      <c r="B562" s="33">
        <v>2304</v>
      </c>
      <c r="C562" s="33" t="s">
        <v>20</v>
      </c>
      <c r="D562" s="33" t="s">
        <v>21</v>
      </c>
      <c r="E562" s="33" t="s">
        <v>15</v>
      </c>
      <c r="F562" s="33">
        <v>28</v>
      </c>
      <c r="G562" s="36">
        <v>393.63636359999998</v>
      </c>
    </row>
    <row r="563" spans="1:7" ht="18.75" x14ac:dyDescent="0.3">
      <c r="A563" s="36">
        <v>2598</v>
      </c>
      <c r="B563" s="33">
        <v>2304</v>
      </c>
      <c r="C563" s="33" t="s">
        <v>20</v>
      </c>
      <c r="D563" s="33" t="s">
        <v>21</v>
      </c>
      <c r="E563" s="33" t="s">
        <v>15</v>
      </c>
      <c r="F563" s="33">
        <v>42</v>
      </c>
      <c r="G563" s="36">
        <v>404.54545450000001</v>
      </c>
    </row>
    <row r="564" spans="1:7" ht="18.75" x14ac:dyDescent="0.3">
      <c r="A564" s="36">
        <v>2598</v>
      </c>
      <c r="B564" s="33">
        <v>2304</v>
      </c>
      <c r="C564" s="33" t="s">
        <v>20</v>
      </c>
      <c r="D564" s="33" t="s">
        <v>21</v>
      </c>
      <c r="E564" s="33" t="s">
        <v>15</v>
      </c>
      <c r="F564" s="33">
        <v>56</v>
      </c>
      <c r="G564" s="36">
        <v>430</v>
      </c>
    </row>
    <row r="565" spans="1:7" ht="18.75" x14ac:dyDescent="0.3">
      <c r="A565" s="36">
        <v>2598</v>
      </c>
      <c r="B565" s="33">
        <v>2304</v>
      </c>
      <c r="C565" s="33" t="s">
        <v>20</v>
      </c>
      <c r="D565" s="33" t="s">
        <v>21</v>
      </c>
      <c r="E565" s="33" t="s">
        <v>15</v>
      </c>
      <c r="F565" s="33">
        <v>70</v>
      </c>
      <c r="G565" s="36">
        <v>442.27272729999999</v>
      </c>
    </row>
    <row r="566" spans="1:7" ht="18.75" x14ac:dyDescent="0.3">
      <c r="A566" s="36">
        <v>2609</v>
      </c>
      <c r="B566" s="33">
        <v>2304</v>
      </c>
      <c r="C566" s="33" t="s">
        <v>20</v>
      </c>
      <c r="D566" s="33" t="s">
        <v>21</v>
      </c>
      <c r="E566" s="33" t="s">
        <v>15</v>
      </c>
      <c r="F566" s="33">
        <v>0</v>
      </c>
      <c r="G566" s="36">
        <v>426.36363640000002</v>
      </c>
    </row>
    <row r="567" spans="1:7" ht="18.75" x14ac:dyDescent="0.3">
      <c r="A567" s="36">
        <v>2609</v>
      </c>
      <c r="B567" s="33">
        <v>2304</v>
      </c>
      <c r="C567" s="33" t="s">
        <v>20</v>
      </c>
      <c r="D567" s="33" t="s">
        <v>21</v>
      </c>
      <c r="E567" s="33" t="s">
        <v>15</v>
      </c>
      <c r="F567" s="33">
        <v>14</v>
      </c>
      <c r="G567" s="36">
        <v>471.81818179999999</v>
      </c>
    </row>
    <row r="568" spans="1:7" ht="18.75" x14ac:dyDescent="0.3">
      <c r="A568" s="36">
        <v>2609</v>
      </c>
      <c r="B568" s="33">
        <v>2304</v>
      </c>
      <c r="C568" s="33" t="s">
        <v>20</v>
      </c>
      <c r="D568" s="33" t="s">
        <v>21</v>
      </c>
      <c r="E568" s="33" t="s">
        <v>15</v>
      </c>
      <c r="F568" s="33">
        <v>28</v>
      </c>
      <c r="G568" s="36">
        <v>489.54545450000001</v>
      </c>
    </row>
    <row r="569" spans="1:7" ht="18.75" x14ac:dyDescent="0.3">
      <c r="A569" s="36">
        <v>2609</v>
      </c>
      <c r="B569" s="33">
        <v>2304</v>
      </c>
      <c r="C569" s="33" t="s">
        <v>20</v>
      </c>
      <c r="D569" s="33" t="s">
        <v>21</v>
      </c>
      <c r="E569" s="33" t="s">
        <v>15</v>
      </c>
      <c r="F569" s="33">
        <v>42</v>
      </c>
      <c r="G569" s="36">
        <v>504.54545450000001</v>
      </c>
    </row>
    <row r="570" spans="1:7" ht="18.75" x14ac:dyDescent="0.3">
      <c r="A570" s="36">
        <v>2609</v>
      </c>
      <c r="B570" s="33">
        <v>2304</v>
      </c>
      <c r="C570" s="33" t="s">
        <v>20</v>
      </c>
      <c r="D570" s="33" t="s">
        <v>21</v>
      </c>
      <c r="E570" s="33" t="s">
        <v>15</v>
      </c>
      <c r="F570" s="33">
        <v>56</v>
      </c>
      <c r="G570" s="36">
        <v>520.45454549999999</v>
      </c>
    </row>
    <row r="571" spans="1:7" ht="18.75" x14ac:dyDescent="0.3">
      <c r="A571" s="36">
        <v>2609</v>
      </c>
      <c r="B571" s="33">
        <v>2304</v>
      </c>
      <c r="C571" s="33" t="s">
        <v>20</v>
      </c>
      <c r="D571" s="33" t="s">
        <v>21</v>
      </c>
      <c r="E571" s="33" t="s">
        <v>15</v>
      </c>
      <c r="F571" s="33">
        <v>70</v>
      </c>
      <c r="G571" s="36">
        <v>563.63636359999998</v>
      </c>
    </row>
    <row r="572" spans="1:7" ht="18.75" x14ac:dyDescent="0.3">
      <c r="A572" s="36">
        <v>2615</v>
      </c>
      <c r="B572" s="33">
        <v>2304</v>
      </c>
      <c r="C572" s="33" t="s">
        <v>14</v>
      </c>
      <c r="D572" s="33" t="s">
        <v>15</v>
      </c>
      <c r="E572" s="33" t="s">
        <v>15</v>
      </c>
      <c r="F572" s="33">
        <v>0</v>
      </c>
      <c r="G572" s="36">
        <v>450.90909090000002</v>
      </c>
    </row>
    <row r="573" spans="1:7" ht="18.75" x14ac:dyDescent="0.3">
      <c r="A573" s="36">
        <v>2615</v>
      </c>
      <c r="B573" s="33">
        <v>2304</v>
      </c>
      <c r="C573" s="33" t="s">
        <v>14</v>
      </c>
      <c r="D573" s="33" t="s">
        <v>15</v>
      </c>
      <c r="E573" s="33" t="s">
        <v>15</v>
      </c>
      <c r="F573" s="33">
        <v>14</v>
      </c>
      <c r="G573" s="36">
        <v>482.72727270000001</v>
      </c>
    </row>
    <row r="574" spans="1:7" ht="18.75" x14ac:dyDescent="0.3">
      <c r="A574" s="36">
        <v>2615</v>
      </c>
      <c r="B574" s="33">
        <v>2304</v>
      </c>
      <c r="C574" s="33" t="s">
        <v>14</v>
      </c>
      <c r="D574" s="33" t="s">
        <v>15</v>
      </c>
      <c r="E574" s="33" t="s">
        <v>15</v>
      </c>
      <c r="F574" s="33">
        <v>28</v>
      </c>
      <c r="G574" s="36">
        <v>495.45454549999999</v>
      </c>
    </row>
    <row r="575" spans="1:7" ht="18.75" x14ac:dyDescent="0.3">
      <c r="A575" s="36">
        <v>2615</v>
      </c>
      <c r="B575" s="33">
        <v>2304</v>
      </c>
      <c r="C575" s="33" t="s">
        <v>14</v>
      </c>
      <c r="D575" s="33" t="s">
        <v>15</v>
      </c>
      <c r="E575" s="33" t="s">
        <v>15</v>
      </c>
      <c r="F575" s="33">
        <v>42</v>
      </c>
      <c r="G575" s="36">
        <v>530.45454549999999</v>
      </c>
    </row>
    <row r="576" spans="1:7" ht="18.75" x14ac:dyDescent="0.3">
      <c r="A576" s="36">
        <v>2615</v>
      </c>
      <c r="B576" s="33">
        <v>2304</v>
      </c>
      <c r="C576" s="33" t="s">
        <v>14</v>
      </c>
      <c r="D576" s="33" t="s">
        <v>15</v>
      </c>
      <c r="E576" s="33" t="s">
        <v>15</v>
      </c>
      <c r="F576" s="33">
        <v>56</v>
      </c>
      <c r="G576" s="36">
        <v>542.72727269999996</v>
      </c>
    </row>
    <row r="577" spans="1:7" ht="18.75" x14ac:dyDescent="0.3">
      <c r="A577" s="36">
        <v>2615</v>
      </c>
      <c r="B577" s="33">
        <v>2304</v>
      </c>
      <c r="C577" s="33" t="s">
        <v>14</v>
      </c>
      <c r="D577" s="33" t="s">
        <v>15</v>
      </c>
      <c r="E577" s="33" t="s">
        <v>15</v>
      </c>
      <c r="F577" s="33">
        <v>70</v>
      </c>
      <c r="G577" s="36">
        <v>554.54545450000001</v>
      </c>
    </row>
    <row r="578" spans="1:7" ht="18.75" x14ac:dyDescent="0.3">
      <c r="A578" s="36">
        <v>2618</v>
      </c>
      <c r="B578" s="33">
        <v>2304</v>
      </c>
      <c r="C578" s="33" t="s">
        <v>14</v>
      </c>
      <c r="D578" s="33" t="s">
        <v>15</v>
      </c>
      <c r="E578" s="33" t="s">
        <v>15</v>
      </c>
      <c r="F578" s="33">
        <v>0</v>
      </c>
      <c r="G578" s="36">
        <v>450</v>
      </c>
    </row>
    <row r="579" spans="1:7" ht="18.75" x14ac:dyDescent="0.3">
      <c r="A579" s="36">
        <v>2618</v>
      </c>
      <c r="B579" s="33">
        <v>2304</v>
      </c>
      <c r="C579" s="33" t="s">
        <v>14</v>
      </c>
      <c r="D579" s="33" t="s">
        <v>15</v>
      </c>
      <c r="E579" s="33" t="s">
        <v>15</v>
      </c>
      <c r="F579" s="33">
        <v>14</v>
      </c>
      <c r="G579" s="36">
        <v>479.54545450000001</v>
      </c>
    </row>
    <row r="580" spans="1:7" ht="18.75" x14ac:dyDescent="0.3">
      <c r="A580" s="36">
        <v>2618</v>
      </c>
      <c r="B580" s="33">
        <v>2304</v>
      </c>
      <c r="C580" s="33" t="s">
        <v>14</v>
      </c>
      <c r="D580" s="33" t="s">
        <v>15</v>
      </c>
      <c r="E580" s="33" t="s">
        <v>15</v>
      </c>
      <c r="F580" s="33">
        <v>28</v>
      </c>
      <c r="G580" s="36">
        <v>509.09090909999998</v>
      </c>
    </row>
    <row r="581" spans="1:7" ht="18.75" x14ac:dyDescent="0.3">
      <c r="A581" s="36">
        <v>2618</v>
      </c>
      <c r="B581" s="33">
        <v>2304</v>
      </c>
      <c r="C581" s="33" t="s">
        <v>14</v>
      </c>
      <c r="D581" s="33" t="s">
        <v>15</v>
      </c>
      <c r="E581" s="33" t="s">
        <v>15</v>
      </c>
      <c r="F581" s="33">
        <v>42</v>
      </c>
      <c r="G581" s="36">
        <v>517.72727269999996</v>
      </c>
    </row>
    <row r="582" spans="1:7" ht="18.75" x14ac:dyDescent="0.3">
      <c r="A582" s="36">
        <v>2618</v>
      </c>
      <c r="B582" s="33">
        <v>2304</v>
      </c>
      <c r="C582" s="33" t="s">
        <v>14</v>
      </c>
      <c r="D582" s="33" t="s">
        <v>15</v>
      </c>
      <c r="E582" s="33" t="s">
        <v>15</v>
      </c>
      <c r="F582" s="33">
        <v>56</v>
      </c>
      <c r="G582" s="36">
        <v>518.63636359999998</v>
      </c>
    </row>
    <row r="583" spans="1:7" ht="18.75" x14ac:dyDescent="0.3">
      <c r="A583" s="36">
        <v>2618</v>
      </c>
      <c r="B583" s="33">
        <v>2304</v>
      </c>
      <c r="C583" s="33" t="s">
        <v>14</v>
      </c>
      <c r="D583" s="33" t="s">
        <v>15</v>
      </c>
      <c r="E583" s="33" t="s">
        <v>15</v>
      </c>
      <c r="F583" s="33">
        <v>70</v>
      </c>
      <c r="G583" s="36">
        <v>573.63636359999998</v>
      </c>
    </row>
    <row r="584" spans="1:7" ht="18.75" x14ac:dyDescent="0.3">
      <c r="A584" s="36">
        <v>2620</v>
      </c>
      <c r="B584" s="33">
        <v>2304</v>
      </c>
      <c r="C584" s="33" t="s">
        <v>20</v>
      </c>
      <c r="D584" s="33" t="s">
        <v>21</v>
      </c>
      <c r="E584" s="33" t="s">
        <v>15</v>
      </c>
      <c r="F584" s="33">
        <v>0</v>
      </c>
      <c r="G584" s="36">
        <v>433.18181820000001</v>
      </c>
    </row>
    <row r="585" spans="1:7" ht="18.75" x14ac:dyDescent="0.3">
      <c r="A585" s="36">
        <v>2620</v>
      </c>
      <c r="B585" s="33">
        <v>2304</v>
      </c>
      <c r="C585" s="33" t="s">
        <v>20</v>
      </c>
      <c r="D585" s="33" t="s">
        <v>21</v>
      </c>
      <c r="E585" s="33" t="s">
        <v>15</v>
      </c>
      <c r="F585" s="33">
        <v>14</v>
      </c>
      <c r="G585" s="36">
        <v>463.63636359999998</v>
      </c>
    </row>
    <row r="586" spans="1:7" ht="18.75" x14ac:dyDescent="0.3">
      <c r="A586" s="36">
        <v>2620</v>
      </c>
      <c r="B586" s="33">
        <v>2304</v>
      </c>
      <c r="C586" s="33" t="s">
        <v>20</v>
      </c>
      <c r="D586" s="33" t="s">
        <v>21</v>
      </c>
      <c r="E586" s="33" t="s">
        <v>15</v>
      </c>
      <c r="F586" s="33">
        <v>28</v>
      </c>
      <c r="G586" s="36">
        <v>478.63636359999998</v>
      </c>
    </row>
    <row r="587" spans="1:7" ht="18.75" x14ac:dyDescent="0.3">
      <c r="A587" s="36">
        <v>2620</v>
      </c>
      <c r="B587" s="33">
        <v>2304</v>
      </c>
      <c r="C587" s="33" t="s">
        <v>20</v>
      </c>
      <c r="D587" s="33" t="s">
        <v>21</v>
      </c>
      <c r="E587" s="33" t="s">
        <v>15</v>
      </c>
      <c r="F587" s="33">
        <v>42</v>
      </c>
      <c r="G587" s="36">
        <v>506.36363640000002</v>
      </c>
    </row>
    <row r="588" spans="1:7" ht="18.75" x14ac:dyDescent="0.3">
      <c r="A588" s="36">
        <v>2620</v>
      </c>
      <c r="B588" s="33">
        <v>2304</v>
      </c>
      <c r="C588" s="33" t="s">
        <v>20</v>
      </c>
      <c r="D588" s="33" t="s">
        <v>21</v>
      </c>
      <c r="E588" s="33" t="s">
        <v>15</v>
      </c>
      <c r="F588" s="33">
        <v>56</v>
      </c>
      <c r="G588" s="36">
        <v>495.45454549999999</v>
      </c>
    </row>
    <row r="589" spans="1:7" ht="18.75" x14ac:dyDescent="0.3">
      <c r="A589" s="36">
        <v>2620</v>
      </c>
      <c r="B589" s="33">
        <v>2304</v>
      </c>
      <c r="C589" s="33" t="s">
        <v>20</v>
      </c>
      <c r="D589" s="33" t="s">
        <v>21</v>
      </c>
      <c r="E589" s="33" t="s">
        <v>15</v>
      </c>
      <c r="F589" s="33">
        <v>70</v>
      </c>
      <c r="G589" s="36">
        <v>539.09090909999998</v>
      </c>
    </row>
    <row r="590" spans="1:7" ht="18.75" x14ac:dyDescent="0.3">
      <c r="A590" s="36">
        <v>2624</v>
      </c>
      <c r="B590" s="33">
        <v>2304</v>
      </c>
      <c r="C590" s="33" t="s">
        <v>20</v>
      </c>
      <c r="D590" s="33" t="s">
        <v>21</v>
      </c>
      <c r="E590" s="33" t="s">
        <v>15</v>
      </c>
      <c r="F590" s="33">
        <v>0</v>
      </c>
      <c r="G590" s="36">
        <v>397.27272729999999</v>
      </c>
    </row>
    <row r="591" spans="1:7" ht="18.75" x14ac:dyDescent="0.3">
      <c r="A591" s="36">
        <v>2624</v>
      </c>
      <c r="B591" s="33">
        <v>2304</v>
      </c>
      <c r="C591" s="33" t="s">
        <v>20</v>
      </c>
      <c r="D591" s="33" t="s">
        <v>21</v>
      </c>
      <c r="E591" s="33" t="s">
        <v>15</v>
      </c>
      <c r="F591" s="33">
        <v>14</v>
      </c>
      <c r="G591" s="36">
        <v>429.09090909999998</v>
      </c>
    </row>
    <row r="592" spans="1:7" ht="18.75" x14ac:dyDescent="0.3">
      <c r="A592" s="36">
        <v>2624</v>
      </c>
      <c r="B592" s="33">
        <v>2304</v>
      </c>
      <c r="C592" s="33" t="s">
        <v>20</v>
      </c>
      <c r="D592" s="33" t="s">
        <v>21</v>
      </c>
      <c r="E592" s="33" t="s">
        <v>15</v>
      </c>
      <c r="F592" s="33">
        <v>28</v>
      </c>
      <c r="G592" s="36">
        <v>442.72727270000001</v>
      </c>
    </row>
    <row r="593" spans="1:7" ht="18.75" x14ac:dyDescent="0.3">
      <c r="A593" s="36">
        <v>2624</v>
      </c>
      <c r="B593" s="33">
        <v>2304</v>
      </c>
      <c r="C593" s="33" t="s">
        <v>20</v>
      </c>
      <c r="D593" s="33" t="s">
        <v>21</v>
      </c>
      <c r="E593" s="33" t="s">
        <v>15</v>
      </c>
      <c r="F593" s="33">
        <v>42</v>
      </c>
      <c r="G593" s="36">
        <v>456.81818179999999</v>
      </c>
    </row>
    <row r="594" spans="1:7" ht="18.75" x14ac:dyDescent="0.3">
      <c r="A594" s="36">
        <v>2624</v>
      </c>
      <c r="B594" s="33">
        <v>2304</v>
      </c>
      <c r="C594" s="33" t="s">
        <v>20</v>
      </c>
      <c r="D594" s="33" t="s">
        <v>21</v>
      </c>
      <c r="E594" s="33" t="s">
        <v>15</v>
      </c>
      <c r="F594" s="33">
        <v>56</v>
      </c>
      <c r="G594" s="36">
        <v>483.18181820000001</v>
      </c>
    </row>
    <row r="595" spans="1:7" ht="18.75" x14ac:dyDescent="0.3">
      <c r="A595" s="36">
        <v>2624</v>
      </c>
      <c r="B595" s="33">
        <v>2304</v>
      </c>
      <c r="C595" s="33" t="s">
        <v>20</v>
      </c>
      <c r="D595" s="33" t="s">
        <v>21</v>
      </c>
      <c r="E595" s="33" t="s">
        <v>15</v>
      </c>
      <c r="F595" s="33">
        <v>70</v>
      </c>
      <c r="G595" s="36">
        <v>503.18181820000001</v>
      </c>
    </row>
    <row r="596" spans="1:7" ht="18.75" x14ac:dyDescent="0.3">
      <c r="A596" s="36">
        <v>2626</v>
      </c>
      <c r="B596" s="33">
        <v>2304</v>
      </c>
      <c r="C596" s="33" t="s">
        <v>20</v>
      </c>
      <c r="D596" s="33" t="s">
        <v>21</v>
      </c>
      <c r="E596" s="33" t="s">
        <v>15</v>
      </c>
      <c r="F596" s="33">
        <v>0</v>
      </c>
      <c r="G596" s="36">
        <v>400.45454549999999</v>
      </c>
    </row>
    <row r="597" spans="1:7" ht="18.75" x14ac:dyDescent="0.3">
      <c r="A597" s="36">
        <v>2626</v>
      </c>
      <c r="B597" s="33">
        <v>2304</v>
      </c>
      <c r="C597" s="33" t="s">
        <v>20</v>
      </c>
      <c r="D597" s="33" t="s">
        <v>21</v>
      </c>
      <c r="E597" s="33" t="s">
        <v>15</v>
      </c>
      <c r="F597" s="33">
        <v>14</v>
      </c>
      <c r="G597" s="36">
        <v>434.54545450000001</v>
      </c>
    </row>
    <row r="598" spans="1:7" ht="18.75" x14ac:dyDescent="0.3">
      <c r="A598" s="36">
        <v>2626</v>
      </c>
      <c r="B598" s="33">
        <v>2304</v>
      </c>
      <c r="C598" s="33" t="s">
        <v>20</v>
      </c>
      <c r="D598" s="33" t="s">
        <v>21</v>
      </c>
      <c r="E598" s="33" t="s">
        <v>15</v>
      </c>
      <c r="F598" s="33">
        <v>28</v>
      </c>
      <c r="G598" s="36">
        <v>440.45454549999999</v>
      </c>
    </row>
    <row r="599" spans="1:7" ht="18.75" x14ac:dyDescent="0.3">
      <c r="A599" s="36">
        <v>2626</v>
      </c>
      <c r="B599" s="33">
        <v>2304</v>
      </c>
      <c r="C599" s="33" t="s">
        <v>20</v>
      </c>
      <c r="D599" s="33" t="s">
        <v>21</v>
      </c>
      <c r="E599" s="33" t="s">
        <v>15</v>
      </c>
      <c r="F599" s="33">
        <v>42</v>
      </c>
      <c r="G599" s="36">
        <v>454.09090909999998</v>
      </c>
    </row>
    <row r="600" spans="1:7" ht="18.75" x14ac:dyDescent="0.3">
      <c r="A600" s="36">
        <v>2626</v>
      </c>
      <c r="B600" s="33">
        <v>2304</v>
      </c>
      <c r="C600" s="33" t="s">
        <v>20</v>
      </c>
      <c r="D600" s="33" t="s">
        <v>21</v>
      </c>
      <c r="E600" s="33" t="s">
        <v>15</v>
      </c>
      <c r="F600" s="33">
        <v>56</v>
      </c>
      <c r="G600" s="36">
        <v>468.63636359999998</v>
      </c>
    </row>
    <row r="601" spans="1:7" ht="18.75" x14ac:dyDescent="0.3">
      <c r="A601" s="36">
        <v>2626</v>
      </c>
      <c r="B601" s="33">
        <v>2304</v>
      </c>
      <c r="C601" s="33" t="s">
        <v>20</v>
      </c>
      <c r="D601" s="33" t="s">
        <v>21</v>
      </c>
      <c r="E601" s="33" t="s">
        <v>15</v>
      </c>
      <c r="F601" s="33">
        <v>70</v>
      </c>
      <c r="G601" s="36">
        <v>492.27272729999999</v>
      </c>
    </row>
    <row r="602" spans="1:7" ht="18.75" x14ac:dyDescent="0.3">
      <c r="A602" s="36">
        <v>2627</v>
      </c>
      <c r="B602" s="33">
        <v>2304</v>
      </c>
      <c r="C602" s="33" t="s">
        <v>14</v>
      </c>
      <c r="D602" s="33" t="s">
        <v>15</v>
      </c>
      <c r="E602" s="33" t="s">
        <v>15</v>
      </c>
      <c r="F602" s="33">
        <v>0</v>
      </c>
      <c r="G602" s="36">
        <v>345</v>
      </c>
    </row>
    <row r="603" spans="1:7" ht="18.75" x14ac:dyDescent="0.3">
      <c r="A603" s="36">
        <v>2627</v>
      </c>
      <c r="B603" s="33">
        <v>2304</v>
      </c>
      <c r="C603" s="33" t="s">
        <v>14</v>
      </c>
      <c r="D603" s="33" t="s">
        <v>15</v>
      </c>
      <c r="E603" s="33" t="s">
        <v>15</v>
      </c>
      <c r="F603" s="33">
        <v>14</v>
      </c>
      <c r="G603" s="36">
        <v>367.72727270000001</v>
      </c>
    </row>
    <row r="604" spans="1:7" ht="18.75" x14ac:dyDescent="0.3">
      <c r="A604" s="36">
        <v>2627</v>
      </c>
      <c r="B604" s="33">
        <v>2304</v>
      </c>
      <c r="C604" s="33" t="s">
        <v>14</v>
      </c>
      <c r="D604" s="33" t="s">
        <v>15</v>
      </c>
      <c r="E604" s="33" t="s">
        <v>15</v>
      </c>
      <c r="F604" s="33">
        <v>28</v>
      </c>
      <c r="G604" s="36">
        <v>385.90909090000002</v>
      </c>
    </row>
    <row r="605" spans="1:7" ht="18.75" x14ac:dyDescent="0.3">
      <c r="A605" s="36">
        <v>2627</v>
      </c>
      <c r="B605" s="33">
        <v>2304</v>
      </c>
      <c r="C605" s="33" t="s">
        <v>14</v>
      </c>
      <c r="D605" s="33" t="s">
        <v>15</v>
      </c>
      <c r="E605" s="33" t="s">
        <v>15</v>
      </c>
      <c r="F605" s="33">
        <v>42</v>
      </c>
      <c r="G605" s="36">
        <v>395.90909090000002</v>
      </c>
    </row>
    <row r="606" spans="1:7" ht="18.75" x14ac:dyDescent="0.3">
      <c r="A606" s="36">
        <v>2627</v>
      </c>
      <c r="B606" s="33">
        <v>2304</v>
      </c>
      <c r="C606" s="33" t="s">
        <v>14</v>
      </c>
      <c r="D606" s="33" t="s">
        <v>15</v>
      </c>
      <c r="E606" s="33" t="s">
        <v>15</v>
      </c>
      <c r="F606" s="33">
        <v>56</v>
      </c>
      <c r="G606" s="36">
        <v>426.81818179999999</v>
      </c>
    </row>
    <row r="607" spans="1:7" ht="18.75" x14ac:dyDescent="0.3">
      <c r="A607" s="36">
        <v>2627</v>
      </c>
      <c r="B607" s="33">
        <v>2304</v>
      </c>
      <c r="C607" s="33" t="s">
        <v>14</v>
      </c>
      <c r="D607" s="33" t="s">
        <v>15</v>
      </c>
      <c r="E607" s="33" t="s">
        <v>15</v>
      </c>
      <c r="F607" s="33">
        <v>70</v>
      </c>
      <c r="G607" s="36">
        <v>443.63636359999998</v>
      </c>
    </row>
    <row r="608" spans="1:7" ht="18.75" x14ac:dyDescent="0.3">
      <c r="A608" s="36">
        <v>2629</v>
      </c>
      <c r="B608" s="33">
        <v>2304</v>
      </c>
      <c r="C608" s="33" t="s">
        <v>14</v>
      </c>
      <c r="D608" s="33" t="s">
        <v>15</v>
      </c>
      <c r="E608" s="33" t="s">
        <v>15</v>
      </c>
      <c r="F608" s="33">
        <v>0</v>
      </c>
      <c r="G608" s="36">
        <v>497.27272729999999</v>
      </c>
    </row>
    <row r="609" spans="1:7" ht="18.75" x14ac:dyDescent="0.3">
      <c r="A609" s="36">
        <v>2629</v>
      </c>
      <c r="B609" s="33">
        <v>2304</v>
      </c>
      <c r="C609" s="33" t="s">
        <v>14</v>
      </c>
      <c r="D609" s="33" t="s">
        <v>15</v>
      </c>
      <c r="E609" s="33" t="s">
        <v>15</v>
      </c>
      <c r="F609" s="33">
        <v>14</v>
      </c>
      <c r="G609" s="36">
        <v>527.72727269999996</v>
      </c>
    </row>
    <row r="610" spans="1:7" ht="18.75" x14ac:dyDescent="0.3">
      <c r="A610" s="36">
        <v>2629</v>
      </c>
      <c r="B610" s="33">
        <v>2304</v>
      </c>
      <c r="C610" s="33" t="s">
        <v>14</v>
      </c>
      <c r="D610" s="33" t="s">
        <v>15</v>
      </c>
      <c r="E610" s="33" t="s">
        <v>15</v>
      </c>
      <c r="F610" s="33">
        <v>28</v>
      </c>
      <c r="G610" s="36">
        <v>551.36363640000002</v>
      </c>
    </row>
    <row r="611" spans="1:7" ht="18.75" x14ac:dyDescent="0.3">
      <c r="A611" s="36">
        <v>2629</v>
      </c>
      <c r="B611" s="33">
        <v>2304</v>
      </c>
      <c r="C611" s="33" t="s">
        <v>14</v>
      </c>
      <c r="D611" s="33" t="s">
        <v>15</v>
      </c>
      <c r="E611" s="33" t="s">
        <v>15</v>
      </c>
      <c r="F611" s="33">
        <v>42</v>
      </c>
      <c r="G611" s="36">
        <v>556.36363640000002</v>
      </c>
    </row>
    <row r="612" spans="1:7" ht="18.75" x14ac:dyDescent="0.3">
      <c r="A612" s="36">
        <v>2629</v>
      </c>
      <c r="B612" s="33">
        <v>2304</v>
      </c>
      <c r="C612" s="33" t="s">
        <v>14</v>
      </c>
      <c r="D612" s="33" t="s">
        <v>15</v>
      </c>
      <c r="E612" s="33" t="s">
        <v>15</v>
      </c>
      <c r="F612" s="33">
        <v>56</v>
      </c>
      <c r="G612" s="36">
        <v>590</v>
      </c>
    </row>
    <row r="613" spans="1:7" ht="18.75" x14ac:dyDescent="0.3">
      <c r="A613" s="36">
        <v>2629</v>
      </c>
      <c r="B613" s="33">
        <v>2304</v>
      </c>
      <c r="C613" s="33" t="s">
        <v>14</v>
      </c>
      <c r="D613" s="33" t="s">
        <v>15</v>
      </c>
      <c r="E613" s="33" t="s">
        <v>15</v>
      </c>
      <c r="F613" s="33">
        <v>70</v>
      </c>
      <c r="G613" s="36">
        <v>641.36363640000002</v>
      </c>
    </row>
    <row r="614" spans="1:7" ht="18.75" x14ac:dyDescent="0.3">
      <c r="A614" s="36">
        <v>2630</v>
      </c>
      <c r="B614" s="33">
        <v>2304</v>
      </c>
      <c r="C614" s="33" t="s">
        <v>14</v>
      </c>
      <c r="D614" s="33" t="s">
        <v>15</v>
      </c>
      <c r="E614" s="33" t="s">
        <v>15</v>
      </c>
      <c r="F614" s="33">
        <v>0</v>
      </c>
      <c r="G614" s="36">
        <v>388.18181820000001</v>
      </c>
    </row>
    <row r="615" spans="1:7" ht="18.75" x14ac:dyDescent="0.3">
      <c r="A615" s="36">
        <v>2630</v>
      </c>
      <c r="B615" s="33">
        <v>2304</v>
      </c>
      <c r="C615" s="33" t="s">
        <v>14</v>
      </c>
      <c r="D615" s="33" t="s">
        <v>15</v>
      </c>
      <c r="E615" s="33" t="s">
        <v>15</v>
      </c>
      <c r="F615" s="33">
        <v>14</v>
      </c>
      <c r="G615" s="36">
        <v>415.45454549999999</v>
      </c>
    </row>
    <row r="616" spans="1:7" ht="18.75" x14ac:dyDescent="0.3">
      <c r="A616" s="36">
        <v>2630</v>
      </c>
      <c r="B616" s="33">
        <v>2304</v>
      </c>
      <c r="C616" s="33" t="s">
        <v>14</v>
      </c>
      <c r="D616" s="33" t="s">
        <v>15</v>
      </c>
      <c r="E616" s="33" t="s">
        <v>15</v>
      </c>
      <c r="F616" s="33">
        <v>28</v>
      </c>
      <c r="G616" s="36">
        <v>445.90909090000002</v>
      </c>
    </row>
    <row r="617" spans="1:7" ht="18.75" x14ac:dyDescent="0.3">
      <c r="A617" s="36">
        <v>2630</v>
      </c>
      <c r="B617" s="33">
        <v>2304</v>
      </c>
      <c r="C617" s="33" t="s">
        <v>14</v>
      </c>
      <c r="D617" s="33" t="s">
        <v>15</v>
      </c>
      <c r="E617" s="33" t="s">
        <v>15</v>
      </c>
      <c r="F617" s="33">
        <v>42</v>
      </c>
      <c r="G617" s="36">
        <v>463.18181820000001</v>
      </c>
    </row>
    <row r="618" spans="1:7" ht="18.75" x14ac:dyDescent="0.3">
      <c r="A618" s="36">
        <v>2630</v>
      </c>
      <c r="B618" s="33">
        <v>2304</v>
      </c>
      <c r="C618" s="33" t="s">
        <v>14</v>
      </c>
      <c r="D618" s="33" t="s">
        <v>15</v>
      </c>
      <c r="E618" s="33" t="s">
        <v>15</v>
      </c>
      <c r="F618" s="33">
        <v>56</v>
      </c>
      <c r="G618" s="36">
        <v>481.36363640000002</v>
      </c>
    </row>
    <row r="619" spans="1:7" ht="18.75" x14ac:dyDescent="0.3">
      <c r="A619" s="36">
        <v>2630</v>
      </c>
      <c r="B619" s="33">
        <v>2304</v>
      </c>
      <c r="C619" s="33" t="s">
        <v>14</v>
      </c>
      <c r="D619" s="33" t="s">
        <v>15</v>
      </c>
      <c r="E619" s="33" t="s">
        <v>15</v>
      </c>
      <c r="F619" s="33">
        <v>70</v>
      </c>
      <c r="G619" s="36">
        <v>487.27272729999999</v>
      </c>
    </row>
    <row r="620" spans="1:7" ht="18.75" x14ac:dyDescent="0.3">
      <c r="A620" s="36">
        <v>2634</v>
      </c>
      <c r="B620" s="33">
        <v>2304</v>
      </c>
      <c r="C620" s="33" t="s">
        <v>20</v>
      </c>
      <c r="D620" s="33" t="s">
        <v>21</v>
      </c>
      <c r="E620" s="33" t="s">
        <v>15</v>
      </c>
      <c r="F620" s="33">
        <v>0</v>
      </c>
      <c r="G620" s="36">
        <v>370.90909090000002</v>
      </c>
    </row>
    <row r="621" spans="1:7" ht="18.75" x14ac:dyDescent="0.3">
      <c r="A621" s="36">
        <v>2634</v>
      </c>
      <c r="B621" s="33">
        <v>2304</v>
      </c>
      <c r="C621" s="33" t="s">
        <v>20</v>
      </c>
      <c r="D621" s="33" t="s">
        <v>21</v>
      </c>
      <c r="E621" s="33" t="s">
        <v>15</v>
      </c>
      <c r="F621" s="33">
        <v>14</v>
      </c>
      <c r="G621" s="36">
        <v>403.63636359999998</v>
      </c>
    </row>
    <row r="622" spans="1:7" ht="18.75" x14ac:dyDescent="0.3">
      <c r="A622" s="36">
        <v>2634</v>
      </c>
      <c r="B622" s="33">
        <v>2304</v>
      </c>
      <c r="C622" s="33" t="s">
        <v>20</v>
      </c>
      <c r="D622" s="33" t="s">
        <v>21</v>
      </c>
      <c r="E622" s="33" t="s">
        <v>15</v>
      </c>
      <c r="F622" s="33">
        <v>28</v>
      </c>
      <c r="G622" s="36">
        <v>411.81818179999999</v>
      </c>
    </row>
    <row r="623" spans="1:7" ht="18.75" x14ac:dyDescent="0.3">
      <c r="A623" s="36">
        <v>2634</v>
      </c>
      <c r="B623" s="33">
        <v>2304</v>
      </c>
      <c r="C623" s="33" t="s">
        <v>20</v>
      </c>
      <c r="D623" s="33" t="s">
        <v>21</v>
      </c>
      <c r="E623" s="33" t="s">
        <v>15</v>
      </c>
      <c r="F623" s="33">
        <v>42</v>
      </c>
      <c r="G623" s="36">
        <v>434.09090909999998</v>
      </c>
    </row>
    <row r="624" spans="1:7" ht="18.75" x14ac:dyDescent="0.3">
      <c r="A624" s="36">
        <v>2634</v>
      </c>
      <c r="B624" s="33">
        <v>2304</v>
      </c>
      <c r="C624" s="33" t="s">
        <v>20</v>
      </c>
      <c r="D624" s="33" t="s">
        <v>21</v>
      </c>
      <c r="E624" s="33" t="s">
        <v>15</v>
      </c>
      <c r="F624" s="33">
        <v>56</v>
      </c>
      <c r="G624" s="36">
        <v>472.27272729999999</v>
      </c>
    </row>
    <row r="625" spans="1:7" ht="18.75" x14ac:dyDescent="0.3">
      <c r="A625" s="36">
        <v>2634</v>
      </c>
      <c r="B625" s="33">
        <v>2304</v>
      </c>
      <c r="C625" s="33" t="s">
        <v>20</v>
      </c>
      <c r="D625" s="33" t="s">
        <v>21</v>
      </c>
      <c r="E625" s="33" t="s">
        <v>15</v>
      </c>
      <c r="F625" s="33">
        <v>70</v>
      </c>
      <c r="G625" s="36">
        <v>468.18181820000001</v>
      </c>
    </row>
    <row r="626" spans="1:7" ht="18.75" x14ac:dyDescent="0.3">
      <c r="A626" s="36">
        <v>2635</v>
      </c>
      <c r="B626" s="33">
        <v>2304</v>
      </c>
      <c r="C626" s="33" t="s">
        <v>14</v>
      </c>
      <c r="D626" s="33" t="s">
        <v>15</v>
      </c>
      <c r="E626" s="33" t="s">
        <v>15</v>
      </c>
      <c r="F626" s="33">
        <v>0</v>
      </c>
      <c r="G626" s="36">
        <v>400</v>
      </c>
    </row>
    <row r="627" spans="1:7" ht="18.75" x14ac:dyDescent="0.3">
      <c r="A627" s="36">
        <v>2635</v>
      </c>
      <c r="B627" s="33">
        <v>2304</v>
      </c>
      <c r="C627" s="33" t="s">
        <v>14</v>
      </c>
      <c r="D627" s="33" t="s">
        <v>15</v>
      </c>
      <c r="E627" s="33" t="s">
        <v>15</v>
      </c>
      <c r="F627" s="33">
        <v>14</v>
      </c>
      <c r="G627" s="36">
        <v>422.27272729999999</v>
      </c>
    </row>
    <row r="628" spans="1:7" ht="18.75" x14ac:dyDescent="0.3">
      <c r="A628" s="36">
        <v>2635</v>
      </c>
      <c r="B628" s="33">
        <v>2304</v>
      </c>
      <c r="C628" s="33" t="s">
        <v>14</v>
      </c>
      <c r="D628" s="33" t="s">
        <v>15</v>
      </c>
      <c r="E628" s="33" t="s">
        <v>15</v>
      </c>
      <c r="F628" s="33">
        <v>28</v>
      </c>
      <c r="G628" s="36">
        <v>439.54545450000001</v>
      </c>
    </row>
    <row r="629" spans="1:7" ht="18.75" x14ac:dyDescent="0.3">
      <c r="A629" s="36">
        <v>2635</v>
      </c>
      <c r="B629" s="33">
        <v>2304</v>
      </c>
      <c r="C629" s="33" t="s">
        <v>14</v>
      </c>
      <c r="D629" s="33" t="s">
        <v>15</v>
      </c>
      <c r="E629" s="33" t="s">
        <v>15</v>
      </c>
      <c r="F629" s="33">
        <v>42</v>
      </c>
      <c r="G629" s="36">
        <v>463.63636359999998</v>
      </c>
    </row>
    <row r="630" spans="1:7" ht="18.75" x14ac:dyDescent="0.3">
      <c r="A630" s="36">
        <v>2635</v>
      </c>
      <c r="B630" s="33">
        <v>2304</v>
      </c>
      <c r="C630" s="33" t="s">
        <v>14</v>
      </c>
      <c r="D630" s="33" t="s">
        <v>15</v>
      </c>
      <c r="E630" s="33" t="s">
        <v>15</v>
      </c>
      <c r="F630" s="33">
        <v>56</v>
      </c>
      <c r="G630" s="36">
        <v>490.90909090000002</v>
      </c>
    </row>
    <row r="631" spans="1:7" ht="18.75" x14ac:dyDescent="0.3">
      <c r="A631" s="36">
        <v>2635</v>
      </c>
      <c r="B631" s="33">
        <v>2304</v>
      </c>
      <c r="C631" s="33" t="s">
        <v>14</v>
      </c>
      <c r="D631" s="33" t="s">
        <v>15</v>
      </c>
      <c r="E631" s="33" t="s">
        <v>15</v>
      </c>
      <c r="F631" s="33">
        <v>70</v>
      </c>
      <c r="G631" s="36">
        <v>478.63636359999998</v>
      </c>
    </row>
    <row r="632" spans="1:7" ht="18.75" x14ac:dyDescent="0.3">
      <c r="A632" s="36">
        <v>2638</v>
      </c>
      <c r="B632" s="33">
        <v>2304</v>
      </c>
      <c r="C632" s="33" t="s">
        <v>14</v>
      </c>
      <c r="D632" s="33" t="s">
        <v>15</v>
      </c>
      <c r="E632" s="33" t="s">
        <v>15</v>
      </c>
      <c r="F632" s="33">
        <v>0</v>
      </c>
      <c r="G632" s="36">
        <v>376.36363640000002</v>
      </c>
    </row>
    <row r="633" spans="1:7" ht="18.75" x14ac:dyDescent="0.3">
      <c r="A633" s="36">
        <v>2638</v>
      </c>
      <c r="B633" s="33">
        <v>2304</v>
      </c>
      <c r="C633" s="33" t="s">
        <v>14</v>
      </c>
      <c r="D633" s="33" t="s">
        <v>15</v>
      </c>
      <c r="E633" s="33" t="s">
        <v>15</v>
      </c>
      <c r="F633" s="33">
        <v>14</v>
      </c>
      <c r="G633" s="36">
        <v>397.72727270000001</v>
      </c>
    </row>
    <row r="634" spans="1:7" ht="18.75" x14ac:dyDescent="0.3">
      <c r="A634" s="36">
        <v>2638</v>
      </c>
      <c r="B634" s="33">
        <v>2304</v>
      </c>
      <c r="C634" s="33" t="s">
        <v>14</v>
      </c>
      <c r="D634" s="33" t="s">
        <v>15</v>
      </c>
      <c r="E634" s="33" t="s">
        <v>15</v>
      </c>
      <c r="F634" s="33">
        <v>28</v>
      </c>
      <c r="G634" s="36">
        <v>412.27272729999999</v>
      </c>
    </row>
    <row r="635" spans="1:7" ht="18.75" x14ac:dyDescent="0.3">
      <c r="A635" s="36">
        <v>2638</v>
      </c>
      <c r="B635" s="33">
        <v>2304</v>
      </c>
      <c r="C635" s="33" t="s">
        <v>14</v>
      </c>
      <c r="D635" s="33" t="s">
        <v>15</v>
      </c>
      <c r="E635" s="33" t="s">
        <v>15</v>
      </c>
      <c r="F635" s="33">
        <v>42</v>
      </c>
      <c r="G635" s="36">
        <v>437.27272729999999</v>
      </c>
    </row>
    <row r="636" spans="1:7" ht="18.75" x14ac:dyDescent="0.3">
      <c r="A636" s="36">
        <v>2638</v>
      </c>
      <c r="B636" s="33">
        <v>2304</v>
      </c>
      <c r="C636" s="33" t="s">
        <v>14</v>
      </c>
      <c r="D636" s="33" t="s">
        <v>15</v>
      </c>
      <c r="E636" s="33" t="s">
        <v>15</v>
      </c>
      <c r="F636" s="33">
        <v>56</v>
      </c>
      <c r="G636" s="36">
        <v>443.63636359999998</v>
      </c>
    </row>
    <row r="637" spans="1:7" ht="18.75" x14ac:dyDescent="0.3">
      <c r="A637" s="36">
        <v>2638</v>
      </c>
      <c r="B637" s="33">
        <v>2304</v>
      </c>
      <c r="C637" s="33" t="s">
        <v>14</v>
      </c>
      <c r="D637" s="33" t="s">
        <v>15</v>
      </c>
      <c r="E637" s="33" t="s">
        <v>15</v>
      </c>
      <c r="F637" s="33">
        <v>70</v>
      </c>
      <c r="G637" s="36">
        <v>473.63636359999998</v>
      </c>
    </row>
    <row r="638" spans="1:7" ht="18.75" x14ac:dyDescent="0.3">
      <c r="A638" s="36">
        <v>2645</v>
      </c>
      <c r="B638" s="33">
        <v>2304</v>
      </c>
      <c r="C638" s="33" t="s">
        <v>14</v>
      </c>
      <c r="D638" s="33" t="s">
        <v>15</v>
      </c>
      <c r="E638" s="33" t="s">
        <v>15</v>
      </c>
      <c r="F638" s="33">
        <v>0</v>
      </c>
      <c r="G638" s="36">
        <v>452.27272729999999</v>
      </c>
    </row>
    <row r="639" spans="1:7" ht="18.75" x14ac:dyDescent="0.3">
      <c r="A639" s="36">
        <v>2645</v>
      </c>
      <c r="B639" s="33">
        <v>2304</v>
      </c>
      <c r="C639" s="33" t="s">
        <v>14</v>
      </c>
      <c r="D639" s="33" t="s">
        <v>15</v>
      </c>
      <c r="E639" s="33" t="s">
        <v>15</v>
      </c>
      <c r="F639" s="33">
        <v>14</v>
      </c>
      <c r="G639" s="36">
        <v>482.27272729999999</v>
      </c>
    </row>
    <row r="640" spans="1:7" ht="18.75" x14ac:dyDescent="0.3">
      <c r="A640" s="36">
        <v>2645</v>
      </c>
      <c r="B640" s="33">
        <v>2304</v>
      </c>
      <c r="C640" s="33" t="s">
        <v>14</v>
      </c>
      <c r="D640" s="33" t="s">
        <v>15</v>
      </c>
      <c r="E640" s="33" t="s">
        <v>15</v>
      </c>
      <c r="F640" s="33">
        <v>28</v>
      </c>
      <c r="G640" s="36">
        <v>515</v>
      </c>
    </row>
    <row r="641" spans="1:7" ht="18.75" x14ac:dyDescent="0.3">
      <c r="A641" s="36">
        <v>2645</v>
      </c>
      <c r="B641" s="33">
        <v>2304</v>
      </c>
      <c r="C641" s="33" t="s">
        <v>14</v>
      </c>
      <c r="D641" s="33" t="s">
        <v>15</v>
      </c>
      <c r="E641" s="33" t="s">
        <v>15</v>
      </c>
      <c r="F641" s="33">
        <v>42</v>
      </c>
      <c r="G641" s="36">
        <v>531.81818180000005</v>
      </c>
    </row>
    <row r="642" spans="1:7" ht="18.75" x14ac:dyDescent="0.3">
      <c r="A642" s="36">
        <v>2645</v>
      </c>
      <c r="B642" s="33">
        <v>2304</v>
      </c>
      <c r="C642" s="33" t="s">
        <v>14</v>
      </c>
      <c r="D642" s="33" t="s">
        <v>15</v>
      </c>
      <c r="E642" s="33" t="s">
        <v>15</v>
      </c>
      <c r="F642" s="33">
        <v>56</v>
      </c>
      <c r="G642" s="36">
        <v>556.36363640000002</v>
      </c>
    </row>
    <row r="643" spans="1:7" ht="18.75" x14ac:dyDescent="0.3">
      <c r="A643" s="36">
        <v>2645</v>
      </c>
      <c r="B643" s="33">
        <v>2304</v>
      </c>
      <c r="C643" s="33" t="s">
        <v>14</v>
      </c>
      <c r="D643" s="33" t="s">
        <v>15</v>
      </c>
      <c r="E643" s="33" t="s">
        <v>15</v>
      </c>
      <c r="F643" s="33">
        <v>70</v>
      </c>
      <c r="G643" s="36">
        <v>578.18181819999995</v>
      </c>
    </row>
    <row r="644" spans="1:7" ht="18.75" x14ac:dyDescent="0.3">
      <c r="A644" s="37">
        <v>2656</v>
      </c>
      <c r="B644" s="33">
        <v>2304</v>
      </c>
      <c r="C644" s="33" t="s">
        <v>20</v>
      </c>
      <c r="D644" s="33" t="s">
        <v>21</v>
      </c>
      <c r="E644" s="33" t="s">
        <v>15</v>
      </c>
      <c r="F644" s="33">
        <v>0</v>
      </c>
      <c r="G644" s="36">
        <v>342.27272729999999</v>
      </c>
    </row>
    <row r="645" spans="1:7" ht="18.75" x14ac:dyDescent="0.3">
      <c r="A645" s="37">
        <v>2656</v>
      </c>
      <c r="B645" s="33">
        <v>2304</v>
      </c>
      <c r="C645" s="33" t="s">
        <v>20</v>
      </c>
      <c r="D645" s="33" t="s">
        <v>21</v>
      </c>
      <c r="E645" s="33" t="s">
        <v>15</v>
      </c>
      <c r="F645" s="33">
        <v>14</v>
      </c>
      <c r="G645" s="36">
        <v>370.90909090000002</v>
      </c>
    </row>
    <row r="646" spans="1:7" ht="18.75" x14ac:dyDescent="0.3">
      <c r="A646" s="37">
        <v>2656</v>
      </c>
      <c r="B646" s="33">
        <v>2304</v>
      </c>
      <c r="C646" s="33" t="s">
        <v>20</v>
      </c>
      <c r="D646" s="33" t="s">
        <v>21</v>
      </c>
      <c r="E646" s="33" t="s">
        <v>15</v>
      </c>
      <c r="F646" s="33">
        <v>28</v>
      </c>
      <c r="G646" s="36">
        <v>385.45454549999999</v>
      </c>
    </row>
    <row r="647" spans="1:7" ht="18.75" x14ac:dyDescent="0.3">
      <c r="A647" s="37">
        <v>2656</v>
      </c>
      <c r="B647" s="33">
        <v>2304</v>
      </c>
      <c r="C647" s="33" t="s">
        <v>20</v>
      </c>
      <c r="D647" s="33" t="s">
        <v>21</v>
      </c>
      <c r="E647" s="33" t="s">
        <v>15</v>
      </c>
      <c r="F647" s="33">
        <v>42</v>
      </c>
      <c r="G647" s="36">
        <v>405</v>
      </c>
    </row>
    <row r="648" spans="1:7" ht="18.75" x14ac:dyDescent="0.3">
      <c r="A648" s="37">
        <v>2656</v>
      </c>
      <c r="B648" s="33">
        <v>2304</v>
      </c>
      <c r="C648" s="33" t="s">
        <v>20</v>
      </c>
      <c r="D648" s="33" t="s">
        <v>21</v>
      </c>
      <c r="E648" s="33" t="s">
        <v>15</v>
      </c>
      <c r="F648" s="33">
        <v>56</v>
      </c>
      <c r="G648" s="36">
        <v>421.36363640000002</v>
      </c>
    </row>
    <row r="649" spans="1:7" ht="18.75" x14ac:dyDescent="0.3">
      <c r="A649" s="37">
        <v>2656</v>
      </c>
      <c r="B649" s="33">
        <v>2304</v>
      </c>
      <c r="C649" s="33" t="s">
        <v>20</v>
      </c>
      <c r="D649" s="33" t="s">
        <v>21</v>
      </c>
      <c r="E649" s="33" t="s">
        <v>15</v>
      </c>
      <c r="F649" s="33">
        <v>70</v>
      </c>
      <c r="G649" s="36">
        <v>440.90909090000002</v>
      </c>
    </row>
    <row r="650" spans="1:7" ht="18.75" x14ac:dyDescent="0.3">
      <c r="A650" s="37">
        <v>2662</v>
      </c>
      <c r="B650" s="33">
        <v>2304</v>
      </c>
      <c r="C650" s="33" t="s">
        <v>14</v>
      </c>
      <c r="D650" s="33" t="s">
        <v>15</v>
      </c>
      <c r="E650" s="33" t="s">
        <v>15</v>
      </c>
      <c r="F650" s="33">
        <v>0</v>
      </c>
      <c r="G650" s="36">
        <v>406.36363640000002</v>
      </c>
    </row>
    <row r="651" spans="1:7" ht="18.75" x14ac:dyDescent="0.3">
      <c r="A651" s="37">
        <v>2662</v>
      </c>
      <c r="B651" s="33">
        <v>2304</v>
      </c>
      <c r="C651" s="33" t="s">
        <v>14</v>
      </c>
      <c r="D651" s="33" t="s">
        <v>15</v>
      </c>
      <c r="E651" s="33" t="s">
        <v>15</v>
      </c>
      <c r="F651" s="33">
        <v>14</v>
      </c>
      <c r="G651" s="36">
        <v>424.09090909999998</v>
      </c>
    </row>
    <row r="652" spans="1:7" ht="18.75" x14ac:dyDescent="0.3">
      <c r="A652" s="37">
        <v>2662</v>
      </c>
      <c r="B652" s="33">
        <v>2304</v>
      </c>
      <c r="C652" s="33" t="s">
        <v>14</v>
      </c>
      <c r="D652" s="33" t="s">
        <v>15</v>
      </c>
      <c r="E652" s="33" t="s">
        <v>15</v>
      </c>
      <c r="F652" s="33">
        <v>28</v>
      </c>
      <c r="G652" s="36">
        <v>456.81818179999999</v>
      </c>
    </row>
    <row r="653" spans="1:7" ht="18.75" x14ac:dyDescent="0.3">
      <c r="A653" s="37">
        <v>2662</v>
      </c>
      <c r="B653" s="33">
        <v>2304</v>
      </c>
      <c r="C653" s="33" t="s">
        <v>14</v>
      </c>
      <c r="D653" s="33" t="s">
        <v>15</v>
      </c>
      <c r="E653" s="33" t="s">
        <v>15</v>
      </c>
      <c r="F653" s="33">
        <v>42</v>
      </c>
      <c r="G653" s="36">
        <v>464.54545450000001</v>
      </c>
    </row>
    <row r="654" spans="1:7" ht="18.75" x14ac:dyDescent="0.3">
      <c r="A654" s="37">
        <v>2662</v>
      </c>
      <c r="B654" s="33">
        <v>2304</v>
      </c>
      <c r="C654" s="33" t="s">
        <v>14</v>
      </c>
      <c r="D654" s="33" t="s">
        <v>15</v>
      </c>
      <c r="E654" s="33" t="s">
        <v>15</v>
      </c>
      <c r="F654" s="33">
        <v>56</v>
      </c>
      <c r="G654" s="36">
        <v>460</v>
      </c>
    </row>
    <row r="655" spans="1:7" ht="18.75" x14ac:dyDescent="0.3">
      <c r="A655" s="37">
        <v>2662</v>
      </c>
      <c r="B655" s="33">
        <v>2304</v>
      </c>
      <c r="C655" s="33" t="s">
        <v>14</v>
      </c>
      <c r="D655" s="33" t="s">
        <v>15</v>
      </c>
      <c r="E655" s="33" t="s">
        <v>15</v>
      </c>
      <c r="F655" s="33">
        <v>70</v>
      </c>
      <c r="G655" s="36">
        <v>509.09090909999998</v>
      </c>
    </row>
    <row r="656" spans="1:7" ht="18.75" x14ac:dyDescent="0.3">
      <c r="A656" s="37">
        <v>2663</v>
      </c>
      <c r="B656" s="33">
        <v>2304</v>
      </c>
      <c r="C656" s="33" t="s">
        <v>14</v>
      </c>
      <c r="D656" s="33" t="s">
        <v>15</v>
      </c>
      <c r="E656" s="33" t="s">
        <v>15</v>
      </c>
      <c r="F656" s="33">
        <v>0</v>
      </c>
      <c r="G656" s="36">
        <v>403.18181820000001</v>
      </c>
    </row>
    <row r="657" spans="1:7" ht="18.75" x14ac:dyDescent="0.3">
      <c r="A657" s="37">
        <v>2663</v>
      </c>
      <c r="B657" s="33">
        <v>2304</v>
      </c>
      <c r="C657" s="33" t="s">
        <v>14</v>
      </c>
      <c r="D657" s="33" t="s">
        <v>15</v>
      </c>
      <c r="E657" s="33" t="s">
        <v>15</v>
      </c>
      <c r="F657" s="33">
        <v>14</v>
      </c>
      <c r="G657" s="36">
        <v>412.72727270000001</v>
      </c>
    </row>
    <row r="658" spans="1:7" ht="18.75" x14ac:dyDescent="0.3">
      <c r="A658" s="37">
        <v>2663</v>
      </c>
      <c r="B658" s="33">
        <v>2304</v>
      </c>
      <c r="C658" s="33" t="s">
        <v>14</v>
      </c>
      <c r="D658" s="33" t="s">
        <v>15</v>
      </c>
      <c r="E658" s="33" t="s">
        <v>15</v>
      </c>
      <c r="F658" s="33">
        <v>28</v>
      </c>
      <c r="G658" s="36">
        <v>455.90909090000002</v>
      </c>
    </row>
    <row r="659" spans="1:7" ht="18.75" x14ac:dyDescent="0.3">
      <c r="A659" s="37">
        <v>2663</v>
      </c>
      <c r="B659" s="33">
        <v>2304</v>
      </c>
      <c r="C659" s="33" t="s">
        <v>14</v>
      </c>
      <c r="D659" s="33" t="s">
        <v>15</v>
      </c>
      <c r="E659" s="33" t="s">
        <v>15</v>
      </c>
      <c r="F659" s="33">
        <v>42</v>
      </c>
      <c r="G659" s="36">
        <v>469.54545450000001</v>
      </c>
    </row>
    <row r="660" spans="1:7" ht="18.75" x14ac:dyDescent="0.3">
      <c r="A660" s="37">
        <v>2663</v>
      </c>
      <c r="B660" s="33">
        <v>2304</v>
      </c>
      <c r="C660" s="33" t="s">
        <v>14</v>
      </c>
      <c r="D660" s="33" t="s">
        <v>15</v>
      </c>
      <c r="E660" s="33" t="s">
        <v>15</v>
      </c>
      <c r="F660" s="33">
        <v>56</v>
      </c>
      <c r="G660" s="36">
        <v>481.36363640000002</v>
      </c>
    </row>
    <row r="661" spans="1:7" ht="18.75" x14ac:dyDescent="0.3">
      <c r="A661" s="37">
        <v>2663</v>
      </c>
      <c r="B661" s="33">
        <v>2304</v>
      </c>
      <c r="C661" s="33" t="s">
        <v>14</v>
      </c>
      <c r="D661" s="33" t="s">
        <v>15</v>
      </c>
      <c r="E661" s="33" t="s">
        <v>15</v>
      </c>
      <c r="F661" s="33">
        <v>70</v>
      </c>
      <c r="G661" s="36">
        <v>529.54545450000001</v>
      </c>
    </row>
    <row r="662" spans="1:7" ht="18.75" x14ac:dyDescent="0.3">
      <c r="A662" s="36">
        <v>2670</v>
      </c>
      <c r="B662" s="33">
        <v>2304</v>
      </c>
      <c r="C662" s="33" t="s">
        <v>23</v>
      </c>
      <c r="D662" s="33" t="s">
        <v>21</v>
      </c>
      <c r="E662" s="33" t="s">
        <v>24</v>
      </c>
      <c r="F662" s="33">
        <v>0</v>
      </c>
      <c r="G662" s="36">
        <v>435.90909090000002</v>
      </c>
    </row>
    <row r="663" spans="1:7" ht="18.75" x14ac:dyDescent="0.3">
      <c r="A663" s="36">
        <v>2670</v>
      </c>
      <c r="B663" s="33">
        <v>2304</v>
      </c>
      <c r="C663" s="33" t="s">
        <v>23</v>
      </c>
      <c r="D663" s="33" t="s">
        <v>21</v>
      </c>
      <c r="E663" s="33" t="s">
        <v>24</v>
      </c>
      <c r="F663" s="33">
        <v>14</v>
      </c>
      <c r="G663" s="36">
        <v>466.36363640000002</v>
      </c>
    </row>
    <row r="664" spans="1:7" ht="18.75" x14ac:dyDescent="0.3">
      <c r="A664" s="36">
        <v>2670</v>
      </c>
      <c r="B664" s="33">
        <v>2304</v>
      </c>
      <c r="C664" s="33" t="s">
        <v>23</v>
      </c>
      <c r="D664" s="33" t="s">
        <v>21</v>
      </c>
      <c r="E664" s="33" t="s">
        <v>24</v>
      </c>
      <c r="F664" s="33">
        <v>28</v>
      </c>
      <c r="G664" s="36">
        <v>486.36363640000002</v>
      </c>
    </row>
    <row r="665" spans="1:7" ht="18.75" x14ac:dyDescent="0.3">
      <c r="A665" s="36">
        <v>2670</v>
      </c>
      <c r="B665" s="33">
        <v>2304</v>
      </c>
      <c r="C665" s="33" t="s">
        <v>23</v>
      </c>
      <c r="D665" s="33" t="s">
        <v>21</v>
      </c>
      <c r="E665" s="33" t="s">
        <v>24</v>
      </c>
      <c r="F665" s="33">
        <v>42</v>
      </c>
      <c r="G665" s="36">
        <v>496.36363640000002</v>
      </c>
    </row>
    <row r="666" spans="1:7" ht="18.75" x14ac:dyDescent="0.3">
      <c r="A666" s="36">
        <v>2670</v>
      </c>
      <c r="B666" s="33">
        <v>2304</v>
      </c>
      <c r="C666" s="33" t="s">
        <v>23</v>
      </c>
      <c r="D666" s="33" t="s">
        <v>21</v>
      </c>
      <c r="E666" s="33" t="s">
        <v>24</v>
      </c>
      <c r="F666" s="33">
        <v>56</v>
      </c>
      <c r="G666" s="36">
        <v>530</v>
      </c>
    </row>
    <row r="667" spans="1:7" ht="18.75" x14ac:dyDescent="0.3">
      <c r="A667" s="36">
        <v>2670</v>
      </c>
      <c r="B667" s="33">
        <v>2304</v>
      </c>
      <c r="C667" s="33" t="s">
        <v>23</v>
      </c>
      <c r="D667" s="33" t="s">
        <v>21</v>
      </c>
      <c r="E667" s="33" t="s">
        <v>24</v>
      </c>
      <c r="F667" s="33">
        <v>70</v>
      </c>
      <c r="G667" s="36">
        <v>544.54545450000001</v>
      </c>
    </row>
    <row r="668" spans="1:7" ht="18.75" x14ac:dyDescent="0.3">
      <c r="A668" s="37">
        <v>2671</v>
      </c>
      <c r="B668" s="33">
        <v>2304</v>
      </c>
      <c r="C668" s="33" t="s">
        <v>20</v>
      </c>
      <c r="D668" s="33" t="s">
        <v>21</v>
      </c>
      <c r="E668" s="33" t="s">
        <v>15</v>
      </c>
      <c r="F668" s="33">
        <v>0</v>
      </c>
      <c r="G668" s="36">
        <v>404.09090909999998</v>
      </c>
    </row>
    <row r="669" spans="1:7" ht="18.75" x14ac:dyDescent="0.3">
      <c r="A669" s="37">
        <v>2671</v>
      </c>
      <c r="B669" s="33">
        <v>2304</v>
      </c>
      <c r="C669" s="33" t="s">
        <v>20</v>
      </c>
      <c r="D669" s="33" t="s">
        <v>21</v>
      </c>
      <c r="E669" s="33" t="s">
        <v>15</v>
      </c>
      <c r="F669" s="33">
        <v>14</v>
      </c>
      <c r="G669" s="36">
        <v>436.36363640000002</v>
      </c>
    </row>
    <row r="670" spans="1:7" ht="18.75" x14ac:dyDescent="0.3">
      <c r="A670" s="37">
        <v>2671</v>
      </c>
      <c r="B670" s="33">
        <v>2304</v>
      </c>
      <c r="C670" s="33" t="s">
        <v>20</v>
      </c>
      <c r="D670" s="33" t="s">
        <v>21</v>
      </c>
      <c r="E670" s="33" t="s">
        <v>15</v>
      </c>
      <c r="F670" s="33">
        <v>28</v>
      </c>
      <c r="G670" s="36">
        <v>453.63636359999998</v>
      </c>
    </row>
    <row r="671" spans="1:7" ht="18.75" x14ac:dyDescent="0.3">
      <c r="A671" s="37">
        <v>2671</v>
      </c>
      <c r="B671" s="33">
        <v>2304</v>
      </c>
      <c r="C671" s="33" t="s">
        <v>20</v>
      </c>
      <c r="D671" s="33" t="s">
        <v>21</v>
      </c>
      <c r="E671" s="33" t="s">
        <v>15</v>
      </c>
      <c r="F671" s="33">
        <v>42</v>
      </c>
      <c r="G671" s="36">
        <v>445.90909090000002</v>
      </c>
    </row>
    <row r="672" spans="1:7" ht="18.75" x14ac:dyDescent="0.3">
      <c r="A672" s="37">
        <v>2671</v>
      </c>
      <c r="B672" s="33">
        <v>2304</v>
      </c>
      <c r="C672" s="33" t="s">
        <v>20</v>
      </c>
      <c r="D672" s="33" t="s">
        <v>21</v>
      </c>
      <c r="E672" s="33" t="s">
        <v>15</v>
      </c>
      <c r="F672" s="33">
        <v>56</v>
      </c>
      <c r="G672" s="36">
        <v>478.63636359999998</v>
      </c>
    </row>
    <row r="673" spans="1:7" ht="18.75" x14ac:dyDescent="0.3">
      <c r="A673" s="37">
        <v>2671</v>
      </c>
      <c r="B673" s="33">
        <v>2304</v>
      </c>
      <c r="C673" s="33" t="s">
        <v>20</v>
      </c>
      <c r="D673" s="33" t="s">
        <v>21</v>
      </c>
      <c r="E673" s="33" t="s">
        <v>15</v>
      </c>
      <c r="F673" s="33">
        <v>70</v>
      </c>
      <c r="G673" s="36">
        <v>490.90909090000002</v>
      </c>
    </row>
    <row r="674" spans="1:7" ht="18.75" x14ac:dyDescent="0.3">
      <c r="A674" s="37">
        <v>2674</v>
      </c>
      <c r="B674" s="33">
        <v>2304</v>
      </c>
      <c r="C674" s="33" t="s">
        <v>14</v>
      </c>
      <c r="D674" s="33" t="s">
        <v>15</v>
      </c>
      <c r="E674" s="33" t="s">
        <v>15</v>
      </c>
      <c r="F674" s="33">
        <v>0</v>
      </c>
      <c r="G674" s="36">
        <v>435</v>
      </c>
    </row>
    <row r="675" spans="1:7" ht="18.75" x14ac:dyDescent="0.3">
      <c r="A675" s="37">
        <v>2674</v>
      </c>
      <c r="B675" s="33">
        <v>2304</v>
      </c>
      <c r="C675" s="33" t="s">
        <v>14</v>
      </c>
      <c r="D675" s="33" t="s">
        <v>15</v>
      </c>
      <c r="E675" s="33" t="s">
        <v>15</v>
      </c>
      <c r="F675" s="33">
        <v>14</v>
      </c>
      <c r="G675" s="36">
        <v>462.27272729999999</v>
      </c>
    </row>
    <row r="676" spans="1:7" ht="18.75" x14ac:dyDescent="0.3">
      <c r="A676" s="37">
        <v>2674</v>
      </c>
      <c r="B676" s="33">
        <v>2304</v>
      </c>
      <c r="C676" s="33" t="s">
        <v>14</v>
      </c>
      <c r="D676" s="33" t="s">
        <v>15</v>
      </c>
      <c r="E676" s="33" t="s">
        <v>15</v>
      </c>
      <c r="F676" s="33">
        <v>28</v>
      </c>
      <c r="G676" s="36">
        <v>470.90909090000002</v>
      </c>
    </row>
    <row r="677" spans="1:7" ht="18.75" x14ac:dyDescent="0.3">
      <c r="A677" s="37">
        <v>2674</v>
      </c>
      <c r="B677" s="33">
        <v>2304</v>
      </c>
      <c r="C677" s="33" t="s">
        <v>14</v>
      </c>
      <c r="D677" s="33" t="s">
        <v>15</v>
      </c>
      <c r="E677" s="33" t="s">
        <v>15</v>
      </c>
      <c r="F677" s="33">
        <v>42</v>
      </c>
      <c r="G677" s="36">
        <v>494.54545450000001</v>
      </c>
    </row>
    <row r="678" spans="1:7" ht="18.75" x14ac:dyDescent="0.3">
      <c r="A678" s="37">
        <v>2674</v>
      </c>
      <c r="B678" s="33">
        <v>2304</v>
      </c>
      <c r="C678" s="33" t="s">
        <v>14</v>
      </c>
      <c r="D678" s="33" t="s">
        <v>15</v>
      </c>
      <c r="E678" s="33" t="s">
        <v>15</v>
      </c>
      <c r="F678" s="33">
        <v>56</v>
      </c>
      <c r="G678" s="36">
        <v>531.81818180000005</v>
      </c>
    </row>
    <row r="679" spans="1:7" ht="18.75" x14ac:dyDescent="0.3">
      <c r="A679" s="37">
        <v>2674</v>
      </c>
      <c r="B679" s="33">
        <v>2304</v>
      </c>
      <c r="C679" s="33" t="s">
        <v>14</v>
      </c>
      <c r="D679" s="33" t="s">
        <v>15</v>
      </c>
      <c r="E679" s="33" t="s">
        <v>15</v>
      </c>
      <c r="F679" s="33">
        <v>70</v>
      </c>
      <c r="G679" s="36">
        <v>544.54545450000001</v>
      </c>
    </row>
    <row r="680" spans="1:7" ht="18.75" x14ac:dyDescent="0.3">
      <c r="A680" s="37">
        <v>2676</v>
      </c>
      <c r="B680" s="33">
        <v>2304</v>
      </c>
      <c r="C680" s="33" t="s">
        <v>14</v>
      </c>
      <c r="D680" s="33" t="s">
        <v>15</v>
      </c>
      <c r="E680" s="33" t="s">
        <v>15</v>
      </c>
      <c r="F680" s="33">
        <v>0</v>
      </c>
      <c r="G680" s="36">
        <v>381.81818179999999</v>
      </c>
    </row>
    <row r="681" spans="1:7" ht="18.75" x14ac:dyDescent="0.3">
      <c r="A681" s="37">
        <v>2676</v>
      </c>
      <c r="B681" s="33">
        <v>2304</v>
      </c>
      <c r="C681" s="33" t="s">
        <v>14</v>
      </c>
      <c r="D681" s="33" t="s">
        <v>15</v>
      </c>
      <c r="E681" s="33" t="s">
        <v>15</v>
      </c>
      <c r="F681" s="33">
        <v>14</v>
      </c>
      <c r="G681" s="36">
        <v>424.54545450000001</v>
      </c>
    </row>
    <row r="682" spans="1:7" ht="18.75" x14ac:dyDescent="0.3">
      <c r="A682" s="37">
        <v>2676</v>
      </c>
      <c r="B682" s="33">
        <v>2304</v>
      </c>
      <c r="C682" s="33" t="s">
        <v>14</v>
      </c>
      <c r="D682" s="33" t="s">
        <v>15</v>
      </c>
      <c r="E682" s="33" t="s">
        <v>15</v>
      </c>
      <c r="F682" s="33">
        <v>28</v>
      </c>
      <c r="G682" s="36">
        <v>455</v>
      </c>
    </row>
    <row r="683" spans="1:7" ht="18.75" x14ac:dyDescent="0.3">
      <c r="A683" s="37">
        <v>2676</v>
      </c>
      <c r="B683" s="33">
        <v>2304</v>
      </c>
      <c r="C683" s="33" t="s">
        <v>14</v>
      </c>
      <c r="D683" s="33" t="s">
        <v>15</v>
      </c>
      <c r="E683" s="33" t="s">
        <v>15</v>
      </c>
      <c r="F683" s="33">
        <v>42</v>
      </c>
      <c r="G683" s="36">
        <v>483.63636359999998</v>
      </c>
    </row>
    <row r="684" spans="1:7" ht="18.75" x14ac:dyDescent="0.3">
      <c r="A684" s="37">
        <v>2676</v>
      </c>
      <c r="B684" s="33">
        <v>2304</v>
      </c>
      <c r="C684" s="33" t="s">
        <v>14</v>
      </c>
      <c r="D684" s="33" t="s">
        <v>15</v>
      </c>
      <c r="E684" s="33" t="s">
        <v>15</v>
      </c>
      <c r="F684" s="33">
        <v>56</v>
      </c>
      <c r="G684" s="36">
        <v>491.36363640000002</v>
      </c>
    </row>
    <row r="685" spans="1:7" ht="18.75" x14ac:dyDescent="0.3">
      <c r="A685" s="37">
        <v>2676</v>
      </c>
      <c r="B685" s="33">
        <v>2304</v>
      </c>
      <c r="C685" s="33" t="s">
        <v>14</v>
      </c>
      <c r="D685" s="33" t="s">
        <v>15</v>
      </c>
      <c r="E685" s="33" t="s">
        <v>15</v>
      </c>
      <c r="F685" s="33">
        <v>70</v>
      </c>
      <c r="G685" s="36">
        <v>510.90909090000002</v>
      </c>
    </row>
    <row r="686" spans="1:7" ht="18.75" x14ac:dyDescent="0.3">
      <c r="A686" s="37">
        <v>2697</v>
      </c>
      <c r="B686" s="33">
        <v>2304</v>
      </c>
      <c r="C686" s="33" t="s">
        <v>20</v>
      </c>
      <c r="D686" s="33" t="s">
        <v>21</v>
      </c>
      <c r="E686" s="33" t="s">
        <v>15</v>
      </c>
      <c r="F686" s="33">
        <v>0</v>
      </c>
      <c r="G686" s="36">
        <v>303.18181820000001</v>
      </c>
    </row>
    <row r="687" spans="1:7" ht="18.75" x14ac:dyDescent="0.3">
      <c r="A687" s="37">
        <v>2697</v>
      </c>
      <c r="B687" s="33">
        <v>2304</v>
      </c>
      <c r="C687" s="33" t="s">
        <v>20</v>
      </c>
      <c r="D687" s="33" t="s">
        <v>21</v>
      </c>
      <c r="E687" s="33" t="s">
        <v>15</v>
      </c>
      <c r="F687" s="33">
        <v>14</v>
      </c>
      <c r="G687" s="36">
        <v>331.81818179999999</v>
      </c>
    </row>
    <row r="688" spans="1:7" ht="18.75" x14ac:dyDescent="0.3">
      <c r="A688" s="37">
        <v>2697</v>
      </c>
      <c r="B688" s="33">
        <v>2304</v>
      </c>
      <c r="C688" s="33" t="s">
        <v>20</v>
      </c>
      <c r="D688" s="33" t="s">
        <v>21</v>
      </c>
      <c r="E688" s="33" t="s">
        <v>15</v>
      </c>
      <c r="F688" s="33">
        <v>28</v>
      </c>
      <c r="G688" s="36">
        <v>355.90909090000002</v>
      </c>
    </row>
    <row r="689" spans="1:7" ht="18.75" x14ac:dyDescent="0.3">
      <c r="A689" s="37">
        <v>2697</v>
      </c>
      <c r="B689" s="33">
        <v>2304</v>
      </c>
      <c r="C689" s="33" t="s">
        <v>20</v>
      </c>
      <c r="D689" s="33" t="s">
        <v>21</v>
      </c>
      <c r="E689" s="33" t="s">
        <v>15</v>
      </c>
      <c r="F689" s="33">
        <v>42</v>
      </c>
      <c r="G689" s="36">
        <v>370.90909090000002</v>
      </c>
    </row>
    <row r="690" spans="1:7" ht="18.75" x14ac:dyDescent="0.3">
      <c r="A690" s="37">
        <v>2697</v>
      </c>
      <c r="B690" s="33">
        <v>2304</v>
      </c>
      <c r="C690" s="33" t="s">
        <v>20</v>
      </c>
      <c r="D690" s="33" t="s">
        <v>21</v>
      </c>
      <c r="E690" s="33" t="s">
        <v>15</v>
      </c>
      <c r="F690" s="33">
        <v>56</v>
      </c>
      <c r="G690" s="36">
        <v>385.90909090000002</v>
      </c>
    </row>
    <row r="691" spans="1:7" ht="18.75" x14ac:dyDescent="0.3">
      <c r="A691" s="37">
        <v>2697</v>
      </c>
      <c r="B691" s="33">
        <v>2304</v>
      </c>
      <c r="C691" s="33" t="s">
        <v>20</v>
      </c>
      <c r="D691" s="33" t="s">
        <v>21</v>
      </c>
      <c r="E691" s="33" t="s">
        <v>15</v>
      </c>
      <c r="F691" s="33">
        <v>70</v>
      </c>
      <c r="G691" s="36">
        <v>412.27272729999999</v>
      </c>
    </row>
    <row r="692" spans="1:7" ht="18.75" x14ac:dyDescent="0.25">
      <c r="A692" s="37">
        <v>3003</v>
      </c>
      <c r="B692" s="33">
        <v>2311</v>
      </c>
      <c r="C692" s="33" t="s">
        <v>20</v>
      </c>
      <c r="D692" s="33" t="s">
        <v>21</v>
      </c>
      <c r="E692" s="33" t="s">
        <v>15</v>
      </c>
      <c r="F692" s="33">
        <v>0</v>
      </c>
      <c r="G692" s="38">
        <v>423.18181820000001</v>
      </c>
    </row>
    <row r="693" spans="1:7" ht="18.75" x14ac:dyDescent="0.25">
      <c r="A693" s="37">
        <v>3003</v>
      </c>
      <c r="B693" s="33">
        <v>2311</v>
      </c>
      <c r="C693" s="33" t="s">
        <v>20</v>
      </c>
      <c r="D693" s="33" t="s">
        <v>21</v>
      </c>
      <c r="E693" s="33" t="s">
        <v>15</v>
      </c>
      <c r="F693" s="33">
        <v>14</v>
      </c>
      <c r="G693" s="34">
        <v>452.72727270000001</v>
      </c>
    </row>
    <row r="694" spans="1:7" ht="18.75" x14ac:dyDescent="0.25">
      <c r="A694" s="37">
        <v>3003</v>
      </c>
      <c r="B694" s="33">
        <v>2311</v>
      </c>
      <c r="C694" s="33" t="s">
        <v>20</v>
      </c>
      <c r="D694" s="33" t="s">
        <v>21</v>
      </c>
      <c r="E694" s="33" t="s">
        <v>15</v>
      </c>
      <c r="F694" s="33">
        <v>28</v>
      </c>
      <c r="G694" s="34">
        <v>470.90909090000002</v>
      </c>
    </row>
    <row r="695" spans="1:7" ht="18.75" x14ac:dyDescent="0.25">
      <c r="A695" s="37">
        <v>3003</v>
      </c>
      <c r="B695" s="33">
        <v>2311</v>
      </c>
      <c r="C695" s="33" t="s">
        <v>20</v>
      </c>
      <c r="D695" s="33" t="s">
        <v>21</v>
      </c>
      <c r="E695" s="33" t="s">
        <v>15</v>
      </c>
      <c r="F695" s="33">
        <v>42</v>
      </c>
      <c r="G695" s="34">
        <v>505</v>
      </c>
    </row>
    <row r="696" spans="1:7" ht="18.75" x14ac:dyDescent="0.25">
      <c r="A696" s="37">
        <v>3003</v>
      </c>
      <c r="B696" s="33">
        <v>2311</v>
      </c>
      <c r="C696" s="33" t="s">
        <v>20</v>
      </c>
      <c r="D696" s="33" t="s">
        <v>21</v>
      </c>
      <c r="E696" s="33" t="s">
        <v>15</v>
      </c>
      <c r="F696" s="33">
        <v>56</v>
      </c>
      <c r="G696" s="34">
        <v>522.72727269999996</v>
      </c>
    </row>
    <row r="697" spans="1:7" ht="18.75" x14ac:dyDescent="0.25">
      <c r="A697" s="37">
        <v>3003</v>
      </c>
      <c r="B697" s="33">
        <v>2311</v>
      </c>
      <c r="C697" s="33" t="s">
        <v>20</v>
      </c>
      <c r="D697" s="33" t="s">
        <v>21</v>
      </c>
      <c r="E697" s="33" t="s">
        <v>15</v>
      </c>
      <c r="F697" s="33">
        <v>70</v>
      </c>
      <c r="G697" s="34">
        <v>545.45454549999999</v>
      </c>
    </row>
    <row r="698" spans="1:7" ht="18.75" x14ac:dyDescent="0.25">
      <c r="A698" s="37">
        <v>3004</v>
      </c>
      <c r="B698" s="33">
        <v>2311</v>
      </c>
      <c r="C698" s="33" t="s">
        <v>23</v>
      </c>
      <c r="D698" s="33" t="s">
        <v>21</v>
      </c>
      <c r="E698" s="33" t="s">
        <v>24</v>
      </c>
      <c r="F698" s="33">
        <v>0</v>
      </c>
      <c r="G698" s="38">
        <v>388.18181820000001</v>
      </c>
    </row>
    <row r="699" spans="1:7" ht="18.75" x14ac:dyDescent="0.25">
      <c r="A699" s="37">
        <v>3004</v>
      </c>
      <c r="B699" s="33">
        <v>2311</v>
      </c>
      <c r="C699" s="33" t="s">
        <v>23</v>
      </c>
      <c r="D699" s="33" t="s">
        <v>21</v>
      </c>
      <c r="E699" s="33" t="s">
        <v>24</v>
      </c>
      <c r="F699" s="33">
        <v>14</v>
      </c>
      <c r="G699" s="34">
        <v>414.09090909999998</v>
      </c>
    </row>
    <row r="700" spans="1:7" ht="18.75" x14ac:dyDescent="0.25">
      <c r="A700" s="37">
        <v>3004</v>
      </c>
      <c r="B700" s="33">
        <v>2311</v>
      </c>
      <c r="C700" s="33" t="s">
        <v>23</v>
      </c>
      <c r="D700" s="33" t="s">
        <v>21</v>
      </c>
      <c r="E700" s="33" t="s">
        <v>24</v>
      </c>
      <c r="F700" s="33">
        <v>28</v>
      </c>
      <c r="G700" s="34">
        <v>435</v>
      </c>
    </row>
    <row r="701" spans="1:7" ht="18.75" x14ac:dyDescent="0.25">
      <c r="A701" s="37">
        <v>3004</v>
      </c>
      <c r="B701" s="33">
        <v>2311</v>
      </c>
      <c r="C701" s="33" t="s">
        <v>23</v>
      </c>
      <c r="D701" s="33" t="s">
        <v>21</v>
      </c>
      <c r="E701" s="33" t="s">
        <v>24</v>
      </c>
      <c r="F701" s="33">
        <v>42</v>
      </c>
      <c r="G701" s="34">
        <v>467.27272729999999</v>
      </c>
    </row>
    <row r="702" spans="1:7" ht="18.75" x14ac:dyDescent="0.25">
      <c r="A702" s="37">
        <v>3004</v>
      </c>
      <c r="B702" s="33">
        <v>2311</v>
      </c>
      <c r="C702" s="33" t="s">
        <v>23</v>
      </c>
      <c r="D702" s="33" t="s">
        <v>21</v>
      </c>
      <c r="E702" s="33" t="s">
        <v>24</v>
      </c>
      <c r="F702" s="33">
        <v>56</v>
      </c>
      <c r="G702" s="34">
        <v>491.81818179999999</v>
      </c>
    </row>
    <row r="703" spans="1:7" ht="18.75" x14ac:dyDescent="0.25">
      <c r="A703" s="37">
        <v>3004</v>
      </c>
      <c r="B703" s="33">
        <v>2311</v>
      </c>
      <c r="C703" s="33" t="s">
        <v>23</v>
      </c>
      <c r="D703" s="33" t="s">
        <v>21</v>
      </c>
      <c r="E703" s="33" t="s">
        <v>24</v>
      </c>
      <c r="F703" s="33">
        <v>70</v>
      </c>
      <c r="G703" s="34">
        <v>513.18181819999995</v>
      </c>
    </row>
    <row r="704" spans="1:7" ht="18.75" x14ac:dyDescent="0.25">
      <c r="A704" s="37">
        <v>3005</v>
      </c>
      <c r="B704" s="33">
        <v>2311</v>
      </c>
      <c r="C704" s="33" t="s">
        <v>23</v>
      </c>
      <c r="D704" s="33" t="s">
        <v>21</v>
      </c>
      <c r="E704" s="33" t="s">
        <v>24</v>
      </c>
      <c r="F704" s="33">
        <v>0</v>
      </c>
      <c r="G704" s="38">
        <v>449.54545450000001</v>
      </c>
    </row>
    <row r="705" spans="1:7" ht="18.75" x14ac:dyDescent="0.25">
      <c r="A705" s="37">
        <v>3005</v>
      </c>
      <c r="B705" s="33">
        <v>2311</v>
      </c>
      <c r="C705" s="33" t="s">
        <v>23</v>
      </c>
      <c r="D705" s="33" t="s">
        <v>21</v>
      </c>
      <c r="E705" s="33" t="s">
        <v>24</v>
      </c>
      <c r="F705" s="33">
        <v>14</v>
      </c>
      <c r="G705" s="34">
        <v>479.54545450000001</v>
      </c>
    </row>
    <row r="706" spans="1:7" ht="18.75" x14ac:dyDescent="0.25">
      <c r="A706" s="37">
        <v>3005</v>
      </c>
      <c r="B706" s="33">
        <v>2311</v>
      </c>
      <c r="C706" s="33" t="s">
        <v>23</v>
      </c>
      <c r="D706" s="33" t="s">
        <v>21</v>
      </c>
      <c r="E706" s="33" t="s">
        <v>24</v>
      </c>
      <c r="F706" s="33">
        <v>28</v>
      </c>
      <c r="G706" s="34">
        <v>497.27272729999999</v>
      </c>
    </row>
    <row r="707" spans="1:7" ht="18.75" x14ac:dyDescent="0.25">
      <c r="A707" s="37">
        <v>3005</v>
      </c>
      <c r="B707" s="33">
        <v>2311</v>
      </c>
      <c r="C707" s="33" t="s">
        <v>23</v>
      </c>
      <c r="D707" s="33" t="s">
        <v>21</v>
      </c>
      <c r="E707" s="33" t="s">
        <v>24</v>
      </c>
      <c r="F707" s="33">
        <v>42</v>
      </c>
      <c r="G707" s="34">
        <v>535</v>
      </c>
    </row>
    <row r="708" spans="1:7" ht="18.75" x14ac:dyDescent="0.25">
      <c r="A708" s="37">
        <v>3005</v>
      </c>
      <c r="B708" s="33">
        <v>2311</v>
      </c>
      <c r="C708" s="33" t="s">
        <v>23</v>
      </c>
      <c r="D708" s="33" t="s">
        <v>21</v>
      </c>
      <c r="E708" s="33" t="s">
        <v>24</v>
      </c>
      <c r="F708" s="33">
        <v>56</v>
      </c>
      <c r="G708" s="34">
        <v>585</v>
      </c>
    </row>
    <row r="709" spans="1:7" ht="18.75" x14ac:dyDescent="0.25">
      <c r="A709" s="37">
        <v>3005</v>
      </c>
      <c r="B709" s="33">
        <v>2311</v>
      </c>
      <c r="C709" s="33" t="s">
        <v>23</v>
      </c>
      <c r="D709" s="33" t="s">
        <v>21</v>
      </c>
      <c r="E709" s="33" t="s">
        <v>24</v>
      </c>
      <c r="F709" s="33">
        <v>70</v>
      </c>
      <c r="G709" s="34">
        <v>590</v>
      </c>
    </row>
    <row r="710" spans="1:7" ht="18.75" x14ac:dyDescent="0.25">
      <c r="A710" s="37">
        <v>3007</v>
      </c>
      <c r="B710" s="33">
        <v>2311</v>
      </c>
      <c r="C710" s="33" t="s">
        <v>23</v>
      </c>
      <c r="D710" s="33" t="s">
        <v>21</v>
      </c>
      <c r="E710" s="33" t="s">
        <v>24</v>
      </c>
      <c r="F710" s="33">
        <v>0</v>
      </c>
      <c r="G710" s="38">
        <v>400</v>
      </c>
    </row>
    <row r="711" spans="1:7" ht="18.75" x14ac:dyDescent="0.25">
      <c r="A711" s="37">
        <v>3007</v>
      </c>
      <c r="B711" s="33">
        <v>2311</v>
      </c>
      <c r="C711" s="33" t="s">
        <v>23</v>
      </c>
      <c r="D711" s="33" t="s">
        <v>21</v>
      </c>
      <c r="E711" s="33" t="s">
        <v>24</v>
      </c>
      <c r="F711" s="33">
        <v>14</v>
      </c>
      <c r="G711" s="34">
        <v>415.90909090000002</v>
      </c>
    </row>
    <row r="712" spans="1:7" ht="18.75" x14ac:dyDescent="0.25">
      <c r="A712" s="37">
        <v>3007</v>
      </c>
      <c r="B712" s="33">
        <v>2311</v>
      </c>
      <c r="C712" s="33" t="s">
        <v>23</v>
      </c>
      <c r="D712" s="33" t="s">
        <v>21</v>
      </c>
      <c r="E712" s="33" t="s">
        <v>24</v>
      </c>
      <c r="F712" s="33">
        <v>28</v>
      </c>
      <c r="G712" s="34">
        <v>436.36363640000002</v>
      </c>
    </row>
    <row r="713" spans="1:7" ht="18.75" x14ac:dyDescent="0.25">
      <c r="A713" s="37">
        <v>3007</v>
      </c>
      <c r="B713" s="33">
        <v>2311</v>
      </c>
      <c r="C713" s="33" t="s">
        <v>23</v>
      </c>
      <c r="D713" s="33" t="s">
        <v>21</v>
      </c>
      <c r="E713" s="33" t="s">
        <v>24</v>
      </c>
      <c r="F713" s="33">
        <v>42</v>
      </c>
      <c r="G713" s="34">
        <v>458.63636359999998</v>
      </c>
    </row>
    <row r="714" spans="1:7" ht="18.75" x14ac:dyDescent="0.25">
      <c r="A714" s="37">
        <v>3007</v>
      </c>
      <c r="B714" s="33">
        <v>2311</v>
      </c>
      <c r="C714" s="33" t="s">
        <v>23</v>
      </c>
      <c r="D714" s="33" t="s">
        <v>21</v>
      </c>
      <c r="E714" s="33" t="s">
        <v>24</v>
      </c>
      <c r="F714" s="33">
        <v>56</v>
      </c>
      <c r="G714" s="34">
        <v>489.54545450000001</v>
      </c>
    </row>
    <row r="715" spans="1:7" ht="18.75" x14ac:dyDescent="0.25">
      <c r="A715" s="37">
        <v>3007</v>
      </c>
      <c r="B715" s="33">
        <v>2311</v>
      </c>
      <c r="C715" s="33" t="s">
        <v>23</v>
      </c>
      <c r="D715" s="33" t="s">
        <v>21</v>
      </c>
      <c r="E715" s="33" t="s">
        <v>24</v>
      </c>
      <c r="F715" s="33">
        <v>70</v>
      </c>
      <c r="G715" s="34">
        <v>521.36363640000002</v>
      </c>
    </row>
    <row r="716" spans="1:7" ht="18.75" x14ac:dyDescent="0.25">
      <c r="A716" s="37">
        <v>3009</v>
      </c>
      <c r="B716" s="33">
        <v>2311</v>
      </c>
      <c r="C716" s="33" t="s">
        <v>14</v>
      </c>
      <c r="D716" s="33" t="s">
        <v>15</v>
      </c>
      <c r="E716" s="33" t="s">
        <v>15</v>
      </c>
      <c r="F716" s="33">
        <v>0</v>
      </c>
      <c r="G716" s="38">
        <v>465</v>
      </c>
    </row>
    <row r="717" spans="1:7" ht="18.75" x14ac:dyDescent="0.25">
      <c r="A717" s="37">
        <v>3009</v>
      </c>
      <c r="B717" s="33">
        <v>2311</v>
      </c>
      <c r="C717" s="33" t="s">
        <v>14</v>
      </c>
      <c r="D717" s="33" t="s">
        <v>15</v>
      </c>
      <c r="E717" s="33" t="s">
        <v>15</v>
      </c>
      <c r="F717" s="33">
        <v>14</v>
      </c>
      <c r="G717" s="34">
        <v>487.72727270000001</v>
      </c>
    </row>
    <row r="718" spans="1:7" ht="18.75" x14ac:dyDescent="0.25">
      <c r="A718" s="37">
        <v>3009</v>
      </c>
      <c r="B718" s="33">
        <v>2311</v>
      </c>
      <c r="C718" s="33" t="s">
        <v>14</v>
      </c>
      <c r="D718" s="33" t="s">
        <v>15</v>
      </c>
      <c r="E718" s="33" t="s">
        <v>15</v>
      </c>
      <c r="F718" s="33">
        <v>28</v>
      </c>
      <c r="G718" s="34">
        <v>522.27272730000004</v>
      </c>
    </row>
    <row r="719" spans="1:7" ht="18.75" x14ac:dyDescent="0.25">
      <c r="A719" s="37">
        <v>3009</v>
      </c>
      <c r="B719" s="33">
        <v>2311</v>
      </c>
      <c r="C719" s="33" t="s">
        <v>14</v>
      </c>
      <c r="D719" s="33" t="s">
        <v>15</v>
      </c>
      <c r="E719" s="33" t="s">
        <v>15</v>
      </c>
      <c r="F719" s="33">
        <v>42</v>
      </c>
      <c r="G719" s="34">
        <v>545.90909090000002</v>
      </c>
    </row>
    <row r="720" spans="1:7" ht="18.75" x14ac:dyDescent="0.25">
      <c r="A720" s="37">
        <v>3009</v>
      </c>
      <c r="B720" s="33">
        <v>2311</v>
      </c>
      <c r="C720" s="33" t="s">
        <v>14</v>
      </c>
      <c r="D720" s="33" t="s">
        <v>15</v>
      </c>
      <c r="E720" s="33" t="s">
        <v>15</v>
      </c>
      <c r="F720" s="33">
        <v>56</v>
      </c>
      <c r="G720" s="34">
        <v>582.72727269999996</v>
      </c>
    </row>
    <row r="721" spans="1:7" ht="18.75" x14ac:dyDescent="0.25">
      <c r="A721" s="37">
        <v>3009</v>
      </c>
      <c r="B721" s="33">
        <v>2311</v>
      </c>
      <c r="C721" s="33" t="s">
        <v>14</v>
      </c>
      <c r="D721" s="33" t="s">
        <v>15</v>
      </c>
      <c r="E721" s="33" t="s">
        <v>15</v>
      </c>
      <c r="F721" s="33">
        <v>70</v>
      </c>
      <c r="G721" s="34">
        <v>599.54545450000001</v>
      </c>
    </row>
    <row r="722" spans="1:7" ht="18.75" x14ac:dyDescent="0.25">
      <c r="A722" s="37">
        <v>3010</v>
      </c>
      <c r="B722" s="33">
        <v>2311</v>
      </c>
      <c r="C722" s="33" t="s">
        <v>20</v>
      </c>
      <c r="D722" s="33" t="s">
        <v>21</v>
      </c>
      <c r="E722" s="33" t="s">
        <v>15</v>
      </c>
      <c r="F722" s="33">
        <v>0</v>
      </c>
      <c r="G722" s="38">
        <v>438.63636359999998</v>
      </c>
    </row>
    <row r="723" spans="1:7" ht="18.75" x14ac:dyDescent="0.25">
      <c r="A723" s="37">
        <v>3010</v>
      </c>
      <c r="B723" s="33">
        <v>2311</v>
      </c>
      <c r="C723" s="33" t="s">
        <v>20</v>
      </c>
      <c r="D723" s="33" t="s">
        <v>21</v>
      </c>
      <c r="E723" s="33" t="s">
        <v>15</v>
      </c>
      <c r="F723" s="33">
        <v>14</v>
      </c>
      <c r="G723" s="34">
        <v>463.18181820000001</v>
      </c>
    </row>
    <row r="724" spans="1:7" ht="18.75" x14ac:dyDescent="0.25">
      <c r="A724" s="37">
        <v>3010</v>
      </c>
      <c r="B724" s="33">
        <v>2311</v>
      </c>
      <c r="C724" s="33" t="s">
        <v>20</v>
      </c>
      <c r="D724" s="33" t="s">
        <v>21</v>
      </c>
      <c r="E724" s="33" t="s">
        <v>15</v>
      </c>
      <c r="F724" s="33">
        <v>28</v>
      </c>
      <c r="G724" s="34">
        <v>481.36363640000002</v>
      </c>
    </row>
    <row r="725" spans="1:7" ht="18.75" x14ac:dyDescent="0.25">
      <c r="A725" s="37">
        <v>3010</v>
      </c>
      <c r="B725" s="33">
        <v>2311</v>
      </c>
      <c r="C725" s="33" t="s">
        <v>20</v>
      </c>
      <c r="D725" s="33" t="s">
        <v>21</v>
      </c>
      <c r="E725" s="33" t="s">
        <v>15</v>
      </c>
      <c r="F725" s="33">
        <v>42</v>
      </c>
      <c r="G725" s="34">
        <v>492.27272729999999</v>
      </c>
    </row>
    <row r="726" spans="1:7" ht="18.75" x14ac:dyDescent="0.25">
      <c r="A726" s="37">
        <v>3010</v>
      </c>
      <c r="B726" s="33">
        <v>2311</v>
      </c>
      <c r="C726" s="33" t="s">
        <v>20</v>
      </c>
      <c r="D726" s="33" t="s">
        <v>21</v>
      </c>
      <c r="E726" s="33" t="s">
        <v>15</v>
      </c>
      <c r="F726" s="33">
        <v>56</v>
      </c>
      <c r="G726" s="34">
        <v>524.09090909999998</v>
      </c>
    </row>
    <row r="727" spans="1:7" ht="18.75" x14ac:dyDescent="0.25">
      <c r="A727" s="37">
        <v>3010</v>
      </c>
      <c r="B727" s="33">
        <v>2311</v>
      </c>
      <c r="C727" s="33" t="s">
        <v>20</v>
      </c>
      <c r="D727" s="33" t="s">
        <v>21</v>
      </c>
      <c r="E727" s="33" t="s">
        <v>15</v>
      </c>
      <c r="F727" s="33">
        <v>70</v>
      </c>
      <c r="G727" s="34">
        <v>546.36363640000002</v>
      </c>
    </row>
    <row r="728" spans="1:7" ht="18.75" x14ac:dyDescent="0.25">
      <c r="A728" s="37">
        <v>3012</v>
      </c>
      <c r="B728" s="33">
        <v>2311</v>
      </c>
      <c r="C728" s="33" t="s">
        <v>14</v>
      </c>
      <c r="D728" s="33" t="s">
        <v>15</v>
      </c>
      <c r="E728" s="33" t="s">
        <v>15</v>
      </c>
      <c r="F728" s="33">
        <v>0</v>
      </c>
      <c r="G728" s="38">
        <v>438.63636359999998</v>
      </c>
    </row>
    <row r="729" spans="1:7" ht="18.75" x14ac:dyDescent="0.25">
      <c r="A729" s="37">
        <v>3012</v>
      </c>
      <c r="B729" s="33">
        <v>2311</v>
      </c>
      <c r="C729" s="33" t="s">
        <v>14</v>
      </c>
      <c r="D729" s="33" t="s">
        <v>15</v>
      </c>
      <c r="E729" s="33" t="s">
        <v>15</v>
      </c>
      <c r="F729" s="33">
        <v>14</v>
      </c>
      <c r="G729" s="34">
        <v>458.63636359999998</v>
      </c>
    </row>
    <row r="730" spans="1:7" ht="18.75" x14ac:dyDescent="0.25">
      <c r="A730" s="37">
        <v>3012</v>
      </c>
      <c r="B730" s="33">
        <v>2311</v>
      </c>
      <c r="C730" s="33" t="s">
        <v>14</v>
      </c>
      <c r="D730" s="33" t="s">
        <v>15</v>
      </c>
      <c r="E730" s="33" t="s">
        <v>15</v>
      </c>
      <c r="F730" s="33">
        <v>28</v>
      </c>
      <c r="G730" s="34">
        <v>500.45454549999999</v>
      </c>
    </row>
    <row r="731" spans="1:7" ht="18.75" x14ac:dyDescent="0.25">
      <c r="A731" s="37">
        <v>3012</v>
      </c>
      <c r="B731" s="33">
        <v>2311</v>
      </c>
      <c r="C731" s="33" t="s">
        <v>14</v>
      </c>
      <c r="D731" s="33" t="s">
        <v>15</v>
      </c>
      <c r="E731" s="33" t="s">
        <v>15</v>
      </c>
      <c r="F731" s="33">
        <v>42</v>
      </c>
      <c r="G731" s="34">
        <v>510</v>
      </c>
    </row>
    <row r="732" spans="1:7" ht="18.75" x14ac:dyDescent="0.25">
      <c r="A732" s="37">
        <v>3012</v>
      </c>
      <c r="B732" s="33">
        <v>2311</v>
      </c>
      <c r="C732" s="33" t="s">
        <v>14</v>
      </c>
      <c r="D732" s="33" t="s">
        <v>15</v>
      </c>
      <c r="E732" s="33" t="s">
        <v>15</v>
      </c>
      <c r="F732" s="33">
        <v>56</v>
      </c>
      <c r="G732" s="34">
        <v>543.18181819999995</v>
      </c>
    </row>
    <row r="733" spans="1:7" ht="18.75" x14ac:dyDescent="0.25">
      <c r="A733" s="37">
        <v>3012</v>
      </c>
      <c r="B733" s="33">
        <v>2311</v>
      </c>
      <c r="C733" s="33" t="s">
        <v>14</v>
      </c>
      <c r="D733" s="33" t="s">
        <v>15</v>
      </c>
      <c r="E733" s="33" t="s">
        <v>15</v>
      </c>
      <c r="F733" s="33">
        <v>70</v>
      </c>
      <c r="G733" s="34">
        <v>574.09090909999998</v>
      </c>
    </row>
    <row r="734" spans="1:7" ht="18.75" x14ac:dyDescent="0.25">
      <c r="A734" s="37">
        <v>3013</v>
      </c>
      <c r="B734" s="33">
        <v>2311</v>
      </c>
      <c r="C734" s="33" t="s">
        <v>14</v>
      </c>
      <c r="D734" s="33" t="s">
        <v>15</v>
      </c>
      <c r="E734" s="33" t="s">
        <v>15</v>
      </c>
      <c r="F734" s="33">
        <v>0</v>
      </c>
      <c r="G734" s="38">
        <v>490</v>
      </c>
    </row>
    <row r="735" spans="1:7" ht="18.75" x14ac:dyDescent="0.25">
      <c r="A735" s="37">
        <v>3013</v>
      </c>
      <c r="B735" s="33">
        <v>2311</v>
      </c>
      <c r="C735" s="33" t="s">
        <v>14</v>
      </c>
      <c r="D735" s="33" t="s">
        <v>15</v>
      </c>
      <c r="E735" s="33" t="s">
        <v>15</v>
      </c>
      <c r="F735" s="33">
        <v>14</v>
      </c>
      <c r="G735" s="34">
        <v>518.63636359999998</v>
      </c>
    </row>
    <row r="736" spans="1:7" ht="18.75" x14ac:dyDescent="0.25">
      <c r="A736" s="37">
        <v>3013</v>
      </c>
      <c r="B736" s="33">
        <v>2311</v>
      </c>
      <c r="C736" s="33" t="s">
        <v>14</v>
      </c>
      <c r="D736" s="33" t="s">
        <v>15</v>
      </c>
      <c r="E736" s="33" t="s">
        <v>15</v>
      </c>
      <c r="F736" s="33">
        <v>28</v>
      </c>
      <c r="G736" s="34">
        <v>537.72727269999996</v>
      </c>
    </row>
    <row r="737" spans="1:7" ht="18.75" x14ac:dyDescent="0.25">
      <c r="A737" s="37">
        <v>3013</v>
      </c>
      <c r="B737" s="33">
        <v>2311</v>
      </c>
      <c r="C737" s="33" t="s">
        <v>14</v>
      </c>
      <c r="D737" s="33" t="s">
        <v>15</v>
      </c>
      <c r="E737" s="33" t="s">
        <v>15</v>
      </c>
      <c r="F737" s="33">
        <v>42</v>
      </c>
      <c r="G737" s="34">
        <v>561.36363640000002</v>
      </c>
    </row>
    <row r="738" spans="1:7" ht="18.75" x14ac:dyDescent="0.25">
      <c r="A738" s="37">
        <v>3013</v>
      </c>
      <c r="B738" s="33">
        <v>2311</v>
      </c>
      <c r="C738" s="33" t="s">
        <v>14</v>
      </c>
      <c r="D738" s="33" t="s">
        <v>15</v>
      </c>
      <c r="E738" s="33" t="s">
        <v>15</v>
      </c>
      <c r="F738" s="33">
        <v>56</v>
      </c>
      <c r="G738" s="34">
        <v>612.27272730000004</v>
      </c>
    </row>
    <row r="739" spans="1:7" ht="18.75" x14ac:dyDescent="0.25">
      <c r="A739" s="37">
        <v>3013</v>
      </c>
      <c r="B739" s="33">
        <v>2311</v>
      </c>
      <c r="C739" s="33" t="s">
        <v>14</v>
      </c>
      <c r="D739" s="33" t="s">
        <v>15</v>
      </c>
      <c r="E739" s="33" t="s">
        <v>15</v>
      </c>
      <c r="F739" s="33">
        <v>70</v>
      </c>
      <c r="G739" s="34">
        <v>635.90909090000002</v>
      </c>
    </row>
    <row r="740" spans="1:7" ht="18.75" x14ac:dyDescent="0.25">
      <c r="A740" s="37">
        <v>3014</v>
      </c>
      <c r="B740" s="33">
        <v>2311</v>
      </c>
      <c r="C740" s="33" t="s">
        <v>23</v>
      </c>
      <c r="D740" s="33" t="s">
        <v>21</v>
      </c>
      <c r="E740" s="33" t="s">
        <v>24</v>
      </c>
      <c r="F740" s="33">
        <v>0</v>
      </c>
      <c r="G740" s="38">
        <v>455.45454549999999</v>
      </c>
    </row>
    <row r="741" spans="1:7" ht="18.75" x14ac:dyDescent="0.25">
      <c r="A741" s="37">
        <v>3014</v>
      </c>
      <c r="B741" s="33">
        <v>2311</v>
      </c>
      <c r="C741" s="33" t="s">
        <v>23</v>
      </c>
      <c r="D741" s="33" t="s">
        <v>21</v>
      </c>
      <c r="E741" s="33" t="s">
        <v>24</v>
      </c>
      <c r="F741" s="33">
        <v>14</v>
      </c>
      <c r="G741" s="34">
        <v>488.63636359999998</v>
      </c>
    </row>
    <row r="742" spans="1:7" ht="18.75" x14ac:dyDescent="0.25">
      <c r="A742" s="37">
        <v>3014</v>
      </c>
      <c r="B742" s="33">
        <v>2311</v>
      </c>
      <c r="C742" s="33" t="s">
        <v>23</v>
      </c>
      <c r="D742" s="33" t="s">
        <v>21</v>
      </c>
      <c r="E742" s="33" t="s">
        <v>24</v>
      </c>
      <c r="F742" s="33">
        <v>28</v>
      </c>
      <c r="G742" s="34">
        <v>501.36363640000002</v>
      </c>
    </row>
    <row r="743" spans="1:7" ht="18.75" x14ac:dyDescent="0.25">
      <c r="A743" s="37">
        <v>3014</v>
      </c>
      <c r="B743" s="33">
        <v>2311</v>
      </c>
      <c r="C743" s="33" t="s">
        <v>23</v>
      </c>
      <c r="D743" s="33" t="s">
        <v>21</v>
      </c>
      <c r="E743" s="33" t="s">
        <v>24</v>
      </c>
      <c r="F743" s="33">
        <v>42</v>
      </c>
      <c r="G743" s="34">
        <v>537.27272730000004</v>
      </c>
    </row>
    <row r="744" spans="1:7" ht="18.75" x14ac:dyDescent="0.25">
      <c r="A744" s="37">
        <v>3014</v>
      </c>
      <c r="B744" s="33">
        <v>2311</v>
      </c>
      <c r="C744" s="33" t="s">
        <v>23</v>
      </c>
      <c r="D744" s="33" t="s">
        <v>21</v>
      </c>
      <c r="E744" s="33" t="s">
        <v>24</v>
      </c>
      <c r="F744" s="33">
        <v>56</v>
      </c>
      <c r="G744" s="34">
        <v>577.27272730000004</v>
      </c>
    </row>
    <row r="745" spans="1:7" ht="18.75" x14ac:dyDescent="0.25">
      <c r="A745" s="37">
        <v>3014</v>
      </c>
      <c r="B745" s="33">
        <v>2311</v>
      </c>
      <c r="C745" s="33" t="s">
        <v>23</v>
      </c>
      <c r="D745" s="33" t="s">
        <v>21</v>
      </c>
      <c r="E745" s="33" t="s">
        <v>24</v>
      </c>
      <c r="F745" s="33">
        <v>70</v>
      </c>
      <c r="G745" s="34">
        <v>587.72727269999996</v>
      </c>
    </row>
    <row r="746" spans="1:7" ht="18.75" x14ac:dyDescent="0.25">
      <c r="A746" s="37">
        <v>3015</v>
      </c>
      <c r="B746" s="33">
        <v>2311</v>
      </c>
      <c r="C746" s="33" t="s">
        <v>20</v>
      </c>
      <c r="D746" s="33" t="s">
        <v>21</v>
      </c>
      <c r="E746" s="33" t="s">
        <v>15</v>
      </c>
      <c r="F746" s="33">
        <v>0</v>
      </c>
      <c r="G746" s="38">
        <v>452.72727270000001</v>
      </c>
    </row>
    <row r="747" spans="1:7" ht="18.75" x14ac:dyDescent="0.25">
      <c r="A747" s="37">
        <v>3015</v>
      </c>
      <c r="B747" s="33">
        <v>2311</v>
      </c>
      <c r="C747" s="33" t="s">
        <v>20</v>
      </c>
      <c r="D747" s="33" t="s">
        <v>21</v>
      </c>
      <c r="E747" s="33" t="s">
        <v>15</v>
      </c>
      <c r="F747" s="33">
        <v>14</v>
      </c>
      <c r="G747" s="34">
        <v>487.27272729999999</v>
      </c>
    </row>
    <row r="748" spans="1:7" ht="18.75" x14ac:dyDescent="0.25">
      <c r="A748" s="37">
        <v>3015</v>
      </c>
      <c r="B748" s="33">
        <v>2311</v>
      </c>
      <c r="C748" s="33" t="s">
        <v>20</v>
      </c>
      <c r="D748" s="33" t="s">
        <v>21</v>
      </c>
      <c r="E748" s="33" t="s">
        <v>15</v>
      </c>
      <c r="F748" s="33">
        <v>28</v>
      </c>
      <c r="G748" s="34">
        <v>502.27272729999999</v>
      </c>
    </row>
    <row r="749" spans="1:7" ht="18.75" x14ac:dyDescent="0.25">
      <c r="A749" s="37">
        <v>3015</v>
      </c>
      <c r="B749" s="33">
        <v>2311</v>
      </c>
      <c r="C749" s="33" t="s">
        <v>20</v>
      </c>
      <c r="D749" s="33" t="s">
        <v>21</v>
      </c>
      <c r="E749" s="33" t="s">
        <v>15</v>
      </c>
      <c r="F749" s="33">
        <v>42</v>
      </c>
      <c r="G749" s="34">
        <v>530.45454549999999</v>
      </c>
    </row>
    <row r="750" spans="1:7" ht="18.75" x14ac:dyDescent="0.25">
      <c r="A750" s="37">
        <v>3015</v>
      </c>
      <c r="B750" s="33">
        <v>2311</v>
      </c>
      <c r="C750" s="33" t="s">
        <v>20</v>
      </c>
      <c r="D750" s="33" t="s">
        <v>21</v>
      </c>
      <c r="E750" s="33" t="s">
        <v>15</v>
      </c>
      <c r="F750" s="33">
        <v>56</v>
      </c>
      <c r="G750" s="34">
        <v>554.54545450000001</v>
      </c>
    </row>
    <row r="751" spans="1:7" ht="18.75" x14ac:dyDescent="0.25">
      <c r="A751" s="37">
        <v>3015</v>
      </c>
      <c r="B751" s="33">
        <v>2311</v>
      </c>
      <c r="C751" s="33" t="s">
        <v>20</v>
      </c>
      <c r="D751" s="33" t="s">
        <v>21</v>
      </c>
      <c r="E751" s="33" t="s">
        <v>15</v>
      </c>
      <c r="F751" s="33">
        <v>70</v>
      </c>
      <c r="G751" s="34">
        <v>582.27272730000004</v>
      </c>
    </row>
    <row r="752" spans="1:7" ht="18.75" x14ac:dyDescent="0.25">
      <c r="A752" s="37">
        <v>3016</v>
      </c>
      <c r="B752" s="33">
        <v>2311</v>
      </c>
      <c r="C752" s="33" t="s">
        <v>14</v>
      </c>
      <c r="D752" s="33" t="s">
        <v>15</v>
      </c>
      <c r="E752" s="33" t="s">
        <v>15</v>
      </c>
      <c r="F752" s="33">
        <v>0</v>
      </c>
      <c r="G752" s="38">
        <v>442.27272729999999</v>
      </c>
    </row>
    <row r="753" spans="1:7" ht="18.75" x14ac:dyDescent="0.25">
      <c r="A753" s="37">
        <v>3016</v>
      </c>
      <c r="B753" s="33">
        <v>2311</v>
      </c>
      <c r="C753" s="33" t="s">
        <v>14</v>
      </c>
      <c r="D753" s="33" t="s">
        <v>15</v>
      </c>
      <c r="E753" s="33" t="s">
        <v>15</v>
      </c>
      <c r="F753" s="33">
        <v>14</v>
      </c>
      <c r="G753" s="34">
        <v>481.36363640000002</v>
      </c>
    </row>
    <row r="754" spans="1:7" ht="18.75" x14ac:dyDescent="0.25">
      <c r="A754" s="37">
        <v>3016</v>
      </c>
      <c r="B754" s="33">
        <v>2311</v>
      </c>
      <c r="C754" s="33" t="s">
        <v>14</v>
      </c>
      <c r="D754" s="33" t="s">
        <v>15</v>
      </c>
      <c r="E754" s="33" t="s">
        <v>15</v>
      </c>
      <c r="F754" s="33">
        <v>28</v>
      </c>
      <c r="G754" s="34">
        <v>501.36363640000002</v>
      </c>
    </row>
    <row r="755" spans="1:7" ht="18.75" x14ac:dyDescent="0.25">
      <c r="A755" s="37">
        <v>3016</v>
      </c>
      <c r="B755" s="33">
        <v>2311</v>
      </c>
      <c r="C755" s="33" t="s">
        <v>14</v>
      </c>
      <c r="D755" s="33" t="s">
        <v>15</v>
      </c>
      <c r="E755" s="33" t="s">
        <v>15</v>
      </c>
      <c r="F755" s="33">
        <v>42</v>
      </c>
      <c r="G755" s="34">
        <v>528.63636359999998</v>
      </c>
    </row>
    <row r="756" spans="1:7" ht="18.75" x14ac:dyDescent="0.25">
      <c r="A756" s="37">
        <v>3016</v>
      </c>
      <c r="B756" s="33">
        <v>2311</v>
      </c>
      <c r="C756" s="33" t="s">
        <v>14</v>
      </c>
      <c r="D756" s="33" t="s">
        <v>15</v>
      </c>
      <c r="E756" s="33" t="s">
        <v>15</v>
      </c>
      <c r="F756" s="33">
        <v>56</v>
      </c>
      <c r="G756" s="34">
        <v>568.63636359999998</v>
      </c>
    </row>
    <row r="757" spans="1:7" ht="18.75" x14ac:dyDescent="0.25">
      <c r="A757" s="37">
        <v>3016</v>
      </c>
      <c r="B757" s="33">
        <v>2311</v>
      </c>
      <c r="C757" s="33" t="s">
        <v>14</v>
      </c>
      <c r="D757" s="33" t="s">
        <v>15</v>
      </c>
      <c r="E757" s="33" t="s">
        <v>15</v>
      </c>
      <c r="F757" s="33">
        <v>70</v>
      </c>
      <c r="G757" s="34">
        <v>600.45454549999999</v>
      </c>
    </row>
    <row r="758" spans="1:7" ht="18.75" x14ac:dyDescent="0.25">
      <c r="A758" s="37">
        <v>3017</v>
      </c>
      <c r="B758" s="33">
        <v>2311</v>
      </c>
      <c r="C758" s="33" t="s">
        <v>23</v>
      </c>
      <c r="D758" s="33" t="s">
        <v>21</v>
      </c>
      <c r="E758" s="33" t="s">
        <v>24</v>
      </c>
      <c r="F758" s="33">
        <v>0</v>
      </c>
      <c r="G758" s="38">
        <v>423.63636359999998</v>
      </c>
    </row>
    <row r="759" spans="1:7" ht="18.75" x14ac:dyDescent="0.25">
      <c r="A759" s="37">
        <v>3017</v>
      </c>
      <c r="B759" s="33">
        <v>2311</v>
      </c>
      <c r="C759" s="33" t="s">
        <v>23</v>
      </c>
      <c r="D759" s="33" t="s">
        <v>21</v>
      </c>
      <c r="E759" s="33" t="s">
        <v>24</v>
      </c>
      <c r="F759" s="33">
        <v>14</v>
      </c>
      <c r="G759" s="34">
        <v>445</v>
      </c>
    </row>
    <row r="760" spans="1:7" ht="18.75" x14ac:dyDescent="0.25">
      <c r="A760" s="37">
        <v>3017</v>
      </c>
      <c r="B760" s="33">
        <v>2311</v>
      </c>
      <c r="C760" s="33" t="s">
        <v>23</v>
      </c>
      <c r="D760" s="33" t="s">
        <v>21</v>
      </c>
      <c r="E760" s="33" t="s">
        <v>24</v>
      </c>
      <c r="F760" s="33">
        <v>28</v>
      </c>
      <c r="G760" s="34">
        <v>480</v>
      </c>
    </row>
    <row r="761" spans="1:7" ht="18.75" x14ac:dyDescent="0.25">
      <c r="A761" s="37">
        <v>3017</v>
      </c>
      <c r="B761" s="33">
        <v>2311</v>
      </c>
      <c r="C761" s="33" t="s">
        <v>23</v>
      </c>
      <c r="D761" s="33" t="s">
        <v>21</v>
      </c>
      <c r="E761" s="33" t="s">
        <v>24</v>
      </c>
      <c r="F761" s="33">
        <v>42</v>
      </c>
      <c r="G761" s="34">
        <v>507.27272729999999</v>
      </c>
    </row>
    <row r="762" spans="1:7" ht="18.75" x14ac:dyDescent="0.25">
      <c r="A762" s="37">
        <v>3017</v>
      </c>
      <c r="B762" s="33">
        <v>2311</v>
      </c>
      <c r="C762" s="33" t="s">
        <v>23</v>
      </c>
      <c r="D762" s="33" t="s">
        <v>21</v>
      </c>
      <c r="E762" s="33" t="s">
        <v>24</v>
      </c>
      <c r="F762" s="33">
        <v>56</v>
      </c>
      <c r="G762" s="34">
        <v>544.54545450000001</v>
      </c>
    </row>
    <row r="763" spans="1:7" ht="18.75" x14ac:dyDescent="0.25">
      <c r="A763" s="37">
        <v>3018</v>
      </c>
      <c r="B763" s="33">
        <v>2311</v>
      </c>
      <c r="C763" s="33" t="s">
        <v>14</v>
      </c>
      <c r="D763" s="33" t="s">
        <v>15</v>
      </c>
      <c r="E763" s="33" t="s">
        <v>15</v>
      </c>
      <c r="F763" s="33">
        <v>0</v>
      </c>
      <c r="G763" s="38">
        <v>426.81818179999999</v>
      </c>
    </row>
    <row r="764" spans="1:7" ht="18.75" x14ac:dyDescent="0.25">
      <c r="A764" s="37">
        <v>3018</v>
      </c>
      <c r="B764" s="33">
        <v>2311</v>
      </c>
      <c r="C764" s="33" t="s">
        <v>14</v>
      </c>
      <c r="D764" s="33" t="s">
        <v>15</v>
      </c>
      <c r="E764" s="33" t="s">
        <v>15</v>
      </c>
      <c r="F764" s="33">
        <v>14</v>
      </c>
      <c r="G764" s="34">
        <v>461.81818179999999</v>
      </c>
    </row>
    <row r="765" spans="1:7" ht="18.75" x14ac:dyDescent="0.25">
      <c r="A765" s="37">
        <v>3018</v>
      </c>
      <c r="B765" s="33">
        <v>2311</v>
      </c>
      <c r="C765" s="33" t="s">
        <v>14</v>
      </c>
      <c r="D765" s="33" t="s">
        <v>15</v>
      </c>
      <c r="E765" s="33" t="s">
        <v>15</v>
      </c>
      <c r="F765" s="33">
        <v>28</v>
      </c>
      <c r="G765" s="34">
        <v>482.72727270000001</v>
      </c>
    </row>
    <row r="766" spans="1:7" ht="18.75" x14ac:dyDescent="0.25">
      <c r="A766" s="37">
        <v>3018</v>
      </c>
      <c r="B766" s="33">
        <v>2311</v>
      </c>
      <c r="C766" s="33" t="s">
        <v>14</v>
      </c>
      <c r="D766" s="33" t="s">
        <v>15</v>
      </c>
      <c r="E766" s="33" t="s">
        <v>15</v>
      </c>
      <c r="F766" s="33">
        <v>42</v>
      </c>
      <c r="G766" s="34">
        <v>510.90909090000002</v>
      </c>
    </row>
    <row r="767" spans="1:7" ht="18.75" x14ac:dyDescent="0.25">
      <c r="A767" s="37">
        <v>3018</v>
      </c>
      <c r="B767" s="33">
        <v>2311</v>
      </c>
      <c r="C767" s="33" t="s">
        <v>14</v>
      </c>
      <c r="D767" s="33" t="s">
        <v>15</v>
      </c>
      <c r="E767" s="33" t="s">
        <v>15</v>
      </c>
      <c r="F767" s="33">
        <v>56</v>
      </c>
      <c r="G767" s="34">
        <v>550.90909090000002</v>
      </c>
    </row>
    <row r="768" spans="1:7" ht="18.75" x14ac:dyDescent="0.25">
      <c r="A768" s="37">
        <v>3018</v>
      </c>
      <c r="B768" s="33">
        <v>2311</v>
      </c>
      <c r="C768" s="33" t="s">
        <v>14</v>
      </c>
      <c r="D768" s="33" t="s">
        <v>15</v>
      </c>
      <c r="E768" s="33" t="s">
        <v>15</v>
      </c>
      <c r="F768" s="33">
        <v>70</v>
      </c>
      <c r="G768" s="34">
        <v>560</v>
      </c>
    </row>
    <row r="769" spans="1:7" ht="18.75" x14ac:dyDescent="0.25">
      <c r="A769" s="37">
        <v>3019</v>
      </c>
      <c r="B769" s="33">
        <v>2311</v>
      </c>
      <c r="C769" s="33" t="s">
        <v>14</v>
      </c>
      <c r="D769" s="33" t="s">
        <v>15</v>
      </c>
      <c r="E769" s="33" t="s">
        <v>15</v>
      </c>
      <c r="F769" s="33">
        <v>0</v>
      </c>
      <c r="G769" s="38">
        <v>428.63636359999998</v>
      </c>
    </row>
    <row r="770" spans="1:7" ht="18.75" x14ac:dyDescent="0.25">
      <c r="A770" s="37">
        <v>3019</v>
      </c>
      <c r="B770" s="33">
        <v>2311</v>
      </c>
      <c r="C770" s="33" t="s">
        <v>14</v>
      </c>
      <c r="D770" s="33" t="s">
        <v>15</v>
      </c>
      <c r="E770" s="33" t="s">
        <v>15</v>
      </c>
      <c r="F770" s="33">
        <v>14</v>
      </c>
      <c r="G770" s="34">
        <v>458.63636359999998</v>
      </c>
    </row>
    <row r="771" spans="1:7" ht="18.75" x14ac:dyDescent="0.25">
      <c r="A771" s="37">
        <v>3019</v>
      </c>
      <c r="B771" s="33">
        <v>2311</v>
      </c>
      <c r="C771" s="33" t="s">
        <v>14</v>
      </c>
      <c r="D771" s="33" t="s">
        <v>15</v>
      </c>
      <c r="E771" s="33" t="s">
        <v>15</v>
      </c>
      <c r="F771" s="33">
        <v>28</v>
      </c>
      <c r="G771" s="34">
        <v>488.63636359999998</v>
      </c>
    </row>
    <row r="772" spans="1:7" ht="18.75" x14ac:dyDescent="0.25">
      <c r="A772" s="37">
        <v>3019</v>
      </c>
      <c r="B772" s="33">
        <v>2311</v>
      </c>
      <c r="C772" s="33" t="s">
        <v>14</v>
      </c>
      <c r="D772" s="33" t="s">
        <v>15</v>
      </c>
      <c r="E772" s="33" t="s">
        <v>15</v>
      </c>
      <c r="F772" s="33">
        <v>42</v>
      </c>
      <c r="G772" s="34">
        <v>525</v>
      </c>
    </row>
    <row r="773" spans="1:7" ht="18.75" x14ac:dyDescent="0.25">
      <c r="A773" s="37">
        <v>3019</v>
      </c>
      <c r="B773" s="33">
        <v>2311</v>
      </c>
      <c r="C773" s="33" t="s">
        <v>14</v>
      </c>
      <c r="D773" s="33" t="s">
        <v>15</v>
      </c>
      <c r="E773" s="33" t="s">
        <v>15</v>
      </c>
      <c r="F773" s="33">
        <v>56</v>
      </c>
      <c r="G773" s="34">
        <v>564.54545450000001</v>
      </c>
    </row>
    <row r="774" spans="1:7" ht="18.75" x14ac:dyDescent="0.25">
      <c r="A774" s="37">
        <v>3019</v>
      </c>
      <c r="B774" s="33">
        <v>2311</v>
      </c>
      <c r="C774" s="33" t="s">
        <v>14</v>
      </c>
      <c r="D774" s="33" t="s">
        <v>15</v>
      </c>
      <c r="E774" s="33" t="s">
        <v>15</v>
      </c>
      <c r="F774" s="33">
        <v>70</v>
      </c>
      <c r="G774" s="34">
        <v>594.09090909999998</v>
      </c>
    </row>
    <row r="775" spans="1:7" ht="18.75" x14ac:dyDescent="0.25">
      <c r="A775" s="37">
        <v>3021</v>
      </c>
      <c r="B775" s="33">
        <v>2311</v>
      </c>
      <c r="C775" s="33" t="s">
        <v>23</v>
      </c>
      <c r="D775" s="33" t="s">
        <v>21</v>
      </c>
      <c r="E775" s="33" t="s">
        <v>24</v>
      </c>
      <c r="F775" s="33">
        <v>0</v>
      </c>
      <c r="G775" s="38">
        <v>325.45454549999999</v>
      </c>
    </row>
    <row r="776" spans="1:7" ht="18.75" x14ac:dyDescent="0.25">
      <c r="A776" s="37">
        <v>3021</v>
      </c>
      <c r="B776" s="33">
        <v>2311</v>
      </c>
      <c r="C776" s="33" t="s">
        <v>23</v>
      </c>
      <c r="D776" s="33" t="s">
        <v>21</v>
      </c>
      <c r="E776" s="33" t="s">
        <v>24</v>
      </c>
      <c r="F776" s="33">
        <v>14</v>
      </c>
      <c r="G776" s="34">
        <v>355.45454549999999</v>
      </c>
    </row>
    <row r="777" spans="1:7" ht="18.75" x14ac:dyDescent="0.25">
      <c r="A777" s="37">
        <v>3021</v>
      </c>
      <c r="B777" s="33">
        <v>2311</v>
      </c>
      <c r="C777" s="33" t="s">
        <v>23</v>
      </c>
      <c r="D777" s="33" t="s">
        <v>21</v>
      </c>
      <c r="E777" s="33" t="s">
        <v>24</v>
      </c>
      <c r="F777" s="33">
        <v>28</v>
      </c>
      <c r="G777" s="34">
        <v>386.81818179999999</v>
      </c>
    </row>
    <row r="778" spans="1:7" ht="18.75" x14ac:dyDescent="0.25">
      <c r="A778" s="37">
        <v>3021</v>
      </c>
      <c r="B778" s="33">
        <v>2311</v>
      </c>
      <c r="C778" s="33" t="s">
        <v>23</v>
      </c>
      <c r="D778" s="33" t="s">
        <v>21</v>
      </c>
      <c r="E778" s="33" t="s">
        <v>24</v>
      </c>
      <c r="F778" s="33">
        <v>42</v>
      </c>
      <c r="G778" s="34">
        <v>405.45454549999999</v>
      </c>
    </row>
    <row r="779" spans="1:7" ht="18.75" x14ac:dyDescent="0.25">
      <c r="A779" s="37">
        <v>3021</v>
      </c>
      <c r="B779" s="33">
        <v>2311</v>
      </c>
      <c r="C779" s="33" t="s">
        <v>23</v>
      </c>
      <c r="D779" s="33" t="s">
        <v>21</v>
      </c>
      <c r="E779" s="33" t="s">
        <v>24</v>
      </c>
      <c r="F779" s="33">
        <v>56</v>
      </c>
      <c r="G779" s="34">
        <v>440</v>
      </c>
    </row>
    <row r="780" spans="1:7" ht="18.75" x14ac:dyDescent="0.25">
      <c r="A780" s="37">
        <v>3021</v>
      </c>
      <c r="B780" s="33">
        <v>2311</v>
      </c>
      <c r="C780" s="33" t="s">
        <v>23</v>
      </c>
      <c r="D780" s="33" t="s">
        <v>21</v>
      </c>
      <c r="E780" s="33" t="s">
        <v>24</v>
      </c>
      <c r="F780" s="33">
        <v>70</v>
      </c>
      <c r="G780" s="34">
        <v>457.27272729999999</v>
      </c>
    </row>
    <row r="781" spans="1:7" ht="18.75" x14ac:dyDescent="0.25">
      <c r="A781" s="37">
        <v>3022</v>
      </c>
      <c r="B781" s="33">
        <v>2311</v>
      </c>
      <c r="C781" s="33" t="s">
        <v>20</v>
      </c>
      <c r="D781" s="33" t="s">
        <v>21</v>
      </c>
      <c r="E781" s="33" t="s">
        <v>15</v>
      </c>
      <c r="F781" s="33">
        <v>0</v>
      </c>
      <c r="G781" s="38">
        <v>424.09090909999998</v>
      </c>
    </row>
    <row r="782" spans="1:7" ht="18.75" x14ac:dyDescent="0.25">
      <c r="A782" s="37">
        <v>3022</v>
      </c>
      <c r="B782" s="33">
        <v>2311</v>
      </c>
      <c r="C782" s="33" t="s">
        <v>20</v>
      </c>
      <c r="D782" s="33" t="s">
        <v>21</v>
      </c>
      <c r="E782" s="33" t="s">
        <v>15</v>
      </c>
      <c r="F782" s="33">
        <v>14</v>
      </c>
      <c r="G782" s="34">
        <v>441.81818179999999</v>
      </c>
    </row>
    <row r="783" spans="1:7" ht="18.75" x14ac:dyDescent="0.25">
      <c r="A783" s="37">
        <v>3022</v>
      </c>
      <c r="B783" s="33">
        <v>2311</v>
      </c>
      <c r="C783" s="33" t="s">
        <v>20</v>
      </c>
      <c r="D783" s="33" t="s">
        <v>21</v>
      </c>
      <c r="E783" s="33" t="s">
        <v>15</v>
      </c>
      <c r="F783" s="33">
        <v>28</v>
      </c>
      <c r="G783" s="34">
        <v>468.63636359999998</v>
      </c>
    </row>
    <row r="784" spans="1:7" ht="18.75" x14ac:dyDescent="0.25">
      <c r="A784" s="37">
        <v>3022</v>
      </c>
      <c r="B784" s="33">
        <v>2311</v>
      </c>
      <c r="C784" s="33" t="s">
        <v>20</v>
      </c>
      <c r="D784" s="33" t="s">
        <v>21</v>
      </c>
      <c r="E784" s="33" t="s">
        <v>15</v>
      </c>
      <c r="F784" s="33">
        <v>42</v>
      </c>
      <c r="G784" s="34">
        <v>492.27272729999999</v>
      </c>
    </row>
    <row r="785" spans="1:7" ht="18.75" x14ac:dyDescent="0.25">
      <c r="A785" s="37">
        <v>3022</v>
      </c>
      <c r="B785" s="33">
        <v>2311</v>
      </c>
      <c r="C785" s="33" t="s">
        <v>20</v>
      </c>
      <c r="D785" s="33" t="s">
        <v>21</v>
      </c>
      <c r="E785" s="33" t="s">
        <v>15</v>
      </c>
      <c r="F785" s="33">
        <v>56</v>
      </c>
      <c r="G785" s="34">
        <v>505.90909090000002</v>
      </c>
    </row>
    <row r="786" spans="1:7" ht="18.75" x14ac:dyDescent="0.25">
      <c r="A786" s="37">
        <v>3022</v>
      </c>
      <c r="B786" s="33">
        <v>2311</v>
      </c>
      <c r="C786" s="33" t="s">
        <v>20</v>
      </c>
      <c r="D786" s="33" t="s">
        <v>21</v>
      </c>
      <c r="E786" s="33" t="s">
        <v>15</v>
      </c>
      <c r="F786" s="33">
        <v>70</v>
      </c>
      <c r="G786" s="34">
        <v>522.72727269999996</v>
      </c>
    </row>
    <row r="787" spans="1:7" ht="18.75" x14ac:dyDescent="0.25">
      <c r="A787" s="37">
        <v>3023</v>
      </c>
      <c r="B787" s="33">
        <v>2311</v>
      </c>
      <c r="C787" s="33" t="s">
        <v>23</v>
      </c>
      <c r="D787" s="33" t="s">
        <v>21</v>
      </c>
      <c r="E787" s="33" t="s">
        <v>24</v>
      </c>
      <c r="F787" s="33">
        <v>0</v>
      </c>
      <c r="G787" s="38">
        <v>429.09090909999998</v>
      </c>
    </row>
    <row r="788" spans="1:7" ht="18.75" x14ac:dyDescent="0.25">
      <c r="A788" s="37">
        <v>3023</v>
      </c>
      <c r="B788" s="33">
        <v>2311</v>
      </c>
      <c r="C788" s="33" t="s">
        <v>23</v>
      </c>
      <c r="D788" s="33" t="s">
        <v>21</v>
      </c>
      <c r="E788" s="33" t="s">
        <v>24</v>
      </c>
      <c r="F788" s="33">
        <v>14</v>
      </c>
      <c r="G788" s="34">
        <v>459.09090909999998</v>
      </c>
    </row>
    <row r="789" spans="1:7" ht="18.75" x14ac:dyDescent="0.25">
      <c r="A789" s="37">
        <v>3023</v>
      </c>
      <c r="B789" s="33">
        <v>2311</v>
      </c>
      <c r="C789" s="33" t="s">
        <v>23</v>
      </c>
      <c r="D789" s="33" t="s">
        <v>21</v>
      </c>
      <c r="E789" s="33" t="s">
        <v>24</v>
      </c>
      <c r="F789" s="33">
        <v>28</v>
      </c>
      <c r="G789" s="34">
        <v>489.09090909999998</v>
      </c>
    </row>
    <row r="790" spans="1:7" ht="18.75" x14ac:dyDescent="0.25">
      <c r="A790" s="37">
        <v>3023</v>
      </c>
      <c r="B790" s="33">
        <v>2311</v>
      </c>
      <c r="C790" s="33" t="s">
        <v>23</v>
      </c>
      <c r="D790" s="33" t="s">
        <v>21</v>
      </c>
      <c r="E790" s="33" t="s">
        <v>24</v>
      </c>
      <c r="F790" s="33">
        <v>42</v>
      </c>
      <c r="G790" s="34">
        <v>508.63636359999998</v>
      </c>
    </row>
    <row r="791" spans="1:7" ht="18.75" x14ac:dyDescent="0.25">
      <c r="A791" s="37">
        <v>3023</v>
      </c>
      <c r="B791" s="33">
        <v>2311</v>
      </c>
      <c r="C791" s="33" t="s">
        <v>23</v>
      </c>
      <c r="D791" s="33" t="s">
        <v>21</v>
      </c>
      <c r="E791" s="33" t="s">
        <v>24</v>
      </c>
      <c r="F791" s="33">
        <v>56</v>
      </c>
      <c r="G791" s="34">
        <v>550.45454549999999</v>
      </c>
    </row>
    <row r="792" spans="1:7" ht="18.75" x14ac:dyDescent="0.25">
      <c r="A792" s="37">
        <v>3023</v>
      </c>
      <c r="B792" s="33">
        <v>2311</v>
      </c>
      <c r="C792" s="33" t="s">
        <v>23</v>
      </c>
      <c r="D792" s="33" t="s">
        <v>21</v>
      </c>
      <c r="E792" s="33" t="s">
        <v>24</v>
      </c>
      <c r="F792" s="33">
        <v>70</v>
      </c>
      <c r="G792" s="34">
        <v>565</v>
      </c>
    </row>
    <row r="793" spans="1:7" ht="18.75" x14ac:dyDescent="0.25">
      <c r="A793" s="37">
        <v>3034</v>
      </c>
      <c r="B793" s="33">
        <v>2311</v>
      </c>
      <c r="C793" s="33" t="s">
        <v>14</v>
      </c>
      <c r="D793" s="33" t="s">
        <v>15</v>
      </c>
      <c r="E793" s="33" t="s">
        <v>15</v>
      </c>
      <c r="F793" s="33">
        <v>0</v>
      </c>
      <c r="G793" s="38">
        <v>327.27272729999999</v>
      </c>
    </row>
    <row r="794" spans="1:7" ht="18.75" x14ac:dyDescent="0.25">
      <c r="A794" s="37">
        <v>3034</v>
      </c>
      <c r="B794" s="33">
        <v>2311</v>
      </c>
      <c r="C794" s="33" t="s">
        <v>14</v>
      </c>
      <c r="D794" s="33" t="s">
        <v>15</v>
      </c>
      <c r="E794" s="33" t="s">
        <v>15</v>
      </c>
      <c r="F794" s="33">
        <v>14</v>
      </c>
      <c r="G794" s="34">
        <v>353.63636359999998</v>
      </c>
    </row>
    <row r="795" spans="1:7" ht="18.75" x14ac:dyDescent="0.25">
      <c r="A795" s="37">
        <v>3034</v>
      </c>
      <c r="B795" s="33">
        <v>2311</v>
      </c>
      <c r="C795" s="33" t="s">
        <v>14</v>
      </c>
      <c r="D795" s="33" t="s">
        <v>15</v>
      </c>
      <c r="E795" s="33" t="s">
        <v>15</v>
      </c>
      <c r="F795" s="33">
        <v>28</v>
      </c>
      <c r="G795" s="34">
        <v>390</v>
      </c>
    </row>
    <row r="796" spans="1:7" ht="18.75" x14ac:dyDescent="0.25">
      <c r="A796" s="37">
        <v>3034</v>
      </c>
      <c r="B796" s="33">
        <v>2311</v>
      </c>
      <c r="C796" s="33" t="s">
        <v>14</v>
      </c>
      <c r="D796" s="33" t="s">
        <v>15</v>
      </c>
      <c r="E796" s="33" t="s">
        <v>15</v>
      </c>
      <c r="F796" s="33">
        <v>42</v>
      </c>
      <c r="G796" s="34">
        <v>428.18181820000001</v>
      </c>
    </row>
    <row r="797" spans="1:7" ht="18.75" x14ac:dyDescent="0.25">
      <c r="A797" s="37">
        <v>3034</v>
      </c>
      <c r="B797" s="33">
        <v>2311</v>
      </c>
      <c r="C797" s="33" t="s">
        <v>14</v>
      </c>
      <c r="D797" s="33" t="s">
        <v>15</v>
      </c>
      <c r="E797" s="33" t="s">
        <v>15</v>
      </c>
      <c r="F797" s="33">
        <v>56</v>
      </c>
      <c r="G797" s="34">
        <v>471.81818179999999</v>
      </c>
    </row>
    <row r="798" spans="1:7" ht="18.75" x14ac:dyDescent="0.25">
      <c r="A798" s="37">
        <v>3034</v>
      </c>
      <c r="B798" s="33">
        <v>2311</v>
      </c>
      <c r="C798" s="33" t="s">
        <v>14</v>
      </c>
      <c r="D798" s="33" t="s">
        <v>15</v>
      </c>
      <c r="E798" s="33" t="s">
        <v>15</v>
      </c>
      <c r="F798" s="33">
        <v>70</v>
      </c>
      <c r="G798" s="34">
        <v>471.81818179999999</v>
      </c>
    </row>
    <row r="799" spans="1:7" ht="18.75" x14ac:dyDescent="0.25">
      <c r="A799" s="37">
        <v>3112</v>
      </c>
      <c r="B799" s="33">
        <v>2311</v>
      </c>
      <c r="C799" s="33" t="s">
        <v>20</v>
      </c>
      <c r="D799" s="33" t="s">
        <v>21</v>
      </c>
      <c r="E799" s="33" t="s">
        <v>15</v>
      </c>
      <c r="F799" s="33">
        <v>0</v>
      </c>
      <c r="G799" s="38">
        <v>441.36363640000002</v>
      </c>
    </row>
    <row r="800" spans="1:7" ht="18.75" x14ac:dyDescent="0.25">
      <c r="A800" s="37">
        <v>3112</v>
      </c>
      <c r="B800" s="33">
        <v>2311</v>
      </c>
      <c r="C800" s="33" t="s">
        <v>20</v>
      </c>
      <c r="D800" s="33" t="s">
        <v>21</v>
      </c>
      <c r="E800" s="33" t="s">
        <v>15</v>
      </c>
      <c r="F800" s="33">
        <v>14</v>
      </c>
      <c r="G800" s="34">
        <v>467.27272729999999</v>
      </c>
    </row>
    <row r="801" spans="1:7" ht="18.75" x14ac:dyDescent="0.25">
      <c r="A801" s="37">
        <v>3112</v>
      </c>
      <c r="B801" s="33">
        <v>2311</v>
      </c>
      <c r="C801" s="33" t="s">
        <v>20</v>
      </c>
      <c r="D801" s="33" t="s">
        <v>21</v>
      </c>
      <c r="E801" s="33" t="s">
        <v>15</v>
      </c>
      <c r="F801" s="33">
        <v>28</v>
      </c>
      <c r="G801" s="34">
        <v>495.45454549999999</v>
      </c>
    </row>
    <row r="802" spans="1:7" ht="18.75" x14ac:dyDescent="0.25">
      <c r="A802" s="37">
        <v>3112</v>
      </c>
      <c r="B802" s="33">
        <v>2311</v>
      </c>
      <c r="C802" s="33" t="s">
        <v>20</v>
      </c>
      <c r="D802" s="33" t="s">
        <v>21</v>
      </c>
      <c r="E802" s="33" t="s">
        <v>15</v>
      </c>
      <c r="F802" s="33">
        <v>42</v>
      </c>
      <c r="G802" s="34">
        <v>528.63636359999998</v>
      </c>
    </row>
    <row r="803" spans="1:7" ht="18.75" x14ac:dyDescent="0.25">
      <c r="A803" s="37">
        <v>3112</v>
      </c>
      <c r="B803" s="33">
        <v>2311</v>
      </c>
      <c r="C803" s="33" t="s">
        <v>20</v>
      </c>
      <c r="D803" s="33" t="s">
        <v>21</v>
      </c>
      <c r="E803" s="33" t="s">
        <v>15</v>
      </c>
      <c r="F803" s="33">
        <v>56</v>
      </c>
      <c r="G803" s="34">
        <v>579.09090909999998</v>
      </c>
    </row>
    <row r="804" spans="1:7" ht="18.75" x14ac:dyDescent="0.25">
      <c r="A804" s="37">
        <v>3112</v>
      </c>
      <c r="B804" s="33">
        <v>2311</v>
      </c>
      <c r="C804" s="33" t="s">
        <v>20</v>
      </c>
      <c r="D804" s="33" t="s">
        <v>21</v>
      </c>
      <c r="E804" s="33" t="s">
        <v>15</v>
      </c>
      <c r="F804" s="33">
        <v>70</v>
      </c>
      <c r="G804" s="34">
        <v>590</v>
      </c>
    </row>
    <row r="805" spans="1:7" ht="18.75" x14ac:dyDescent="0.25">
      <c r="A805" s="37">
        <v>3113</v>
      </c>
      <c r="B805" s="33">
        <v>2311</v>
      </c>
      <c r="C805" s="33" t="s">
        <v>14</v>
      </c>
      <c r="D805" s="33" t="s">
        <v>15</v>
      </c>
      <c r="E805" s="33" t="s">
        <v>15</v>
      </c>
      <c r="F805" s="33">
        <v>0</v>
      </c>
      <c r="G805" s="38">
        <v>490.45454549999999</v>
      </c>
    </row>
    <row r="806" spans="1:7" ht="18.75" x14ac:dyDescent="0.25">
      <c r="A806" s="37">
        <v>3113</v>
      </c>
      <c r="B806" s="33">
        <v>2311</v>
      </c>
      <c r="C806" s="33" t="s">
        <v>14</v>
      </c>
      <c r="D806" s="33" t="s">
        <v>15</v>
      </c>
      <c r="E806" s="33" t="s">
        <v>15</v>
      </c>
      <c r="F806" s="33">
        <v>14</v>
      </c>
      <c r="G806" s="34">
        <v>518.18181819999995</v>
      </c>
    </row>
    <row r="807" spans="1:7" ht="18.75" x14ac:dyDescent="0.25">
      <c r="A807" s="37">
        <v>3113</v>
      </c>
      <c r="B807" s="33">
        <v>2311</v>
      </c>
      <c r="C807" s="33" t="s">
        <v>14</v>
      </c>
      <c r="D807" s="33" t="s">
        <v>15</v>
      </c>
      <c r="E807" s="33" t="s">
        <v>15</v>
      </c>
      <c r="F807" s="33">
        <v>28</v>
      </c>
      <c r="G807" s="34">
        <v>553.18181819999995</v>
      </c>
    </row>
    <row r="808" spans="1:7" ht="18.75" x14ac:dyDescent="0.25">
      <c r="A808" s="37">
        <v>3113</v>
      </c>
      <c r="B808" s="33">
        <v>2311</v>
      </c>
      <c r="C808" s="33" t="s">
        <v>14</v>
      </c>
      <c r="D808" s="33" t="s">
        <v>15</v>
      </c>
      <c r="E808" s="33" t="s">
        <v>15</v>
      </c>
      <c r="F808" s="33">
        <v>42</v>
      </c>
      <c r="G808" s="34">
        <v>576.81818180000005</v>
      </c>
    </row>
    <row r="809" spans="1:7" ht="18.75" x14ac:dyDescent="0.25">
      <c r="A809" s="37">
        <v>3113</v>
      </c>
      <c r="B809" s="33">
        <v>2311</v>
      </c>
      <c r="C809" s="33" t="s">
        <v>14</v>
      </c>
      <c r="D809" s="33" t="s">
        <v>15</v>
      </c>
      <c r="E809" s="33" t="s">
        <v>15</v>
      </c>
      <c r="F809" s="33">
        <v>56</v>
      </c>
      <c r="G809" s="34">
        <v>625</v>
      </c>
    </row>
    <row r="810" spans="1:7" ht="18.75" x14ac:dyDescent="0.25">
      <c r="A810" s="37">
        <v>3113</v>
      </c>
      <c r="B810" s="33">
        <v>2311</v>
      </c>
      <c r="C810" s="33" t="s">
        <v>14</v>
      </c>
      <c r="D810" s="33" t="s">
        <v>15</v>
      </c>
      <c r="E810" s="33" t="s">
        <v>15</v>
      </c>
      <c r="F810" s="33">
        <v>70</v>
      </c>
      <c r="G810" s="34">
        <v>652.27272730000004</v>
      </c>
    </row>
    <row r="811" spans="1:7" ht="18.75" x14ac:dyDescent="0.25">
      <c r="A811" s="37">
        <v>3114</v>
      </c>
      <c r="B811" s="33">
        <v>2311</v>
      </c>
      <c r="C811" s="33" t="s">
        <v>23</v>
      </c>
      <c r="D811" s="33" t="s">
        <v>21</v>
      </c>
      <c r="E811" s="33" t="s">
        <v>24</v>
      </c>
      <c r="F811" s="33">
        <v>0</v>
      </c>
      <c r="G811" s="38">
        <v>384.54545450000001</v>
      </c>
    </row>
    <row r="812" spans="1:7" ht="18.75" x14ac:dyDescent="0.25">
      <c r="A812" s="37">
        <v>3114</v>
      </c>
      <c r="B812" s="33">
        <v>2311</v>
      </c>
      <c r="C812" s="33" t="s">
        <v>23</v>
      </c>
      <c r="D812" s="33" t="s">
        <v>21</v>
      </c>
      <c r="E812" s="33" t="s">
        <v>24</v>
      </c>
      <c r="F812" s="33">
        <v>14</v>
      </c>
      <c r="G812" s="34">
        <v>433.63636359999998</v>
      </c>
    </row>
    <row r="813" spans="1:7" ht="18.75" x14ac:dyDescent="0.25">
      <c r="A813" s="37">
        <v>3114</v>
      </c>
      <c r="B813" s="33">
        <v>2311</v>
      </c>
      <c r="C813" s="33" t="s">
        <v>23</v>
      </c>
      <c r="D813" s="33" t="s">
        <v>21</v>
      </c>
      <c r="E813" s="33" t="s">
        <v>24</v>
      </c>
      <c r="F813" s="33">
        <v>28</v>
      </c>
      <c r="G813" s="34">
        <v>460.90909090000002</v>
      </c>
    </row>
    <row r="814" spans="1:7" ht="18.75" x14ac:dyDescent="0.25">
      <c r="A814" s="37">
        <v>3114</v>
      </c>
      <c r="B814" s="33">
        <v>2311</v>
      </c>
      <c r="C814" s="33" t="s">
        <v>23</v>
      </c>
      <c r="D814" s="33" t="s">
        <v>21</v>
      </c>
      <c r="E814" s="33" t="s">
        <v>24</v>
      </c>
      <c r="F814" s="33">
        <v>42</v>
      </c>
      <c r="G814" s="34">
        <v>494.54545450000001</v>
      </c>
    </row>
    <row r="815" spans="1:7" ht="18.75" x14ac:dyDescent="0.25">
      <c r="A815" s="37">
        <v>3114</v>
      </c>
      <c r="B815" s="33">
        <v>2311</v>
      </c>
      <c r="C815" s="33" t="s">
        <v>23</v>
      </c>
      <c r="D815" s="33" t="s">
        <v>21</v>
      </c>
      <c r="E815" s="33" t="s">
        <v>24</v>
      </c>
      <c r="F815" s="33">
        <v>56</v>
      </c>
      <c r="G815" s="34">
        <v>535</v>
      </c>
    </row>
    <row r="816" spans="1:7" ht="18.75" x14ac:dyDescent="0.25">
      <c r="A816" s="37">
        <v>3114</v>
      </c>
      <c r="B816" s="33">
        <v>2311</v>
      </c>
      <c r="C816" s="33" t="s">
        <v>23</v>
      </c>
      <c r="D816" s="33" t="s">
        <v>21</v>
      </c>
      <c r="E816" s="33" t="s">
        <v>24</v>
      </c>
      <c r="F816" s="33">
        <v>70</v>
      </c>
      <c r="G816" s="34">
        <v>544.54545450000001</v>
      </c>
    </row>
    <row r="817" spans="1:7" ht="18.75" x14ac:dyDescent="0.25">
      <c r="A817" s="37">
        <v>3115</v>
      </c>
      <c r="B817" s="33">
        <v>2311</v>
      </c>
      <c r="C817" s="33" t="s">
        <v>20</v>
      </c>
      <c r="D817" s="33" t="s">
        <v>21</v>
      </c>
      <c r="E817" s="33" t="s">
        <v>15</v>
      </c>
      <c r="F817" s="33">
        <v>0</v>
      </c>
      <c r="G817" s="38">
        <v>344.54545450000001</v>
      </c>
    </row>
    <row r="818" spans="1:7" ht="18.75" x14ac:dyDescent="0.25">
      <c r="A818" s="37">
        <v>3115</v>
      </c>
      <c r="B818" s="33">
        <v>2311</v>
      </c>
      <c r="C818" s="33" t="s">
        <v>20</v>
      </c>
      <c r="D818" s="33" t="s">
        <v>21</v>
      </c>
      <c r="E818" s="33" t="s">
        <v>15</v>
      </c>
      <c r="F818" s="33">
        <v>14</v>
      </c>
      <c r="G818" s="34">
        <v>397.72727270000001</v>
      </c>
    </row>
    <row r="819" spans="1:7" ht="18.75" x14ac:dyDescent="0.25">
      <c r="A819" s="37">
        <v>3115</v>
      </c>
      <c r="B819" s="33">
        <v>2311</v>
      </c>
      <c r="C819" s="33" t="s">
        <v>20</v>
      </c>
      <c r="D819" s="33" t="s">
        <v>21</v>
      </c>
      <c r="E819" s="33" t="s">
        <v>15</v>
      </c>
      <c r="F819" s="33">
        <v>28</v>
      </c>
      <c r="G819" s="34">
        <v>426.36363640000002</v>
      </c>
    </row>
    <row r="820" spans="1:7" ht="18.75" x14ac:dyDescent="0.25">
      <c r="A820" s="37">
        <v>3115</v>
      </c>
      <c r="B820" s="33">
        <v>2311</v>
      </c>
      <c r="C820" s="33" t="s">
        <v>20</v>
      </c>
      <c r="D820" s="33" t="s">
        <v>21</v>
      </c>
      <c r="E820" s="33" t="s">
        <v>15</v>
      </c>
      <c r="F820" s="33">
        <v>42</v>
      </c>
      <c r="G820" s="34">
        <v>452.72727270000001</v>
      </c>
    </row>
    <row r="821" spans="1:7" ht="18.75" x14ac:dyDescent="0.25">
      <c r="A821" s="37">
        <v>3115</v>
      </c>
      <c r="B821" s="33">
        <v>2311</v>
      </c>
      <c r="C821" s="33" t="s">
        <v>20</v>
      </c>
      <c r="D821" s="33" t="s">
        <v>21</v>
      </c>
      <c r="E821" s="33" t="s">
        <v>15</v>
      </c>
      <c r="F821" s="33">
        <v>56</v>
      </c>
      <c r="G821" s="34">
        <v>498.18181820000001</v>
      </c>
    </row>
    <row r="822" spans="1:7" ht="18.75" x14ac:dyDescent="0.25">
      <c r="A822" s="37">
        <v>3115</v>
      </c>
      <c r="B822" s="33">
        <v>2311</v>
      </c>
      <c r="C822" s="33" t="s">
        <v>20</v>
      </c>
      <c r="D822" s="33" t="s">
        <v>21</v>
      </c>
      <c r="E822" s="33" t="s">
        <v>15</v>
      </c>
      <c r="F822" s="33">
        <v>70</v>
      </c>
      <c r="G822" s="34">
        <v>519.09090909999998</v>
      </c>
    </row>
    <row r="823" spans="1:7" ht="18.75" x14ac:dyDescent="0.25">
      <c r="A823" s="37">
        <v>3116</v>
      </c>
      <c r="B823" s="33">
        <v>2311</v>
      </c>
      <c r="C823" s="33" t="s">
        <v>23</v>
      </c>
      <c r="D823" s="33" t="s">
        <v>21</v>
      </c>
      <c r="E823" s="33" t="s">
        <v>24</v>
      </c>
      <c r="F823" s="33">
        <v>0</v>
      </c>
      <c r="G823" s="38">
        <v>428.63636359999998</v>
      </c>
    </row>
    <row r="824" spans="1:7" ht="18.75" x14ac:dyDescent="0.25">
      <c r="A824" s="37">
        <v>3116</v>
      </c>
      <c r="B824" s="33">
        <v>2311</v>
      </c>
      <c r="C824" s="33" t="s">
        <v>23</v>
      </c>
      <c r="D824" s="33" t="s">
        <v>21</v>
      </c>
      <c r="E824" s="33" t="s">
        <v>24</v>
      </c>
      <c r="F824" s="33">
        <v>14</v>
      </c>
      <c r="G824" s="34">
        <v>451.36363640000002</v>
      </c>
    </row>
    <row r="825" spans="1:7" ht="18.75" x14ac:dyDescent="0.25">
      <c r="A825" s="37">
        <v>3116</v>
      </c>
      <c r="B825" s="33">
        <v>2311</v>
      </c>
      <c r="C825" s="33" t="s">
        <v>23</v>
      </c>
      <c r="D825" s="33" t="s">
        <v>21</v>
      </c>
      <c r="E825" s="33" t="s">
        <v>24</v>
      </c>
      <c r="F825" s="33">
        <v>28</v>
      </c>
      <c r="G825" s="34">
        <v>474.09090909999998</v>
      </c>
    </row>
    <row r="826" spans="1:7" ht="18.75" x14ac:dyDescent="0.25">
      <c r="A826" s="37">
        <v>3116</v>
      </c>
      <c r="B826" s="33">
        <v>2311</v>
      </c>
      <c r="C826" s="33" t="s">
        <v>23</v>
      </c>
      <c r="D826" s="33" t="s">
        <v>21</v>
      </c>
      <c r="E826" s="33" t="s">
        <v>24</v>
      </c>
      <c r="F826" s="33">
        <v>42</v>
      </c>
      <c r="G826" s="34">
        <v>500.45454549999999</v>
      </c>
    </row>
    <row r="827" spans="1:7" ht="18.75" x14ac:dyDescent="0.25">
      <c r="A827" s="37">
        <v>3116</v>
      </c>
      <c r="B827" s="33">
        <v>2311</v>
      </c>
      <c r="C827" s="33" t="s">
        <v>23</v>
      </c>
      <c r="D827" s="33" t="s">
        <v>21</v>
      </c>
      <c r="E827" s="33" t="s">
        <v>24</v>
      </c>
      <c r="F827" s="33">
        <v>56</v>
      </c>
      <c r="G827" s="34">
        <v>540.45454549999999</v>
      </c>
    </row>
    <row r="828" spans="1:7" ht="18.75" x14ac:dyDescent="0.25">
      <c r="A828" s="37">
        <v>3116</v>
      </c>
      <c r="B828" s="33">
        <v>2311</v>
      </c>
      <c r="C828" s="33" t="s">
        <v>23</v>
      </c>
      <c r="D828" s="33" t="s">
        <v>21</v>
      </c>
      <c r="E828" s="33" t="s">
        <v>24</v>
      </c>
      <c r="F828" s="33">
        <v>70</v>
      </c>
      <c r="G828" s="34">
        <v>555.45454549999999</v>
      </c>
    </row>
    <row r="829" spans="1:7" ht="18.75" x14ac:dyDescent="0.25">
      <c r="A829" s="37">
        <v>3117</v>
      </c>
      <c r="B829" s="33">
        <v>2311</v>
      </c>
      <c r="C829" s="33" t="s">
        <v>14</v>
      </c>
      <c r="D829" s="33" t="s">
        <v>15</v>
      </c>
      <c r="E829" s="33" t="s">
        <v>15</v>
      </c>
      <c r="F829" s="33">
        <v>0</v>
      </c>
      <c r="G829" s="38">
        <v>445.90909090000002</v>
      </c>
    </row>
    <row r="830" spans="1:7" ht="18.75" x14ac:dyDescent="0.25">
      <c r="A830" s="37">
        <v>3117</v>
      </c>
      <c r="B830" s="33">
        <v>2311</v>
      </c>
      <c r="C830" s="33" t="s">
        <v>14</v>
      </c>
      <c r="D830" s="33" t="s">
        <v>15</v>
      </c>
      <c r="E830" s="33" t="s">
        <v>15</v>
      </c>
      <c r="F830" s="33">
        <v>14</v>
      </c>
      <c r="G830" s="34">
        <v>479.09090909999998</v>
      </c>
    </row>
    <row r="831" spans="1:7" ht="18.75" x14ac:dyDescent="0.25">
      <c r="A831" s="37">
        <v>3117</v>
      </c>
      <c r="B831" s="33">
        <v>2311</v>
      </c>
      <c r="C831" s="33" t="s">
        <v>14</v>
      </c>
      <c r="D831" s="33" t="s">
        <v>15</v>
      </c>
      <c r="E831" s="33" t="s">
        <v>15</v>
      </c>
      <c r="F831" s="33">
        <v>28</v>
      </c>
      <c r="G831" s="34">
        <v>500</v>
      </c>
    </row>
    <row r="832" spans="1:7" ht="18.75" x14ac:dyDescent="0.25">
      <c r="A832" s="37">
        <v>3117</v>
      </c>
      <c r="B832" s="33">
        <v>2311</v>
      </c>
      <c r="C832" s="33" t="s">
        <v>14</v>
      </c>
      <c r="D832" s="33" t="s">
        <v>15</v>
      </c>
      <c r="E832" s="33" t="s">
        <v>15</v>
      </c>
      <c r="F832" s="33">
        <v>42</v>
      </c>
      <c r="G832" s="34">
        <v>525</v>
      </c>
    </row>
    <row r="833" spans="1:7" ht="18.75" x14ac:dyDescent="0.25">
      <c r="A833" s="37">
        <v>3117</v>
      </c>
      <c r="B833" s="33">
        <v>2311</v>
      </c>
      <c r="C833" s="33" t="s">
        <v>14</v>
      </c>
      <c r="D833" s="33" t="s">
        <v>15</v>
      </c>
      <c r="E833" s="33" t="s">
        <v>15</v>
      </c>
      <c r="F833" s="33">
        <v>56</v>
      </c>
      <c r="G833" s="34">
        <v>556.36363640000002</v>
      </c>
    </row>
    <row r="834" spans="1:7" ht="18.75" x14ac:dyDescent="0.25">
      <c r="A834" s="37">
        <v>3117</v>
      </c>
      <c r="B834" s="33">
        <v>2311</v>
      </c>
      <c r="C834" s="33" t="s">
        <v>14</v>
      </c>
      <c r="D834" s="33" t="s">
        <v>15</v>
      </c>
      <c r="E834" s="33" t="s">
        <v>15</v>
      </c>
      <c r="F834" s="33">
        <v>70</v>
      </c>
      <c r="G834" s="34">
        <v>591.81818180000005</v>
      </c>
    </row>
    <row r="835" spans="1:7" ht="18.75" x14ac:dyDescent="0.25">
      <c r="A835" s="37">
        <v>3118</v>
      </c>
      <c r="B835" s="33">
        <v>2311</v>
      </c>
      <c r="C835" s="33" t="s">
        <v>20</v>
      </c>
      <c r="D835" s="33" t="s">
        <v>21</v>
      </c>
      <c r="E835" s="33" t="s">
        <v>15</v>
      </c>
      <c r="F835" s="33">
        <v>0</v>
      </c>
      <c r="G835" s="38">
        <v>507.72727270000001</v>
      </c>
    </row>
    <row r="836" spans="1:7" ht="18.75" x14ac:dyDescent="0.25">
      <c r="A836" s="37">
        <v>3118</v>
      </c>
      <c r="B836" s="33">
        <v>2311</v>
      </c>
      <c r="C836" s="33" t="s">
        <v>20</v>
      </c>
      <c r="D836" s="33" t="s">
        <v>21</v>
      </c>
      <c r="E836" s="33" t="s">
        <v>15</v>
      </c>
      <c r="F836" s="33">
        <v>14</v>
      </c>
      <c r="G836" s="34">
        <v>535</v>
      </c>
    </row>
    <row r="837" spans="1:7" ht="18.75" x14ac:dyDescent="0.25">
      <c r="A837" s="37">
        <v>3118</v>
      </c>
      <c r="B837" s="33">
        <v>2311</v>
      </c>
      <c r="C837" s="33" t="s">
        <v>20</v>
      </c>
      <c r="D837" s="33" t="s">
        <v>21</v>
      </c>
      <c r="E837" s="33" t="s">
        <v>15</v>
      </c>
      <c r="F837" s="33">
        <v>28</v>
      </c>
      <c r="G837" s="34">
        <v>556.81818180000005</v>
      </c>
    </row>
    <row r="838" spans="1:7" ht="18.75" x14ac:dyDescent="0.25">
      <c r="A838" s="37">
        <v>3118</v>
      </c>
      <c r="B838" s="33">
        <v>2311</v>
      </c>
      <c r="C838" s="33" t="s">
        <v>20</v>
      </c>
      <c r="D838" s="33" t="s">
        <v>21</v>
      </c>
      <c r="E838" s="33" t="s">
        <v>15</v>
      </c>
      <c r="F838" s="33">
        <v>42</v>
      </c>
      <c r="G838" s="34">
        <v>580</v>
      </c>
    </row>
    <row r="839" spans="1:7" ht="18.75" x14ac:dyDescent="0.25">
      <c r="A839" s="37">
        <v>3118</v>
      </c>
      <c r="B839" s="33">
        <v>2311</v>
      </c>
      <c r="C839" s="33" t="s">
        <v>20</v>
      </c>
      <c r="D839" s="33" t="s">
        <v>21</v>
      </c>
      <c r="E839" s="33" t="s">
        <v>15</v>
      </c>
      <c r="F839" s="33">
        <v>56</v>
      </c>
      <c r="G839" s="34">
        <v>627.27272730000004</v>
      </c>
    </row>
    <row r="840" spans="1:7" ht="18.75" x14ac:dyDescent="0.25">
      <c r="A840" s="37">
        <v>3118</v>
      </c>
      <c r="B840" s="33">
        <v>2311</v>
      </c>
      <c r="C840" s="33" t="s">
        <v>20</v>
      </c>
      <c r="D840" s="33" t="s">
        <v>21</v>
      </c>
      <c r="E840" s="33" t="s">
        <v>15</v>
      </c>
      <c r="F840" s="33">
        <v>70</v>
      </c>
      <c r="G840" s="34">
        <v>667.72727269999996</v>
      </c>
    </row>
    <row r="841" spans="1:7" ht="18.75" x14ac:dyDescent="0.25">
      <c r="A841" s="37">
        <v>3119</v>
      </c>
      <c r="B841" s="33">
        <v>2311</v>
      </c>
      <c r="C841" s="33" t="s">
        <v>20</v>
      </c>
      <c r="D841" s="33" t="s">
        <v>21</v>
      </c>
      <c r="E841" s="33" t="s">
        <v>15</v>
      </c>
      <c r="F841" s="33">
        <v>0</v>
      </c>
      <c r="G841" s="38">
        <v>455.45454549999999</v>
      </c>
    </row>
    <row r="842" spans="1:7" ht="18.75" x14ac:dyDescent="0.25">
      <c r="A842" s="37">
        <v>3119</v>
      </c>
      <c r="B842" s="33">
        <v>2311</v>
      </c>
      <c r="C842" s="33" t="s">
        <v>20</v>
      </c>
      <c r="D842" s="33" t="s">
        <v>21</v>
      </c>
      <c r="E842" s="33" t="s">
        <v>15</v>
      </c>
      <c r="F842" s="33">
        <v>14</v>
      </c>
      <c r="G842" s="34">
        <v>477.72727270000001</v>
      </c>
    </row>
    <row r="843" spans="1:7" ht="18.75" x14ac:dyDescent="0.25">
      <c r="A843" s="37">
        <v>3119</v>
      </c>
      <c r="B843" s="33">
        <v>2311</v>
      </c>
      <c r="C843" s="33" t="s">
        <v>20</v>
      </c>
      <c r="D843" s="33" t="s">
        <v>21</v>
      </c>
      <c r="E843" s="33" t="s">
        <v>15</v>
      </c>
      <c r="F843" s="33">
        <v>28</v>
      </c>
      <c r="G843" s="34">
        <v>505</v>
      </c>
    </row>
    <row r="844" spans="1:7" ht="18.75" x14ac:dyDescent="0.25">
      <c r="A844" s="37">
        <v>3119</v>
      </c>
      <c r="B844" s="33">
        <v>2311</v>
      </c>
      <c r="C844" s="33" t="s">
        <v>20</v>
      </c>
      <c r="D844" s="33" t="s">
        <v>21</v>
      </c>
      <c r="E844" s="33" t="s">
        <v>15</v>
      </c>
      <c r="F844" s="33">
        <v>42</v>
      </c>
      <c r="G844" s="34">
        <v>543.63636359999998</v>
      </c>
    </row>
    <row r="845" spans="1:7" ht="18.75" x14ac:dyDescent="0.25">
      <c r="A845" s="37">
        <v>3119</v>
      </c>
      <c r="B845" s="33">
        <v>2311</v>
      </c>
      <c r="C845" s="33" t="s">
        <v>20</v>
      </c>
      <c r="D845" s="33" t="s">
        <v>21</v>
      </c>
      <c r="E845" s="33" t="s">
        <v>15</v>
      </c>
      <c r="F845" s="33">
        <v>56</v>
      </c>
      <c r="G845" s="34">
        <v>575.45454549999999</v>
      </c>
    </row>
    <row r="846" spans="1:7" ht="18.75" x14ac:dyDescent="0.25">
      <c r="A846" s="37">
        <v>3119</v>
      </c>
      <c r="B846" s="33">
        <v>2311</v>
      </c>
      <c r="C846" s="33" t="s">
        <v>20</v>
      </c>
      <c r="D846" s="33" t="s">
        <v>21</v>
      </c>
      <c r="E846" s="33" t="s">
        <v>15</v>
      </c>
      <c r="F846" s="33">
        <v>70</v>
      </c>
      <c r="G846" s="34">
        <v>606.36363640000002</v>
      </c>
    </row>
    <row r="847" spans="1:7" ht="18.75" x14ac:dyDescent="0.25">
      <c r="A847" s="37">
        <v>3129</v>
      </c>
      <c r="B847" s="33">
        <v>2311</v>
      </c>
      <c r="C847" s="33" t="s">
        <v>14</v>
      </c>
      <c r="D847" s="33" t="s">
        <v>15</v>
      </c>
      <c r="E847" s="33" t="s">
        <v>15</v>
      </c>
      <c r="F847" s="33">
        <v>0</v>
      </c>
      <c r="G847" s="38">
        <v>500.45454549999999</v>
      </c>
    </row>
    <row r="848" spans="1:7" ht="18.75" x14ac:dyDescent="0.25">
      <c r="A848" s="37">
        <v>3129</v>
      </c>
      <c r="B848" s="33">
        <v>2311</v>
      </c>
      <c r="C848" s="33" t="s">
        <v>14</v>
      </c>
      <c r="D848" s="33" t="s">
        <v>15</v>
      </c>
      <c r="E848" s="33" t="s">
        <v>15</v>
      </c>
      <c r="F848" s="33">
        <v>14</v>
      </c>
      <c r="G848" s="34">
        <v>543.18181819999995</v>
      </c>
    </row>
    <row r="849" spans="1:7" ht="18.75" x14ac:dyDescent="0.25">
      <c r="A849" s="37">
        <v>3129</v>
      </c>
      <c r="B849" s="33">
        <v>2311</v>
      </c>
      <c r="C849" s="33" t="s">
        <v>14</v>
      </c>
      <c r="D849" s="33" t="s">
        <v>15</v>
      </c>
      <c r="E849" s="33" t="s">
        <v>15</v>
      </c>
      <c r="F849" s="33">
        <v>28</v>
      </c>
      <c r="G849" s="34">
        <v>550.45454549999999</v>
      </c>
    </row>
    <row r="850" spans="1:7" ht="18.75" x14ac:dyDescent="0.25">
      <c r="A850" s="37">
        <v>3129</v>
      </c>
      <c r="B850" s="33">
        <v>2311</v>
      </c>
      <c r="C850" s="33" t="s">
        <v>14</v>
      </c>
      <c r="D850" s="33" t="s">
        <v>15</v>
      </c>
      <c r="E850" s="33" t="s">
        <v>15</v>
      </c>
      <c r="F850" s="33">
        <v>42</v>
      </c>
      <c r="G850" s="34">
        <v>588.63636359999998</v>
      </c>
    </row>
    <row r="851" spans="1:7" ht="18.75" x14ac:dyDescent="0.25">
      <c r="A851" s="37">
        <v>3129</v>
      </c>
      <c r="B851" s="33">
        <v>2311</v>
      </c>
      <c r="C851" s="33" t="s">
        <v>14</v>
      </c>
      <c r="D851" s="33" t="s">
        <v>15</v>
      </c>
      <c r="E851" s="33" t="s">
        <v>15</v>
      </c>
      <c r="F851" s="33">
        <v>56</v>
      </c>
      <c r="G851" s="34">
        <v>633.63636359999998</v>
      </c>
    </row>
    <row r="852" spans="1:7" ht="18.75" x14ac:dyDescent="0.25">
      <c r="A852" s="37">
        <v>3129</v>
      </c>
      <c r="B852" s="33">
        <v>2311</v>
      </c>
      <c r="C852" s="33" t="s">
        <v>14</v>
      </c>
      <c r="D852" s="33" t="s">
        <v>15</v>
      </c>
      <c r="E852" s="33" t="s">
        <v>15</v>
      </c>
      <c r="F852" s="33">
        <v>70</v>
      </c>
      <c r="G852" s="34">
        <v>650</v>
      </c>
    </row>
    <row r="853" spans="1:7" ht="18.75" x14ac:dyDescent="0.25">
      <c r="A853" s="37">
        <v>3130</v>
      </c>
      <c r="B853" s="33">
        <v>2311</v>
      </c>
      <c r="C853" s="33" t="s">
        <v>14</v>
      </c>
      <c r="D853" s="33" t="s">
        <v>15</v>
      </c>
      <c r="E853" s="33" t="s">
        <v>15</v>
      </c>
      <c r="F853" s="33">
        <v>0</v>
      </c>
      <c r="G853" s="38">
        <v>397.72727270000001</v>
      </c>
    </row>
    <row r="854" spans="1:7" ht="18.75" x14ac:dyDescent="0.25">
      <c r="A854" s="37">
        <v>3130</v>
      </c>
      <c r="B854" s="33">
        <v>2311</v>
      </c>
      <c r="C854" s="33" t="s">
        <v>14</v>
      </c>
      <c r="D854" s="33" t="s">
        <v>15</v>
      </c>
      <c r="E854" s="33" t="s">
        <v>15</v>
      </c>
      <c r="F854" s="33">
        <v>14</v>
      </c>
      <c r="G854" s="34">
        <v>427.27272729999999</v>
      </c>
    </row>
    <row r="855" spans="1:7" ht="18.75" x14ac:dyDescent="0.25">
      <c r="A855" s="37">
        <v>3130</v>
      </c>
      <c r="B855" s="33">
        <v>2311</v>
      </c>
      <c r="C855" s="33" t="s">
        <v>14</v>
      </c>
      <c r="D855" s="33" t="s">
        <v>15</v>
      </c>
      <c r="E855" s="33" t="s">
        <v>15</v>
      </c>
      <c r="F855" s="33">
        <v>28</v>
      </c>
      <c r="G855" s="34">
        <v>451.81818179999999</v>
      </c>
    </row>
    <row r="856" spans="1:7" ht="18.75" x14ac:dyDescent="0.25">
      <c r="A856" s="37">
        <v>3130</v>
      </c>
      <c r="B856" s="33">
        <v>2311</v>
      </c>
      <c r="C856" s="33" t="s">
        <v>14</v>
      </c>
      <c r="D856" s="33" t="s">
        <v>15</v>
      </c>
      <c r="E856" s="33" t="s">
        <v>15</v>
      </c>
      <c r="F856" s="33">
        <v>42</v>
      </c>
      <c r="G856" s="34">
        <v>475.90909090000002</v>
      </c>
    </row>
    <row r="857" spans="1:7" ht="18.75" x14ac:dyDescent="0.25">
      <c r="A857" s="37">
        <v>3130</v>
      </c>
      <c r="B857" s="33">
        <v>2311</v>
      </c>
      <c r="C857" s="33" t="s">
        <v>14</v>
      </c>
      <c r="D857" s="33" t="s">
        <v>15</v>
      </c>
      <c r="E857" s="33" t="s">
        <v>15</v>
      </c>
      <c r="F857" s="33">
        <v>56</v>
      </c>
      <c r="G857" s="34">
        <v>513.63636359999998</v>
      </c>
    </row>
    <row r="858" spans="1:7" ht="18.75" x14ac:dyDescent="0.25">
      <c r="A858" s="37">
        <v>3130</v>
      </c>
      <c r="B858" s="33">
        <v>2311</v>
      </c>
      <c r="C858" s="33" t="s">
        <v>14</v>
      </c>
      <c r="D858" s="33" t="s">
        <v>15</v>
      </c>
      <c r="E858" s="33" t="s">
        <v>15</v>
      </c>
      <c r="F858" s="33">
        <v>70</v>
      </c>
      <c r="G858" s="34">
        <v>536.81818180000005</v>
      </c>
    </row>
    <row r="859" spans="1:7" ht="18.75" x14ac:dyDescent="0.25">
      <c r="A859" s="37">
        <v>3131</v>
      </c>
      <c r="B859" s="33">
        <v>2311</v>
      </c>
      <c r="C859" s="33" t="s">
        <v>14</v>
      </c>
      <c r="D859" s="33" t="s">
        <v>15</v>
      </c>
      <c r="E859" s="33" t="s">
        <v>15</v>
      </c>
      <c r="F859" s="33">
        <v>0</v>
      </c>
      <c r="G859" s="38">
        <v>399.54545450000001</v>
      </c>
    </row>
    <row r="860" spans="1:7" ht="18.75" x14ac:dyDescent="0.25">
      <c r="A860" s="37">
        <v>3131</v>
      </c>
      <c r="B860" s="33">
        <v>2311</v>
      </c>
      <c r="C860" s="33" t="s">
        <v>14</v>
      </c>
      <c r="D860" s="33" t="s">
        <v>15</v>
      </c>
      <c r="E860" s="33" t="s">
        <v>15</v>
      </c>
      <c r="F860" s="33">
        <v>14</v>
      </c>
      <c r="G860" s="34">
        <v>441.36363640000002</v>
      </c>
    </row>
    <row r="861" spans="1:7" ht="18.75" x14ac:dyDescent="0.25">
      <c r="A861" s="37">
        <v>3131</v>
      </c>
      <c r="B861" s="33">
        <v>2311</v>
      </c>
      <c r="C861" s="33" t="s">
        <v>14</v>
      </c>
      <c r="D861" s="33" t="s">
        <v>15</v>
      </c>
      <c r="E861" s="33" t="s">
        <v>15</v>
      </c>
      <c r="F861" s="33">
        <v>28</v>
      </c>
      <c r="G861" s="34">
        <v>445.90909090000002</v>
      </c>
    </row>
    <row r="862" spans="1:7" ht="18.75" x14ac:dyDescent="0.25">
      <c r="A862" s="37">
        <v>3131</v>
      </c>
      <c r="B862" s="33">
        <v>2311</v>
      </c>
      <c r="C862" s="33" t="s">
        <v>14</v>
      </c>
      <c r="D862" s="33" t="s">
        <v>15</v>
      </c>
      <c r="E862" s="33" t="s">
        <v>15</v>
      </c>
      <c r="F862" s="33">
        <v>42</v>
      </c>
      <c r="G862" s="34">
        <v>476.36363640000002</v>
      </c>
    </row>
    <row r="863" spans="1:7" ht="18.75" x14ac:dyDescent="0.25">
      <c r="A863" s="37">
        <v>3131</v>
      </c>
      <c r="B863" s="33">
        <v>2311</v>
      </c>
      <c r="C863" s="33" t="s">
        <v>14</v>
      </c>
      <c r="D863" s="33" t="s">
        <v>15</v>
      </c>
      <c r="E863" s="33" t="s">
        <v>15</v>
      </c>
      <c r="F863" s="33">
        <v>56</v>
      </c>
      <c r="G863" s="34">
        <v>505</v>
      </c>
    </row>
    <row r="864" spans="1:7" ht="18.75" x14ac:dyDescent="0.25">
      <c r="A864" s="37">
        <v>3131</v>
      </c>
      <c r="B864" s="33">
        <v>2311</v>
      </c>
      <c r="C864" s="33" t="s">
        <v>14</v>
      </c>
      <c r="D864" s="33" t="s">
        <v>15</v>
      </c>
      <c r="E864" s="33" t="s">
        <v>15</v>
      </c>
      <c r="F864" s="33">
        <v>70</v>
      </c>
      <c r="G864" s="34">
        <v>533.18181819999995</v>
      </c>
    </row>
    <row r="865" spans="1:7" ht="18.75" x14ac:dyDescent="0.25">
      <c r="A865" s="37">
        <v>3132</v>
      </c>
      <c r="B865" s="33">
        <v>2311</v>
      </c>
      <c r="C865" s="33" t="s">
        <v>27</v>
      </c>
      <c r="D865" s="33" t="s">
        <v>15</v>
      </c>
      <c r="E865" s="33" t="s">
        <v>24</v>
      </c>
      <c r="F865" s="33">
        <v>0</v>
      </c>
      <c r="G865" s="38">
        <v>429.09090909999998</v>
      </c>
    </row>
    <row r="866" spans="1:7" ht="18.75" x14ac:dyDescent="0.25">
      <c r="A866" s="37">
        <v>3132</v>
      </c>
      <c r="B866" s="33">
        <v>2311</v>
      </c>
      <c r="C866" s="33" t="s">
        <v>27</v>
      </c>
      <c r="D866" s="33" t="s">
        <v>15</v>
      </c>
      <c r="E866" s="33" t="s">
        <v>24</v>
      </c>
      <c r="F866" s="33">
        <v>14</v>
      </c>
      <c r="G866" s="34">
        <v>480</v>
      </c>
    </row>
    <row r="867" spans="1:7" ht="18.75" x14ac:dyDescent="0.25">
      <c r="A867" s="37">
        <v>3132</v>
      </c>
      <c r="B867" s="33">
        <v>2311</v>
      </c>
      <c r="C867" s="33" t="s">
        <v>27</v>
      </c>
      <c r="D867" s="33" t="s">
        <v>15</v>
      </c>
      <c r="E867" s="33" t="s">
        <v>24</v>
      </c>
      <c r="F867" s="33">
        <v>28</v>
      </c>
      <c r="G867" s="34">
        <v>510.45454549999999</v>
      </c>
    </row>
    <row r="868" spans="1:7" ht="18.75" x14ac:dyDescent="0.25">
      <c r="A868" s="37">
        <v>3132</v>
      </c>
      <c r="B868" s="33">
        <v>2311</v>
      </c>
      <c r="C868" s="33" t="s">
        <v>27</v>
      </c>
      <c r="D868" s="33" t="s">
        <v>15</v>
      </c>
      <c r="E868" s="33" t="s">
        <v>24</v>
      </c>
      <c r="F868" s="33">
        <v>42</v>
      </c>
      <c r="G868" s="34">
        <v>541.36363640000002</v>
      </c>
    </row>
    <row r="869" spans="1:7" ht="18.75" x14ac:dyDescent="0.25">
      <c r="A869" s="37">
        <v>3132</v>
      </c>
      <c r="B869" s="33">
        <v>2311</v>
      </c>
      <c r="C869" s="33" t="s">
        <v>27</v>
      </c>
      <c r="D869" s="33" t="s">
        <v>15</v>
      </c>
      <c r="E869" s="33" t="s">
        <v>24</v>
      </c>
      <c r="F869" s="33">
        <v>56</v>
      </c>
      <c r="G869" s="34">
        <v>585</v>
      </c>
    </row>
    <row r="870" spans="1:7" ht="18.75" x14ac:dyDescent="0.25">
      <c r="A870" s="37">
        <v>3132</v>
      </c>
      <c r="B870" s="33">
        <v>2311</v>
      </c>
      <c r="C870" s="33" t="s">
        <v>27</v>
      </c>
      <c r="D870" s="33" t="s">
        <v>15</v>
      </c>
      <c r="E870" s="33" t="s">
        <v>24</v>
      </c>
      <c r="F870" s="33">
        <v>70</v>
      </c>
      <c r="G870" s="34">
        <v>590.90909090000002</v>
      </c>
    </row>
    <row r="871" spans="1:7" ht="18.75" x14ac:dyDescent="0.25">
      <c r="A871" s="37">
        <v>3143</v>
      </c>
      <c r="B871" s="33">
        <v>2311</v>
      </c>
      <c r="C871" s="33" t="s">
        <v>20</v>
      </c>
      <c r="D871" s="33" t="s">
        <v>21</v>
      </c>
      <c r="E871" s="33" t="s">
        <v>15</v>
      </c>
      <c r="F871" s="33">
        <v>0</v>
      </c>
      <c r="G871" s="38">
        <v>441.36363640000002</v>
      </c>
    </row>
    <row r="872" spans="1:7" ht="18.75" x14ac:dyDescent="0.25">
      <c r="A872" s="37">
        <v>3143</v>
      </c>
      <c r="B872" s="33">
        <v>2311</v>
      </c>
      <c r="C872" s="33" t="s">
        <v>20</v>
      </c>
      <c r="D872" s="33" t="s">
        <v>21</v>
      </c>
      <c r="E872" s="33" t="s">
        <v>15</v>
      </c>
      <c r="F872" s="33">
        <v>14</v>
      </c>
      <c r="G872" s="34">
        <v>480.90909090000002</v>
      </c>
    </row>
    <row r="873" spans="1:7" ht="18.75" x14ac:dyDescent="0.25">
      <c r="A873" s="37">
        <v>3143</v>
      </c>
      <c r="B873" s="33">
        <v>2311</v>
      </c>
      <c r="C873" s="33" t="s">
        <v>20</v>
      </c>
      <c r="D873" s="33" t="s">
        <v>21</v>
      </c>
      <c r="E873" s="33" t="s">
        <v>15</v>
      </c>
      <c r="F873" s="33">
        <v>28</v>
      </c>
      <c r="G873" s="34">
        <v>503.63636359999998</v>
      </c>
    </row>
    <row r="874" spans="1:7" ht="18.75" x14ac:dyDescent="0.25">
      <c r="A874" s="37">
        <v>3143</v>
      </c>
      <c r="B874" s="33">
        <v>2311</v>
      </c>
      <c r="C874" s="33" t="s">
        <v>20</v>
      </c>
      <c r="D874" s="33" t="s">
        <v>21</v>
      </c>
      <c r="E874" s="33" t="s">
        <v>15</v>
      </c>
      <c r="F874" s="33">
        <v>42</v>
      </c>
      <c r="G874" s="34">
        <v>527.72727269999996</v>
      </c>
    </row>
    <row r="875" spans="1:7" ht="18.75" x14ac:dyDescent="0.25">
      <c r="A875" s="37">
        <v>3143</v>
      </c>
      <c r="B875" s="33">
        <v>2311</v>
      </c>
      <c r="C875" s="33" t="s">
        <v>20</v>
      </c>
      <c r="D875" s="33" t="s">
        <v>21</v>
      </c>
      <c r="E875" s="33" t="s">
        <v>15</v>
      </c>
      <c r="F875" s="33">
        <v>56</v>
      </c>
      <c r="G875" s="34">
        <v>567.72727269999996</v>
      </c>
    </row>
    <row r="876" spans="1:7" ht="18.75" x14ac:dyDescent="0.25">
      <c r="A876" s="37">
        <v>3143</v>
      </c>
      <c r="B876" s="33">
        <v>2311</v>
      </c>
      <c r="C876" s="33" t="s">
        <v>20</v>
      </c>
      <c r="D876" s="33" t="s">
        <v>21</v>
      </c>
      <c r="E876" s="33" t="s">
        <v>15</v>
      </c>
      <c r="F876" s="33">
        <v>70</v>
      </c>
      <c r="G876" s="34">
        <v>597.72727269999996</v>
      </c>
    </row>
    <row r="877" spans="1:7" ht="18.75" x14ac:dyDescent="0.25">
      <c r="A877" s="37">
        <v>3144</v>
      </c>
      <c r="B877" s="33">
        <v>2311</v>
      </c>
      <c r="C877" s="33" t="s">
        <v>23</v>
      </c>
      <c r="D877" s="33" t="s">
        <v>21</v>
      </c>
      <c r="E877" s="33" t="s">
        <v>24</v>
      </c>
      <c r="F877" s="33">
        <v>0</v>
      </c>
      <c r="G877" s="38">
        <v>445.45454549999999</v>
      </c>
    </row>
    <row r="878" spans="1:7" ht="18.75" x14ac:dyDescent="0.25">
      <c r="A878" s="37">
        <v>3144</v>
      </c>
      <c r="B878" s="33">
        <v>2311</v>
      </c>
      <c r="C878" s="33" t="s">
        <v>23</v>
      </c>
      <c r="D878" s="33" t="s">
        <v>21</v>
      </c>
      <c r="E878" s="33" t="s">
        <v>24</v>
      </c>
      <c r="F878" s="33">
        <v>14</v>
      </c>
      <c r="G878" s="34">
        <v>461.36363640000002</v>
      </c>
    </row>
    <row r="879" spans="1:7" ht="18.75" x14ac:dyDescent="0.25">
      <c r="A879" s="37">
        <v>3144</v>
      </c>
      <c r="B879" s="33">
        <v>2311</v>
      </c>
      <c r="C879" s="33" t="s">
        <v>23</v>
      </c>
      <c r="D879" s="33" t="s">
        <v>21</v>
      </c>
      <c r="E879" s="33" t="s">
        <v>24</v>
      </c>
      <c r="F879" s="33">
        <v>28</v>
      </c>
      <c r="G879" s="34">
        <v>481.81818179999999</v>
      </c>
    </row>
    <row r="880" spans="1:7" ht="18.75" x14ac:dyDescent="0.25">
      <c r="A880" s="37">
        <v>3144</v>
      </c>
      <c r="B880" s="33">
        <v>2311</v>
      </c>
      <c r="C880" s="33" t="s">
        <v>23</v>
      </c>
      <c r="D880" s="33" t="s">
        <v>21</v>
      </c>
      <c r="E880" s="33" t="s">
        <v>24</v>
      </c>
      <c r="F880" s="33">
        <v>42</v>
      </c>
      <c r="G880" s="34">
        <v>520.90909090000002</v>
      </c>
    </row>
    <row r="881" spans="1:7" ht="18.75" x14ac:dyDescent="0.25">
      <c r="A881" s="37">
        <v>3144</v>
      </c>
      <c r="B881" s="33">
        <v>2311</v>
      </c>
      <c r="C881" s="33" t="s">
        <v>23</v>
      </c>
      <c r="D881" s="33" t="s">
        <v>21</v>
      </c>
      <c r="E881" s="33" t="s">
        <v>24</v>
      </c>
      <c r="F881" s="33">
        <v>56</v>
      </c>
      <c r="G881" s="34">
        <v>560.45454549999999</v>
      </c>
    </row>
    <row r="882" spans="1:7" ht="18.75" x14ac:dyDescent="0.25">
      <c r="A882" s="37">
        <v>3144</v>
      </c>
      <c r="B882" s="33">
        <v>2311</v>
      </c>
      <c r="C882" s="33" t="s">
        <v>23</v>
      </c>
      <c r="D882" s="33" t="s">
        <v>21</v>
      </c>
      <c r="E882" s="33" t="s">
        <v>24</v>
      </c>
      <c r="F882" s="33">
        <v>70</v>
      </c>
      <c r="G882" s="34">
        <v>589.54545450000001</v>
      </c>
    </row>
    <row r="883" spans="1:7" ht="18.75" x14ac:dyDescent="0.25">
      <c r="A883" s="37">
        <v>3150</v>
      </c>
      <c r="B883" s="33">
        <v>2311</v>
      </c>
      <c r="C883" s="33" t="s">
        <v>20</v>
      </c>
      <c r="D883" s="33" t="s">
        <v>21</v>
      </c>
      <c r="E883" s="33" t="s">
        <v>15</v>
      </c>
      <c r="F883" s="33">
        <v>0</v>
      </c>
      <c r="G883" s="38">
        <v>402.72727270000001</v>
      </c>
    </row>
    <row r="884" spans="1:7" ht="18.75" x14ac:dyDescent="0.25">
      <c r="A884" s="37">
        <v>3150</v>
      </c>
      <c r="B884" s="33">
        <v>2311</v>
      </c>
      <c r="C884" s="33" t="s">
        <v>20</v>
      </c>
      <c r="D884" s="33" t="s">
        <v>21</v>
      </c>
      <c r="E884" s="33" t="s">
        <v>15</v>
      </c>
      <c r="F884" s="33">
        <v>14</v>
      </c>
      <c r="G884" s="34">
        <v>420.90909090000002</v>
      </c>
    </row>
    <row r="885" spans="1:7" ht="18.75" x14ac:dyDescent="0.25">
      <c r="A885" s="37">
        <v>3150</v>
      </c>
      <c r="B885" s="33">
        <v>2311</v>
      </c>
      <c r="C885" s="33" t="s">
        <v>20</v>
      </c>
      <c r="D885" s="33" t="s">
        <v>21</v>
      </c>
      <c r="E885" s="33" t="s">
        <v>15</v>
      </c>
      <c r="F885" s="33">
        <v>28</v>
      </c>
      <c r="G885" s="34">
        <v>448.63636359999998</v>
      </c>
    </row>
    <row r="886" spans="1:7" ht="18.75" x14ac:dyDescent="0.25">
      <c r="A886" s="37">
        <v>3150</v>
      </c>
      <c r="B886" s="33">
        <v>2311</v>
      </c>
      <c r="C886" s="33" t="s">
        <v>20</v>
      </c>
      <c r="D886" s="33" t="s">
        <v>21</v>
      </c>
      <c r="E886" s="33" t="s">
        <v>15</v>
      </c>
      <c r="F886" s="33">
        <v>42</v>
      </c>
      <c r="G886" s="34">
        <v>468.63636359999998</v>
      </c>
    </row>
    <row r="887" spans="1:7" ht="18.75" x14ac:dyDescent="0.25">
      <c r="A887" s="37">
        <v>3150</v>
      </c>
      <c r="B887" s="33">
        <v>2311</v>
      </c>
      <c r="C887" s="33" t="s">
        <v>20</v>
      </c>
      <c r="D887" s="33" t="s">
        <v>21</v>
      </c>
      <c r="E887" s="33" t="s">
        <v>15</v>
      </c>
      <c r="F887" s="33">
        <v>56</v>
      </c>
      <c r="G887" s="34">
        <v>503.63636359999998</v>
      </c>
    </row>
    <row r="888" spans="1:7" ht="18.75" x14ac:dyDescent="0.25">
      <c r="A888" s="37">
        <v>3150</v>
      </c>
      <c r="B888" s="33">
        <v>2311</v>
      </c>
      <c r="C888" s="33" t="s">
        <v>20</v>
      </c>
      <c r="D888" s="33" t="s">
        <v>21</v>
      </c>
      <c r="E888" s="33" t="s">
        <v>15</v>
      </c>
      <c r="F888" s="33">
        <v>70</v>
      </c>
      <c r="G888" s="34">
        <v>528.63636359999998</v>
      </c>
    </row>
    <row r="889" spans="1:7" ht="18.75" x14ac:dyDescent="0.25">
      <c r="A889" s="37">
        <v>3158</v>
      </c>
      <c r="B889" s="33">
        <v>2311</v>
      </c>
      <c r="C889" s="33" t="s">
        <v>20</v>
      </c>
      <c r="D889" s="33" t="s">
        <v>21</v>
      </c>
      <c r="E889" s="33" t="s">
        <v>15</v>
      </c>
      <c r="F889" s="33">
        <v>0</v>
      </c>
      <c r="G889" s="38">
        <v>407.72727270000001</v>
      </c>
    </row>
    <row r="890" spans="1:7" ht="18.75" x14ac:dyDescent="0.25">
      <c r="A890" s="37">
        <v>3158</v>
      </c>
      <c r="B890" s="33">
        <v>2311</v>
      </c>
      <c r="C890" s="33" t="s">
        <v>20</v>
      </c>
      <c r="D890" s="33" t="s">
        <v>21</v>
      </c>
      <c r="E890" s="33" t="s">
        <v>15</v>
      </c>
      <c r="F890" s="33">
        <v>14</v>
      </c>
      <c r="G890" s="34">
        <v>433.63636359999998</v>
      </c>
    </row>
    <row r="891" spans="1:7" ht="18.75" x14ac:dyDescent="0.25">
      <c r="A891" s="37">
        <v>3158</v>
      </c>
      <c r="B891" s="33">
        <v>2311</v>
      </c>
      <c r="C891" s="33" t="s">
        <v>20</v>
      </c>
      <c r="D891" s="33" t="s">
        <v>21</v>
      </c>
      <c r="E891" s="33" t="s">
        <v>15</v>
      </c>
      <c r="F891" s="33">
        <v>28</v>
      </c>
      <c r="G891" s="34">
        <v>450.45454549999999</v>
      </c>
    </row>
    <row r="892" spans="1:7" ht="18.75" x14ac:dyDescent="0.25">
      <c r="A892" s="37">
        <v>3158</v>
      </c>
      <c r="B892" s="33">
        <v>2311</v>
      </c>
      <c r="C892" s="33" t="s">
        <v>20</v>
      </c>
      <c r="D892" s="33" t="s">
        <v>21</v>
      </c>
      <c r="E892" s="33" t="s">
        <v>15</v>
      </c>
      <c r="F892" s="33">
        <v>42</v>
      </c>
      <c r="G892" s="34">
        <v>496.81818179999999</v>
      </c>
    </row>
    <row r="893" spans="1:7" ht="18.75" x14ac:dyDescent="0.25">
      <c r="A893" s="37">
        <v>3158</v>
      </c>
      <c r="B893" s="33">
        <v>2311</v>
      </c>
      <c r="C893" s="33" t="s">
        <v>20</v>
      </c>
      <c r="D893" s="33" t="s">
        <v>21</v>
      </c>
      <c r="E893" s="33" t="s">
        <v>15</v>
      </c>
      <c r="F893" s="33">
        <v>56</v>
      </c>
      <c r="G893" s="34">
        <v>526.81818180000005</v>
      </c>
    </row>
    <row r="894" spans="1:7" ht="18.75" x14ac:dyDescent="0.25">
      <c r="A894" s="37">
        <v>3158</v>
      </c>
      <c r="B894" s="33">
        <v>2311</v>
      </c>
      <c r="C894" s="33" t="s">
        <v>20</v>
      </c>
      <c r="D894" s="33" t="s">
        <v>21</v>
      </c>
      <c r="E894" s="33" t="s">
        <v>15</v>
      </c>
      <c r="F894" s="33">
        <v>70</v>
      </c>
      <c r="G894" s="34">
        <v>551.81818180000005</v>
      </c>
    </row>
    <row r="895" spans="1:7" ht="18.75" x14ac:dyDescent="0.25">
      <c r="A895" s="37">
        <v>3165</v>
      </c>
      <c r="B895" s="33">
        <v>2311</v>
      </c>
      <c r="C895" s="33" t="s">
        <v>14</v>
      </c>
      <c r="D895" s="33" t="s">
        <v>15</v>
      </c>
      <c r="E895" s="33" t="s">
        <v>15</v>
      </c>
      <c r="F895" s="33">
        <v>0</v>
      </c>
      <c r="G895" s="38">
        <v>440.90909090000002</v>
      </c>
    </row>
    <row r="896" spans="1:7" ht="18.75" x14ac:dyDescent="0.25">
      <c r="A896" s="37">
        <v>3165</v>
      </c>
      <c r="B896" s="33">
        <v>2311</v>
      </c>
      <c r="C896" s="33" t="s">
        <v>14</v>
      </c>
      <c r="D896" s="33" t="s">
        <v>15</v>
      </c>
      <c r="E896" s="33" t="s">
        <v>15</v>
      </c>
      <c r="F896" s="33">
        <v>14</v>
      </c>
      <c r="G896" s="34">
        <v>465.45454549999999</v>
      </c>
    </row>
    <row r="897" spans="1:7" ht="18.75" x14ac:dyDescent="0.25">
      <c r="A897" s="37">
        <v>3165</v>
      </c>
      <c r="B897" s="33">
        <v>2311</v>
      </c>
      <c r="C897" s="33" t="s">
        <v>14</v>
      </c>
      <c r="D897" s="33" t="s">
        <v>15</v>
      </c>
      <c r="E897" s="33" t="s">
        <v>15</v>
      </c>
      <c r="F897" s="33">
        <v>28</v>
      </c>
      <c r="G897" s="34">
        <v>496.36363640000002</v>
      </c>
    </row>
    <row r="898" spans="1:7" ht="18.75" x14ac:dyDescent="0.25">
      <c r="A898" s="37">
        <v>3165</v>
      </c>
      <c r="B898" s="33">
        <v>2311</v>
      </c>
      <c r="C898" s="33" t="s">
        <v>14</v>
      </c>
      <c r="D898" s="33" t="s">
        <v>15</v>
      </c>
      <c r="E898" s="33" t="s">
        <v>15</v>
      </c>
      <c r="F898" s="33">
        <v>42</v>
      </c>
      <c r="G898" s="34">
        <v>523.63636359999998</v>
      </c>
    </row>
    <row r="899" spans="1:7" ht="18.75" x14ac:dyDescent="0.25">
      <c r="A899" s="37">
        <v>3165</v>
      </c>
      <c r="B899" s="33">
        <v>2311</v>
      </c>
      <c r="C899" s="33" t="s">
        <v>14</v>
      </c>
      <c r="D899" s="33" t="s">
        <v>15</v>
      </c>
      <c r="E899" s="33" t="s">
        <v>15</v>
      </c>
      <c r="F899" s="33">
        <v>56</v>
      </c>
      <c r="G899" s="34">
        <v>565.90909090000002</v>
      </c>
    </row>
    <row r="900" spans="1:7" ht="18.75" x14ac:dyDescent="0.25">
      <c r="A900" s="37">
        <v>3165</v>
      </c>
      <c r="B900" s="33">
        <v>2311</v>
      </c>
      <c r="C900" s="33" t="s">
        <v>14</v>
      </c>
      <c r="D900" s="33" t="s">
        <v>15</v>
      </c>
      <c r="E900" s="33" t="s">
        <v>15</v>
      </c>
      <c r="F900" s="33">
        <v>70</v>
      </c>
      <c r="G900" s="34">
        <v>604.09090909999998</v>
      </c>
    </row>
    <row r="901" spans="1:7" ht="18.75" x14ac:dyDescent="0.25">
      <c r="A901" s="37">
        <v>3169</v>
      </c>
      <c r="B901" s="33">
        <v>2311</v>
      </c>
      <c r="C901" s="33" t="s">
        <v>14</v>
      </c>
      <c r="D901" s="33" t="s">
        <v>15</v>
      </c>
      <c r="E901" s="33" t="s">
        <v>15</v>
      </c>
      <c r="F901" s="33">
        <v>0</v>
      </c>
      <c r="G901" s="38">
        <v>427.27272729999999</v>
      </c>
    </row>
    <row r="902" spans="1:7" ht="18.75" x14ac:dyDescent="0.25">
      <c r="A902" s="37">
        <v>3169</v>
      </c>
      <c r="B902" s="33">
        <v>2311</v>
      </c>
      <c r="C902" s="33" t="s">
        <v>14</v>
      </c>
      <c r="D902" s="33" t="s">
        <v>15</v>
      </c>
      <c r="E902" s="33" t="s">
        <v>15</v>
      </c>
      <c r="F902" s="33">
        <v>14</v>
      </c>
      <c r="G902" s="34">
        <v>455.45454549999999</v>
      </c>
    </row>
    <row r="903" spans="1:7" ht="18.75" x14ac:dyDescent="0.25">
      <c r="A903" s="37">
        <v>3169</v>
      </c>
      <c r="B903" s="33">
        <v>2311</v>
      </c>
      <c r="C903" s="33" t="s">
        <v>14</v>
      </c>
      <c r="D903" s="33" t="s">
        <v>15</v>
      </c>
      <c r="E903" s="33" t="s">
        <v>15</v>
      </c>
      <c r="F903" s="33">
        <v>28</v>
      </c>
      <c r="G903" s="34">
        <v>489.09090909999998</v>
      </c>
    </row>
    <row r="904" spans="1:7" ht="18.75" x14ac:dyDescent="0.25">
      <c r="A904" s="37">
        <v>3169</v>
      </c>
      <c r="B904" s="33">
        <v>2311</v>
      </c>
      <c r="C904" s="33" t="s">
        <v>14</v>
      </c>
      <c r="D904" s="33" t="s">
        <v>15</v>
      </c>
      <c r="E904" s="33" t="s">
        <v>15</v>
      </c>
      <c r="F904" s="33">
        <v>42</v>
      </c>
      <c r="G904" s="34">
        <v>517.72727269999996</v>
      </c>
    </row>
    <row r="905" spans="1:7" ht="18.75" x14ac:dyDescent="0.25">
      <c r="A905" s="37">
        <v>3169</v>
      </c>
      <c r="B905" s="33">
        <v>2311</v>
      </c>
      <c r="C905" s="33" t="s">
        <v>14</v>
      </c>
      <c r="D905" s="33" t="s">
        <v>15</v>
      </c>
      <c r="E905" s="33" t="s">
        <v>15</v>
      </c>
      <c r="F905" s="33">
        <v>56</v>
      </c>
      <c r="G905" s="34">
        <v>569.09090909999998</v>
      </c>
    </row>
    <row r="906" spans="1:7" ht="18.75" x14ac:dyDescent="0.25">
      <c r="A906" s="37">
        <v>3169</v>
      </c>
      <c r="B906" s="33">
        <v>2311</v>
      </c>
      <c r="C906" s="33" t="s">
        <v>14</v>
      </c>
      <c r="D906" s="33" t="s">
        <v>15</v>
      </c>
      <c r="E906" s="33" t="s">
        <v>15</v>
      </c>
      <c r="F906" s="33">
        <v>70</v>
      </c>
      <c r="G906" s="34">
        <v>601.81818180000005</v>
      </c>
    </row>
    <row r="907" spans="1:7" ht="18.75" x14ac:dyDescent="0.25">
      <c r="A907" s="37">
        <v>3171</v>
      </c>
      <c r="B907" s="33">
        <v>2311</v>
      </c>
      <c r="C907" s="33" t="s">
        <v>14</v>
      </c>
      <c r="D907" s="33" t="s">
        <v>15</v>
      </c>
      <c r="E907" s="33" t="s">
        <v>15</v>
      </c>
      <c r="F907" s="33">
        <v>0</v>
      </c>
      <c r="G907" s="38">
        <v>377.27272729999999</v>
      </c>
    </row>
    <row r="908" spans="1:7" ht="18.75" x14ac:dyDescent="0.25">
      <c r="A908" s="37">
        <v>3171</v>
      </c>
      <c r="B908" s="33">
        <v>2311</v>
      </c>
      <c r="C908" s="33" t="s">
        <v>14</v>
      </c>
      <c r="D908" s="33" t="s">
        <v>15</v>
      </c>
      <c r="E908" s="33" t="s">
        <v>15</v>
      </c>
      <c r="F908" s="33">
        <v>14</v>
      </c>
      <c r="G908" s="34">
        <v>415</v>
      </c>
    </row>
    <row r="909" spans="1:7" ht="18.75" x14ac:dyDescent="0.25">
      <c r="A909" s="37">
        <v>3171</v>
      </c>
      <c r="B909" s="33">
        <v>2311</v>
      </c>
      <c r="C909" s="33" t="s">
        <v>14</v>
      </c>
      <c r="D909" s="33" t="s">
        <v>15</v>
      </c>
      <c r="E909" s="33" t="s">
        <v>15</v>
      </c>
      <c r="F909" s="33">
        <v>28</v>
      </c>
      <c r="G909" s="34">
        <v>446.36363640000002</v>
      </c>
    </row>
    <row r="910" spans="1:7" ht="18.75" x14ac:dyDescent="0.25">
      <c r="A910" s="37">
        <v>3171</v>
      </c>
      <c r="B910" s="33">
        <v>2311</v>
      </c>
      <c r="C910" s="33" t="s">
        <v>14</v>
      </c>
      <c r="D910" s="33" t="s">
        <v>15</v>
      </c>
      <c r="E910" s="33" t="s">
        <v>15</v>
      </c>
      <c r="F910" s="33">
        <v>42</v>
      </c>
      <c r="G910" s="34">
        <v>485.90909090000002</v>
      </c>
    </row>
    <row r="911" spans="1:7" ht="18.75" x14ac:dyDescent="0.25">
      <c r="A911" s="37">
        <v>3171</v>
      </c>
      <c r="B911" s="33">
        <v>2311</v>
      </c>
      <c r="C911" s="33" t="s">
        <v>14</v>
      </c>
      <c r="D911" s="33" t="s">
        <v>15</v>
      </c>
      <c r="E911" s="33" t="s">
        <v>15</v>
      </c>
      <c r="F911" s="33">
        <v>56</v>
      </c>
      <c r="G911" s="34">
        <v>521.81818180000005</v>
      </c>
    </row>
    <row r="912" spans="1:7" ht="18.75" x14ac:dyDescent="0.25">
      <c r="A912" s="37">
        <v>3171</v>
      </c>
      <c r="B912" s="33">
        <v>2311</v>
      </c>
      <c r="C912" s="33" t="s">
        <v>14</v>
      </c>
      <c r="D912" s="33" t="s">
        <v>15</v>
      </c>
      <c r="E912" s="33" t="s">
        <v>15</v>
      </c>
      <c r="F912" s="33">
        <v>70</v>
      </c>
      <c r="G912" s="34">
        <v>538.63636359999998</v>
      </c>
    </row>
    <row r="913" spans="1:7" ht="18.75" x14ac:dyDescent="0.25">
      <c r="A913" s="37">
        <v>3172</v>
      </c>
      <c r="B913" s="33">
        <v>2311</v>
      </c>
      <c r="C913" s="33" t="s">
        <v>14</v>
      </c>
      <c r="D913" s="33" t="s">
        <v>15</v>
      </c>
      <c r="E913" s="33" t="s">
        <v>15</v>
      </c>
      <c r="F913" s="33">
        <v>0</v>
      </c>
      <c r="G913" s="38">
        <v>399.09090909999998</v>
      </c>
    </row>
    <row r="914" spans="1:7" ht="18.75" x14ac:dyDescent="0.25">
      <c r="A914" s="37">
        <v>3172</v>
      </c>
      <c r="B914" s="33">
        <v>2311</v>
      </c>
      <c r="C914" s="33" t="s">
        <v>14</v>
      </c>
      <c r="D914" s="33" t="s">
        <v>15</v>
      </c>
      <c r="E914" s="33" t="s">
        <v>15</v>
      </c>
      <c r="F914" s="33">
        <v>14</v>
      </c>
      <c r="G914" s="34">
        <v>417.72727270000001</v>
      </c>
    </row>
    <row r="915" spans="1:7" ht="18.75" x14ac:dyDescent="0.25">
      <c r="A915" s="37">
        <v>3172</v>
      </c>
      <c r="B915" s="33">
        <v>2311</v>
      </c>
      <c r="C915" s="33" t="s">
        <v>14</v>
      </c>
      <c r="D915" s="33" t="s">
        <v>15</v>
      </c>
      <c r="E915" s="33" t="s">
        <v>15</v>
      </c>
      <c r="F915" s="33">
        <v>28</v>
      </c>
      <c r="G915" s="34">
        <v>447.27272729999999</v>
      </c>
    </row>
    <row r="916" spans="1:7" ht="18.75" x14ac:dyDescent="0.25">
      <c r="A916" s="37">
        <v>3172</v>
      </c>
      <c r="B916" s="33">
        <v>2311</v>
      </c>
      <c r="C916" s="33" t="s">
        <v>14</v>
      </c>
      <c r="D916" s="33" t="s">
        <v>15</v>
      </c>
      <c r="E916" s="33" t="s">
        <v>15</v>
      </c>
      <c r="F916" s="33">
        <v>42</v>
      </c>
      <c r="G916" s="34">
        <v>471.81818179999999</v>
      </c>
    </row>
    <row r="917" spans="1:7" ht="18.75" x14ac:dyDescent="0.25">
      <c r="A917" s="37">
        <v>3172</v>
      </c>
      <c r="B917" s="33">
        <v>2311</v>
      </c>
      <c r="C917" s="33" t="s">
        <v>14</v>
      </c>
      <c r="D917" s="33" t="s">
        <v>15</v>
      </c>
      <c r="E917" s="33" t="s">
        <v>15</v>
      </c>
      <c r="F917" s="33">
        <v>56</v>
      </c>
      <c r="G917" s="34">
        <v>515</v>
      </c>
    </row>
    <row r="918" spans="1:7" ht="18.75" x14ac:dyDescent="0.25">
      <c r="A918" s="37">
        <v>3172</v>
      </c>
      <c r="B918" s="33">
        <v>2311</v>
      </c>
      <c r="C918" s="33" t="s">
        <v>14</v>
      </c>
      <c r="D918" s="33" t="s">
        <v>15</v>
      </c>
      <c r="E918" s="33" t="s">
        <v>15</v>
      </c>
      <c r="F918" s="33">
        <v>70</v>
      </c>
      <c r="G918" s="34">
        <v>527.72727269999996</v>
      </c>
    </row>
    <row r="919" spans="1:7" ht="18.75" x14ac:dyDescent="0.25">
      <c r="A919" s="37">
        <v>3174</v>
      </c>
      <c r="B919" s="33">
        <v>2311</v>
      </c>
      <c r="C919" s="33" t="s">
        <v>14</v>
      </c>
      <c r="D919" s="33" t="s">
        <v>15</v>
      </c>
      <c r="E919" s="33" t="s">
        <v>15</v>
      </c>
      <c r="F919" s="33">
        <v>0</v>
      </c>
      <c r="G919" s="38">
        <v>305</v>
      </c>
    </row>
    <row r="920" spans="1:7" ht="18.75" x14ac:dyDescent="0.25">
      <c r="A920" s="37">
        <v>3174</v>
      </c>
      <c r="B920" s="33">
        <v>2311</v>
      </c>
      <c r="C920" s="33" t="s">
        <v>14</v>
      </c>
      <c r="D920" s="33" t="s">
        <v>15</v>
      </c>
      <c r="E920" s="33" t="s">
        <v>15</v>
      </c>
      <c r="F920" s="33">
        <v>14</v>
      </c>
      <c r="G920" s="34">
        <v>321.36363640000002</v>
      </c>
    </row>
    <row r="921" spans="1:7" ht="18.75" x14ac:dyDescent="0.25">
      <c r="A921" s="37">
        <v>3174</v>
      </c>
      <c r="B921" s="33">
        <v>2311</v>
      </c>
      <c r="C921" s="33" t="s">
        <v>14</v>
      </c>
      <c r="D921" s="33" t="s">
        <v>15</v>
      </c>
      <c r="E921" s="33" t="s">
        <v>15</v>
      </c>
      <c r="F921" s="33">
        <v>28</v>
      </c>
      <c r="G921" s="34">
        <v>343.18181820000001</v>
      </c>
    </row>
    <row r="922" spans="1:7" ht="18.75" x14ac:dyDescent="0.25">
      <c r="A922" s="37">
        <v>3174</v>
      </c>
      <c r="B922" s="33">
        <v>2311</v>
      </c>
      <c r="C922" s="33" t="s">
        <v>14</v>
      </c>
      <c r="D922" s="33" t="s">
        <v>15</v>
      </c>
      <c r="E922" s="33" t="s">
        <v>15</v>
      </c>
      <c r="F922" s="33">
        <v>42</v>
      </c>
      <c r="G922" s="34">
        <v>385</v>
      </c>
    </row>
    <row r="923" spans="1:7" ht="18.75" x14ac:dyDescent="0.25">
      <c r="A923" s="37">
        <v>3174</v>
      </c>
      <c r="B923" s="33">
        <v>2311</v>
      </c>
      <c r="C923" s="33" t="s">
        <v>14</v>
      </c>
      <c r="D923" s="33" t="s">
        <v>15</v>
      </c>
      <c r="E923" s="33" t="s">
        <v>15</v>
      </c>
      <c r="F923" s="33">
        <v>56</v>
      </c>
      <c r="G923" s="34">
        <v>422.27272729999999</v>
      </c>
    </row>
    <row r="924" spans="1:7" ht="18.75" x14ac:dyDescent="0.25">
      <c r="A924" s="37">
        <v>3174</v>
      </c>
      <c r="B924" s="33">
        <v>2311</v>
      </c>
      <c r="C924" s="33" t="s">
        <v>14</v>
      </c>
      <c r="D924" s="33" t="s">
        <v>15</v>
      </c>
      <c r="E924" s="33" t="s">
        <v>15</v>
      </c>
      <c r="F924" s="33">
        <v>70</v>
      </c>
      <c r="G924" s="34">
        <v>452.72727270000001</v>
      </c>
    </row>
    <row r="925" spans="1:7" ht="18.75" x14ac:dyDescent="0.25">
      <c r="A925" s="37">
        <v>3175</v>
      </c>
      <c r="B925" s="33">
        <v>2311</v>
      </c>
      <c r="C925" s="33" t="s">
        <v>14</v>
      </c>
      <c r="D925" s="33" t="s">
        <v>15</v>
      </c>
      <c r="E925" s="33" t="s">
        <v>15</v>
      </c>
      <c r="F925" s="33">
        <v>0</v>
      </c>
      <c r="G925" s="38">
        <v>356.81818179999999</v>
      </c>
    </row>
    <row r="926" spans="1:7" ht="18.75" x14ac:dyDescent="0.25">
      <c r="A926" s="37">
        <v>3175</v>
      </c>
      <c r="B926" s="33">
        <v>2311</v>
      </c>
      <c r="C926" s="33" t="s">
        <v>14</v>
      </c>
      <c r="D926" s="33" t="s">
        <v>15</v>
      </c>
      <c r="E926" s="33" t="s">
        <v>15</v>
      </c>
      <c r="F926" s="33">
        <v>14</v>
      </c>
      <c r="G926" s="34">
        <v>410</v>
      </c>
    </row>
    <row r="927" spans="1:7" ht="18.75" x14ac:dyDescent="0.25">
      <c r="A927" s="37">
        <v>3175</v>
      </c>
      <c r="B927" s="33">
        <v>2311</v>
      </c>
      <c r="C927" s="33" t="s">
        <v>14</v>
      </c>
      <c r="D927" s="33" t="s">
        <v>15</v>
      </c>
      <c r="E927" s="33" t="s">
        <v>15</v>
      </c>
      <c r="F927" s="33">
        <v>28</v>
      </c>
      <c r="G927" s="34">
        <v>434.54545450000001</v>
      </c>
    </row>
    <row r="928" spans="1:7" ht="18.75" x14ac:dyDescent="0.25">
      <c r="A928" s="37">
        <v>3175</v>
      </c>
      <c r="B928" s="33">
        <v>2311</v>
      </c>
      <c r="C928" s="33" t="s">
        <v>14</v>
      </c>
      <c r="D928" s="33" t="s">
        <v>15</v>
      </c>
      <c r="E928" s="33" t="s">
        <v>15</v>
      </c>
      <c r="F928" s="33">
        <v>42</v>
      </c>
      <c r="G928" s="34">
        <v>456.36363640000002</v>
      </c>
    </row>
    <row r="929" spans="1:7" ht="18.75" x14ac:dyDescent="0.25">
      <c r="A929" s="37">
        <v>3175</v>
      </c>
      <c r="B929" s="33">
        <v>2311</v>
      </c>
      <c r="C929" s="33" t="s">
        <v>14</v>
      </c>
      <c r="D929" s="33" t="s">
        <v>15</v>
      </c>
      <c r="E929" s="33" t="s">
        <v>15</v>
      </c>
      <c r="F929" s="33">
        <v>56</v>
      </c>
      <c r="G929" s="34">
        <v>515.45454549999999</v>
      </c>
    </row>
    <row r="930" spans="1:7" ht="18.75" x14ac:dyDescent="0.25">
      <c r="A930" s="37">
        <v>3175</v>
      </c>
      <c r="B930" s="33">
        <v>2311</v>
      </c>
      <c r="C930" s="33" t="s">
        <v>14</v>
      </c>
      <c r="D930" s="33" t="s">
        <v>15</v>
      </c>
      <c r="E930" s="33" t="s">
        <v>15</v>
      </c>
      <c r="F930" s="33">
        <v>70</v>
      </c>
      <c r="G930" s="34">
        <v>535.90909090000002</v>
      </c>
    </row>
    <row r="931" spans="1:7" ht="18.75" x14ac:dyDescent="0.25">
      <c r="A931" s="37">
        <v>3201</v>
      </c>
      <c r="B931" s="33">
        <v>2311</v>
      </c>
      <c r="C931" s="33" t="s">
        <v>14</v>
      </c>
      <c r="D931" s="33" t="s">
        <v>15</v>
      </c>
      <c r="E931" s="33" t="s">
        <v>15</v>
      </c>
      <c r="F931" s="33">
        <v>0</v>
      </c>
      <c r="G931" s="38">
        <v>481.81818179999999</v>
      </c>
    </row>
    <row r="932" spans="1:7" ht="18.75" x14ac:dyDescent="0.25">
      <c r="A932" s="37">
        <v>3201</v>
      </c>
      <c r="B932" s="33">
        <v>2311</v>
      </c>
      <c r="C932" s="33" t="s">
        <v>14</v>
      </c>
      <c r="D932" s="33" t="s">
        <v>15</v>
      </c>
      <c r="E932" s="33" t="s">
        <v>15</v>
      </c>
      <c r="F932" s="33">
        <v>14</v>
      </c>
      <c r="G932" s="34">
        <v>525.90909090000002</v>
      </c>
    </row>
    <row r="933" spans="1:7" ht="18.75" x14ac:dyDescent="0.25">
      <c r="A933" s="37">
        <v>3201</v>
      </c>
      <c r="B933" s="33">
        <v>2311</v>
      </c>
      <c r="C933" s="33" t="s">
        <v>14</v>
      </c>
      <c r="D933" s="33" t="s">
        <v>15</v>
      </c>
      <c r="E933" s="33" t="s">
        <v>15</v>
      </c>
      <c r="F933" s="33">
        <v>28</v>
      </c>
      <c r="G933" s="34">
        <v>553.63636359999998</v>
      </c>
    </row>
    <row r="934" spans="1:7" ht="18.75" x14ac:dyDescent="0.25">
      <c r="A934" s="37">
        <v>3201</v>
      </c>
      <c r="B934" s="33">
        <v>2311</v>
      </c>
      <c r="C934" s="33" t="s">
        <v>14</v>
      </c>
      <c r="D934" s="33" t="s">
        <v>15</v>
      </c>
      <c r="E934" s="33" t="s">
        <v>15</v>
      </c>
      <c r="F934" s="33">
        <v>42</v>
      </c>
      <c r="G934" s="34">
        <v>574.54545450000001</v>
      </c>
    </row>
    <row r="935" spans="1:7" ht="18.75" x14ac:dyDescent="0.25">
      <c r="A935" s="37">
        <v>3201</v>
      </c>
      <c r="B935" s="33">
        <v>2311</v>
      </c>
      <c r="C935" s="33" t="s">
        <v>14</v>
      </c>
      <c r="D935" s="33" t="s">
        <v>15</v>
      </c>
      <c r="E935" s="33" t="s">
        <v>15</v>
      </c>
      <c r="F935" s="33">
        <v>56</v>
      </c>
      <c r="G935" s="34">
        <v>602.27272730000004</v>
      </c>
    </row>
    <row r="936" spans="1:7" ht="18.75" x14ac:dyDescent="0.25">
      <c r="A936" s="37">
        <v>3201</v>
      </c>
      <c r="B936" s="33">
        <v>2311</v>
      </c>
      <c r="C936" s="33" t="s">
        <v>14</v>
      </c>
      <c r="D936" s="33" t="s">
        <v>15</v>
      </c>
      <c r="E936" s="33" t="s">
        <v>15</v>
      </c>
      <c r="F936" s="33">
        <v>70</v>
      </c>
      <c r="G936" s="34">
        <v>618.18181819999995</v>
      </c>
    </row>
    <row r="937" spans="1:7" ht="18.75" x14ac:dyDescent="0.25">
      <c r="A937" s="37">
        <v>3205</v>
      </c>
      <c r="B937" s="33">
        <v>2311</v>
      </c>
      <c r="C937" s="33" t="s">
        <v>14</v>
      </c>
      <c r="D937" s="33" t="s">
        <v>15</v>
      </c>
      <c r="E937" s="33" t="s">
        <v>15</v>
      </c>
      <c r="F937" s="33">
        <v>0</v>
      </c>
      <c r="G937" s="38">
        <v>542.72727269999996</v>
      </c>
    </row>
    <row r="938" spans="1:7" ht="18.75" x14ac:dyDescent="0.25">
      <c r="A938" s="37">
        <v>3205</v>
      </c>
      <c r="B938" s="33">
        <v>2311</v>
      </c>
      <c r="C938" s="33" t="s">
        <v>14</v>
      </c>
      <c r="D938" s="33" t="s">
        <v>15</v>
      </c>
      <c r="E938" s="33" t="s">
        <v>15</v>
      </c>
      <c r="F938" s="33">
        <v>14</v>
      </c>
      <c r="G938" s="34">
        <v>569.54545450000001</v>
      </c>
    </row>
    <row r="939" spans="1:7" ht="18.75" x14ac:dyDescent="0.25">
      <c r="A939" s="37">
        <v>3205</v>
      </c>
      <c r="B939" s="33">
        <v>2311</v>
      </c>
      <c r="C939" s="33" t="s">
        <v>14</v>
      </c>
      <c r="D939" s="33" t="s">
        <v>15</v>
      </c>
      <c r="E939" s="33" t="s">
        <v>15</v>
      </c>
      <c r="F939" s="33">
        <v>28</v>
      </c>
      <c r="G939" s="34">
        <v>590</v>
      </c>
    </row>
    <row r="940" spans="1:7" ht="18.75" x14ac:dyDescent="0.25">
      <c r="A940" s="37">
        <v>3205</v>
      </c>
      <c r="B940" s="33">
        <v>2311</v>
      </c>
      <c r="C940" s="33" t="s">
        <v>14</v>
      </c>
      <c r="D940" s="33" t="s">
        <v>15</v>
      </c>
      <c r="E940" s="33" t="s">
        <v>15</v>
      </c>
      <c r="F940" s="33">
        <v>42</v>
      </c>
      <c r="G940" s="34">
        <v>612.27272730000004</v>
      </c>
    </row>
    <row r="941" spans="1:7" ht="18.75" x14ac:dyDescent="0.25">
      <c r="A941" s="37">
        <v>3205</v>
      </c>
      <c r="B941" s="33">
        <v>2311</v>
      </c>
      <c r="C941" s="33" t="s">
        <v>14</v>
      </c>
      <c r="D941" s="33" t="s">
        <v>15</v>
      </c>
      <c r="E941" s="33" t="s">
        <v>15</v>
      </c>
      <c r="F941" s="33">
        <v>56</v>
      </c>
      <c r="G941" s="34">
        <v>648.63636359999998</v>
      </c>
    </row>
    <row r="942" spans="1:7" ht="18.75" x14ac:dyDescent="0.25">
      <c r="A942" s="37">
        <v>3205</v>
      </c>
      <c r="B942" s="33">
        <v>2311</v>
      </c>
      <c r="C942" s="33" t="s">
        <v>14</v>
      </c>
      <c r="D942" s="33" t="s">
        <v>15</v>
      </c>
      <c r="E942" s="33" t="s">
        <v>15</v>
      </c>
      <c r="F942" s="33">
        <v>70</v>
      </c>
      <c r="G942" s="34">
        <v>648.18181819999995</v>
      </c>
    </row>
    <row r="943" spans="1:7" ht="18.75" x14ac:dyDescent="0.25">
      <c r="A943" s="37">
        <v>3210</v>
      </c>
      <c r="B943" s="33">
        <v>2311</v>
      </c>
      <c r="C943" s="33" t="s">
        <v>20</v>
      </c>
      <c r="D943" s="33" t="s">
        <v>21</v>
      </c>
      <c r="E943" s="33" t="s">
        <v>15</v>
      </c>
      <c r="F943" s="33">
        <v>0</v>
      </c>
      <c r="G943" s="38">
        <v>493.63636359999998</v>
      </c>
    </row>
    <row r="944" spans="1:7" ht="18.75" x14ac:dyDescent="0.25">
      <c r="A944" s="37">
        <v>3210</v>
      </c>
      <c r="B944" s="33">
        <v>2311</v>
      </c>
      <c r="C944" s="33" t="s">
        <v>20</v>
      </c>
      <c r="D944" s="33" t="s">
        <v>21</v>
      </c>
      <c r="E944" s="33" t="s">
        <v>15</v>
      </c>
      <c r="F944" s="33">
        <v>14</v>
      </c>
      <c r="G944" s="34">
        <v>518.63636359999998</v>
      </c>
    </row>
    <row r="945" spans="1:7" ht="18.75" x14ac:dyDescent="0.25">
      <c r="A945" s="37">
        <v>3210</v>
      </c>
      <c r="B945" s="33">
        <v>2311</v>
      </c>
      <c r="C945" s="33" t="s">
        <v>20</v>
      </c>
      <c r="D945" s="33" t="s">
        <v>21</v>
      </c>
      <c r="E945" s="33" t="s">
        <v>15</v>
      </c>
      <c r="F945" s="33">
        <v>28</v>
      </c>
      <c r="G945" s="34">
        <v>530</v>
      </c>
    </row>
    <row r="946" spans="1:7" ht="18.75" x14ac:dyDescent="0.25">
      <c r="A946" s="37">
        <v>3210</v>
      </c>
      <c r="B946" s="33">
        <v>2311</v>
      </c>
      <c r="C946" s="33" t="s">
        <v>20</v>
      </c>
      <c r="D946" s="33" t="s">
        <v>21</v>
      </c>
      <c r="E946" s="33" t="s">
        <v>15</v>
      </c>
      <c r="F946" s="33">
        <v>42</v>
      </c>
      <c r="G946" s="34">
        <v>554.54545450000001</v>
      </c>
    </row>
    <row r="947" spans="1:7" ht="18.75" x14ac:dyDescent="0.25">
      <c r="A947" s="37">
        <v>3210</v>
      </c>
      <c r="B947" s="33">
        <v>2311</v>
      </c>
      <c r="C947" s="33" t="s">
        <v>20</v>
      </c>
      <c r="D947" s="33" t="s">
        <v>21</v>
      </c>
      <c r="E947" s="33" t="s">
        <v>15</v>
      </c>
      <c r="F947" s="33">
        <v>56</v>
      </c>
      <c r="G947" s="34">
        <v>587.72727269999996</v>
      </c>
    </row>
    <row r="948" spans="1:7" ht="18.75" x14ac:dyDescent="0.25">
      <c r="A948" s="37">
        <v>3210</v>
      </c>
      <c r="B948" s="33">
        <v>2311</v>
      </c>
      <c r="C948" s="33" t="s">
        <v>20</v>
      </c>
      <c r="D948" s="33" t="s">
        <v>21</v>
      </c>
      <c r="E948" s="33" t="s">
        <v>15</v>
      </c>
      <c r="F948" s="33">
        <v>70</v>
      </c>
      <c r="G948" s="34">
        <v>626.81818180000005</v>
      </c>
    </row>
    <row r="949" spans="1:7" ht="18.75" x14ac:dyDescent="0.25">
      <c r="A949" s="37">
        <v>3211</v>
      </c>
      <c r="B949" s="33">
        <v>2311</v>
      </c>
      <c r="C949" s="33" t="s">
        <v>27</v>
      </c>
      <c r="D949" s="33" t="s">
        <v>15</v>
      </c>
      <c r="E949" s="33" t="s">
        <v>24</v>
      </c>
      <c r="F949" s="33">
        <v>0</v>
      </c>
      <c r="G949" s="38">
        <v>551.36363640000002</v>
      </c>
    </row>
    <row r="950" spans="1:7" ht="18.75" x14ac:dyDescent="0.25">
      <c r="A950" s="37">
        <v>3211</v>
      </c>
      <c r="B950" s="33">
        <v>2311</v>
      </c>
      <c r="C950" s="33" t="s">
        <v>27</v>
      </c>
      <c r="D950" s="33" t="s">
        <v>15</v>
      </c>
      <c r="E950" s="33" t="s">
        <v>24</v>
      </c>
      <c r="F950" s="33">
        <v>14</v>
      </c>
      <c r="G950" s="34">
        <v>574.54545450000001</v>
      </c>
    </row>
    <row r="951" spans="1:7" ht="18.75" x14ac:dyDescent="0.25">
      <c r="A951" s="37">
        <v>3211</v>
      </c>
      <c r="B951" s="33">
        <v>2311</v>
      </c>
      <c r="C951" s="33" t="s">
        <v>27</v>
      </c>
      <c r="D951" s="33" t="s">
        <v>15</v>
      </c>
      <c r="E951" s="33" t="s">
        <v>24</v>
      </c>
      <c r="F951" s="33">
        <v>28</v>
      </c>
      <c r="G951" s="34">
        <v>596.81818180000005</v>
      </c>
    </row>
    <row r="952" spans="1:7" ht="18.75" x14ac:dyDescent="0.25">
      <c r="A952" s="37">
        <v>3211</v>
      </c>
      <c r="B952" s="33">
        <v>2311</v>
      </c>
      <c r="C952" s="33" t="s">
        <v>27</v>
      </c>
      <c r="D952" s="33" t="s">
        <v>15</v>
      </c>
      <c r="E952" s="33" t="s">
        <v>24</v>
      </c>
      <c r="F952" s="33">
        <v>42</v>
      </c>
      <c r="G952" s="34">
        <v>616.36363640000002</v>
      </c>
    </row>
    <row r="953" spans="1:7" ht="18.75" x14ac:dyDescent="0.25">
      <c r="A953" s="37">
        <v>3211</v>
      </c>
      <c r="B953" s="33">
        <v>2311</v>
      </c>
      <c r="C953" s="33" t="s">
        <v>27</v>
      </c>
      <c r="D953" s="33" t="s">
        <v>15</v>
      </c>
      <c r="E953" s="33" t="s">
        <v>24</v>
      </c>
      <c r="F953" s="33">
        <v>56</v>
      </c>
      <c r="G953" s="34">
        <v>664.09090909999998</v>
      </c>
    </row>
    <row r="954" spans="1:7" ht="18.75" x14ac:dyDescent="0.25">
      <c r="A954" s="37">
        <v>3211</v>
      </c>
      <c r="B954" s="33">
        <v>2311</v>
      </c>
      <c r="C954" s="33" t="s">
        <v>27</v>
      </c>
      <c r="D954" s="33" t="s">
        <v>15</v>
      </c>
      <c r="E954" s="33" t="s">
        <v>24</v>
      </c>
      <c r="F954" s="33">
        <v>70</v>
      </c>
      <c r="G954" s="34">
        <v>675.45454549999999</v>
      </c>
    </row>
    <row r="955" spans="1:7" ht="18.75" x14ac:dyDescent="0.25">
      <c r="A955" s="37">
        <v>3215</v>
      </c>
      <c r="B955" s="33">
        <v>2311</v>
      </c>
      <c r="C955" s="33" t="s">
        <v>14</v>
      </c>
      <c r="D955" s="33" t="s">
        <v>15</v>
      </c>
      <c r="E955" s="33" t="s">
        <v>15</v>
      </c>
      <c r="F955" s="33">
        <v>0</v>
      </c>
      <c r="G955" s="38">
        <v>421.36363640000002</v>
      </c>
    </row>
    <row r="956" spans="1:7" ht="18.75" x14ac:dyDescent="0.25">
      <c r="A956" s="37">
        <v>3215</v>
      </c>
      <c r="B956" s="33">
        <v>2311</v>
      </c>
      <c r="C956" s="33" t="s">
        <v>14</v>
      </c>
      <c r="D956" s="33" t="s">
        <v>15</v>
      </c>
      <c r="E956" s="33" t="s">
        <v>15</v>
      </c>
      <c r="F956" s="33">
        <v>14</v>
      </c>
      <c r="G956" s="34">
        <v>463.63636359999998</v>
      </c>
    </row>
    <row r="957" spans="1:7" ht="18.75" x14ac:dyDescent="0.25">
      <c r="A957" s="37">
        <v>3215</v>
      </c>
      <c r="B957" s="33">
        <v>2311</v>
      </c>
      <c r="C957" s="33" t="s">
        <v>14</v>
      </c>
      <c r="D957" s="33" t="s">
        <v>15</v>
      </c>
      <c r="E957" s="33" t="s">
        <v>15</v>
      </c>
      <c r="F957" s="33">
        <v>28</v>
      </c>
      <c r="G957" s="34">
        <v>485.45454549999999</v>
      </c>
    </row>
    <row r="958" spans="1:7" ht="18.75" x14ac:dyDescent="0.25">
      <c r="A958" s="37">
        <v>3215</v>
      </c>
      <c r="B958" s="33">
        <v>2311</v>
      </c>
      <c r="C958" s="33" t="s">
        <v>14</v>
      </c>
      <c r="D958" s="33" t="s">
        <v>15</v>
      </c>
      <c r="E958" s="33" t="s">
        <v>15</v>
      </c>
      <c r="F958" s="33">
        <v>42</v>
      </c>
      <c r="G958" s="34">
        <v>516.81818180000005</v>
      </c>
    </row>
    <row r="959" spans="1:7" ht="18.75" x14ac:dyDescent="0.25">
      <c r="A959" s="37">
        <v>3215</v>
      </c>
      <c r="B959" s="33">
        <v>2311</v>
      </c>
      <c r="C959" s="33" t="s">
        <v>14</v>
      </c>
      <c r="D959" s="33" t="s">
        <v>15</v>
      </c>
      <c r="E959" s="33" t="s">
        <v>15</v>
      </c>
      <c r="F959" s="33">
        <v>56</v>
      </c>
      <c r="G959" s="34">
        <v>555</v>
      </c>
    </row>
    <row r="960" spans="1:7" ht="18.75" x14ac:dyDescent="0.25">
      <c r="A960" s="37">
        <v>3215</v>
      </c>
      <c r="B960" s="33">
        <v>2311</v>
      </c>
      <c r="C960" s="33" t="s">
        <v>14</v>
      </c>
      <c r="D960" s="33" t="s">
        <v>15</v>
      </c>
      <c r="E960" s="33" t="s">
        <v>15</v>
      </c>
      <c r="F960" s="33">
        <v>70</v>
      </c>
      <c r="G960" s="34">
        <v>574.09090909999998</v>
      </c>
    </row>
    <row r="961" spans="1:7" ht="18.75" x14ac:dyDescent="0.25">
      <c r="A961" s="37">
        <v>3216</v>
      </c>
      <c r="B961" s="33">
        <v>2311</v>
      </c>
      <c r="C961" s="33" t="s">
        <v>23</v>
      </c>
      <c r="D961" s="33" t="s">
        <v>21</v>
      </c>
      <c r="E961" s="33" t="s">
        <v>24</v>
      </c>
      <c r="F961" s="33">
        <v>0</v>
      </c>
      <c r="G961" s="38">
        <v>439.54545450000001</v>
      </c>
    </row>
    <row r="962" spans="1:7" ht="18.75" x14ac:dyDescent="0.25">
      <c r="A962" s="37">
        <v>3216</v>
      </c>
      <c r="B962" s="33">
        <v>2311</v>
      </c>
      <c r="C962" s="33" t="s">
        <v>23</v>
      </c>
      <c r="D962" s="33" t="s">
        <v>21</v>
      </c>
      <c r="E962" s="33" t="s">
        <v>24</v>
      </c>
      <c r="F962" s="33">
        <v>14</v>
      </c>
      <c r="G962" s="34">
        <v>490</v>
      </c>
    </row>
    <row r="963" spans="1:7" ht="18.75" x14ac:dyDescent="0.25">
      <c r="A963" s="37">
        <v>3216</v>
      </c>
      <c r="B963" s="33">
        <v>2311</v>
      </c>
      <c r="C963" s="33" t="s">
        <v>23</v>
      </c>
      <c r="D963" s="33" t="s">
        <v>21</v>
      </c>
      <c r="E963" s="33" t="s">
        <v>24</v>
      </c>
      <c r="F963" s="33">
        <v>28</v>
      </c>
      <c r="G963" s="34">
        <v>514.09090909999998</v>
      </c>
    </row>
    <row r="964" spans="1:7" ht="18.75" x14ac:dyDescent="0.25">
      <c r="A964" s="37">
        <v>3216</v>
      </c>
      <c r="B964" s="33">
        <v>2311</v>
      </c>
      <c r="C964" s="33" t="s">
        <v>23</v>
      </c>
      <c r="D964" s="33" t="s">
        <v>21</v>
      </c>
      <c r="E964" s="33" t="s">
        <v>24</v>
      </c>
      <c r="F964" s="33">
        <v>42</v>
      </c>
      <c r="G964" s="34">
        <v>542.72727269999996</v>
      </c>
    </row>
    <row r="965" spans="1:7" ht="18.75" x14ac:dyDescent="0.25">
      <c r="A965" s="37">
        <v>3216</v>
      </c>
      <c r="B965" s="33">
        <v>2311</v>
      </c>
      <c r="C965" s="33" t="s">
        <v>23</v>
      </c>
      <c r="D965" s="33" t="s">
        <v>21</v>
      </c>
      <c r="E965" s="33" t="s">
        <v>24</v>
      </c>
      <c r="F965" s="33">
        <v>56</v>
      </c>
      <c r="G965" s="34">
        <v>574.09090909999998</v>
      </c>
    </row>
    <row r="966" spans="1:7" ht="18.75" x14ac:dyDescent="0.25">
      <c r="A966" s="37">
        <v>3216</v>
      </c>
      <c r="B966" s="33">
        <v>2311</v>
      </c>
      <c r="C966" s="33" t="s">
        <v>23</v>
      </c>
      <c r="D966" s="33" t="s">
        <v>21</v>
      </c>
      <c r="E966" s="33" t="s">
        <v>24</v>
      </c>
      <c r="F966" s="33">
        <v>70</v>
      </c>
      <c r="G966" s="34">
        <v>591.36363640000002</v>
      </c>
    </row>
    <row r="967" spans="1:7" ht="18.75" x14ac:dyDescent="0.25">
      <c r="A967" s="37">
        <v>3217</v>
      </c>
      <c r="B967" s="33">
        <v>2311</v>
      </c>
      <c r="C967" s="33" t="s">
        <v>14</v>
      </c>
      <c r="D967" s="33" t="s">
        <v>15</v>
      </c>
      <c r="E967" s="33" t="s">
        <v>15</v>
      </c>
      <c r="F967" s="33">
        <v>0</v>
      </c>
      <c r="G967" s="38">
        <v>495.90909090000002</v>
      </c>
    </row>
    <row r="968" spans="1:7" ht="18.75" x14ac:dyDescent="0.25">
      <c r="A968" s="37">
        <v>3217</v>
      </c>
      <c r="B968" s="33">
        <v>2311</v>
      </c>
      <c r="C968" s="33" t="s">
        <v>14</v>
      </c>
      <c r="D968" s="33" t="s">
        <v>15</v>
      </c>
      <c r="E968" s="33" t="s">
        <v>15</v>
      </c>
      <c r="F968" s="33">
        <v>14</v>
      </c>
      <c r="G968" s="34">
        <v>532.27272730000004</v>
      </c>
    </row>
    <row r="969" spans="1:7" ht="18.75" x14ac:dyDescent="0.25">
      <c r="A969" s="37">
        <v>3217</v>
      </c>
      <c r="B969" s="33">
        <v>2311</v>
      </c>
      <c r="C969" s="33" t="s">
        <v>14</v>
      </c>
      <c r="D969" s="33" t="s">
        <v>15</v>
      </c>
      <c r="E969" s="33" t="s">
        <v>15</v>
      </c>
      <c r="F969" s="33">
        <v>28</v>
      </c>
      <c r="G969" s="34">
        <v>557.72727269999996</v>
      </c>
    </row>
    <row r="970" spans="1:7" ht="18.75" x14ac:dyDescent="0.25">
      <c r="A970" s="37">
        <v>3217</v>
      </c>
      <c r="B970" s="33">
        <v>2311</v>
      </c>
      <c r="C970" s="33" t="s">
        <v>14</v>
      </c>
      <c r="D970" s="33" t="s">
        <v>15</v>
      </c>
      <c r="E970" s="33" t="s">
        <v>15</v>
      </c>
      <c r="F970" s="33">
        <v>42</v>
      </c>
      <c r="G970" s="34">
        <v>591.81818180000005</v>
      </c>
    </row>
    <row r="971" spans="1:7" ht="18.75" x14ac:dyDescent="0.25">
      <c r="A971" s="37">
        <v>3217</v>
      </c>
      <c r="B971" s="33">
        <v>2311</v>
      </c>
      <c r="C971" s="33" t="s">
        <v>14</v>
      </c>
      <c r="D971" s="33" t="s">
        <v>15</v>
      </c>
      <c r="E971" s="33" t="s">
        <v>15</v>
      </c>
      <c r="F971" s="33">
        <v>56</v>
      </c>
      <c r="G971" s="34">
        <v>631.81818180000005</v>
      </c>
    </row>
    <row r="972" spans="1:7" ht="18.75" x14ac:dyDescent="0.25">
      <c r="A972" s="37">
        <v>3217</v>
      </c>
      <c r="B972" s="33">
        <v>2311</v>
      </c>
      <c r="C972" s="33" t="s">
        <v>14</v>
      </c>
      <c r="D972" s="33" t="s">
        <v>15</v>
      </c>
      <c r="E972" s="33" t="s">
        <v>15</v>
      </c>
      <c r="F972" s="33">
        <v>70</v>
      </c>
      <c r="G972" s="34">
        <v>657.27272730000004</v>
      </c>
    </row>
    <row r="973" spans="1:7" ht="18.75" x14ac:dyDescent="0.25">
      <c r="A973" s="37">
        <v>3219</v>
      </c>
      <c r="B973" s="33">
        <v>2311</v>
      </c>
      <c r="C973" s="33" t="s">
        <v>14</v>
      </c>
      <c r="D973" s="33" t="s">
        <v>15</v>
      </c>
      <c r="E973" s="33" t="s">
        <v>15</v>
      </c>
      <c r="F973" s="33">
        <v>0</v>
      </c>
      <c r="G973" s="38">
        <v>502.27272729999999</v>
      </c>
    </row>
    <row r="974" spans="1:7" ht="18.75" x14ac:dyDescent="0.25">
      <c r="A974" s="37">
        <v>3219</v>
      </c>
      <c r="B974" s="33">
        <v>2311</v>
      </c>
      <c r="C974" s="33" t="s">
        <v>14</v>
      </c>
      <c r="D974" s="33" t="s">
        <v>15</v>
      </c>
      <c r="E974" s="33" t="s">
        <v>15</v>
      </c>
      <c r="F974" s="33">
        <v>14</v>
      </c>
      <c r="G974" s="34">
        <v>533.18181819999995</v>
      </c>
    </row>
    <row r="975" spans="1:7" ht="18.75" x14ac:dyDescent="0.25">
      <c r="A975" s="37">
        <v>3219</v>
      </c>
      <c r="B975" s="33">
        <v>2311</v>
      </c>
      <c r="C975" s="33" t="s">
        <v>14</v>
      </c>
      <c r="D975" s="33" t="s">
        <v>15</v>
      </c>
      <c r="E975" s="33" t="s">
        <v>15</v>
      </c>
      <c r="F975" s="33">
        <v>28</v>
      </c>
      <c r="G975" s="34">
        <v>557.27272730000004</v>
      </c>
    </row>
    <row r="976" spans="1:7" ht="18.75" x14ac:dyDescent="0.25">
      <c r="A976" s="37">
        <v>3219</v>
      </c>
      <c r="B976" s="33">
        <v>2311</v>
      </c>
      <c r="C976" s="33" t="s">
        <v>14</v>
      </c>
      <c r="D976" s="33" t="s">
        <v>15</v>
      </c>
      <c r="E976" s="33" t="s">
        <v>15</v>
      </c>
      <c r="F976" s="33">
        <v>42</v>
      </c>
      <c r="G976" s="34">
        <v>580.90909090000002</v>
      </c>
    </row>
    <row r="977" spans="1:7" ht="18.75" x14ac:dyDescent="0.25">
      <c r="A977" s="37">
        <v>3219</v>
      </c>
      <c r="B977" s="33">
        <v>2311</v>
      </c>
      <c r="C977" s="33" t="s">
        <v>14</v>
      </c>
      <c r="D977" s="33" t="s">
        <v>15</v>
      </c>
      <c r="E977" s="33" t="s">
        <v>15</v>
      </c>
      <c r="F977" s="33">
        <v>56</v>
      </c>
      <c r="G977" s="34">
        <v>632.72727269999996</v>
      </c>
    </row>
    <row r="978" spans="1:7" ht="18.75" x14ac:dyDescent="0.25">
      <c r="A978" s="37">
        <v>3219</v>
      </c>
      <c r="B978" s="33">
        <v>2311</v>
      </c>
      <c r="C978" s="33" t="s">
        <v>14</v>
      </c>
      <c r="D978" s="33" t="s">
        <v>15</v>
      </c>
      <c r="E978" s="33" t="s">
        <v>15</v>
      </c>
      <c r="F978" s="33">
        <v>70</v>
      </c>
      <c r="G978" s="34">
        <v>647.72727269999996</v>
      </c>
    </row>
    <row r="979" spans="1:7" ht="18.75" x14ac:dyDescent="0.25">
      <c r="A979" s="37">
        <v>3220</v>
      </c>
      <c r="B979" s="33">
        <v>2311</v>
      </c>
      <c r="C979" s="33" t="s">
        <v>14</v>
      </c>
      <c r="D979" s="33" t="s">
        <v>15</v>
      </c>
      <c r="E979" s="33" t="s">
        <v>15</v>
      </c>
      <c r="F979" s="33">
        <v>0</v>
      </c>
      <c r="G979" s="38">
        <v>519.54545450000001</v>
      </c>
    </row>
    <row r="980" spans="1:7" ht="18.75" x14ac:dyDescent="0.25">
      <c r="A980" s="37">
        <v>3220</v>
      </c>
      <c r="B980" s="33">
        <v>2311</v>
      </c>
      <c r="C980" s="33" t="s">
        <v>14</v>
      </c>
      <c r="D980" s="33" t="s">
        <v>15</v>
      </c>
      <c r="E980" s="33" t="s">
        <v>15</v>
      </c>
      <c r="F980" s="33">
        <v>14</v>
      </c>
      <c r="G980" s="34">
        <v>543.18181819999995</v>
      </c>
    </row>
    <row r="981" spans="1:7" ht="18.75" x14ac:dyDescent="0.25">
      <c r="A981" s="37">
        <v>3220</v>
      </c>
      <c r="B981" s="33">
        <v>2311</v>
      </c>
      <c r="C981" s="33" t="s">
        <v>14</v>
      </c>
      <c r="D981" s="33" t="s">
        <v>15</v>
      </c>
      <c r="E981" s="33" t="s">
        <v>15</v>
      </c>
      <c r="F981" s="33">
        <v>28</v>
      </c>
      <c r="G981" s="34">
        <v>588.63636359999998</v>
      </c>
    </row>
    <row r="982" spans="1:7" ht="18.75" x14ac:dyDescent="0.25">
      <c r="A982" s="37">
        <v>3220</v>
      </c>
      <c r="B982" s="33">
        <v>2311</v>
      </c>
      <c r="C982" s="33" t="s">
        <v>14</v>
      </c>
      <c r="D982" s="33" t="s">
        <v>15</v>
      </c>
      <c r="E982" s="33" t="s">
        <v>15</v>
      </c>
      <c r="F982" s="33">
        <v>42</v>
      </c>
      <c r="G982" s="34">
        <v>612.72727269999996</v>
      </c>
    </row>
    <row r="983" spans="1:7" ht="18.75" x14ac:dyDescent="0.25">
      <c r="A983" s="37">
        <v>3220</v>
      </c>
      <c r="B983" s="33">
        <v>2311</v>
      </c>
      <c r="C983" s="33" t="s">
        <v>14</v>
      </c>
      <c r="D983" s="33" t="s">
        <v>15</v>
      </c>
      <c r="E983" s="33" t="s">
        <v>15</v>
      </c>
      <c r="F983" s="33">
        <v>56</v>
      </c>
      <c r="G983" s="34">
        <v>653.18181819999995</v>
      </c>
    </row>
    <row r="984" spans="1:7" ht="18.75" x14ac:dyDescent="0.25">
      <c r="A984" s="37">
        <v>3220</v>
      </c>
      <c r="B984" s="33">
        <v>2311</v>
      </c>
      <c r="C984" s="33" t="s">
        <v>14</v>
      </c>
      <c r="D984" s="33" t="s">
        <v>15</v>
      </c>
      <c r="E984" s="33" t="s">
        <v>15</v>
      </c>
      <c r="F984" s="33">
        <v>70</v>
      </c>
      <c r="G984" s="34">
        <v>684.09090909999998</v>
      </c>
    </row>
    <row r="985" spans="1:7" ht="18.75" x14ac:dyDescent="0.25">
      <c r="A985" s="37">
        <v>3221</v>
      </c>
      <c r="B985" s="33">
        <v>2311</v>
      </c>
      <c r="C985" s="33" t="s">
        <v>20</v>
      </c>
      <c r="D985" s="33" t="s">
        <v>21</v>
      </c>
      <c r="E985" s="33" t="s">
        <v>15</v>
      </c>
      <c r="F985" s="33">
        <v>0</v>
      </c>
      <c r="G985" s="38">
        <v>435.45454549999999</v>
      </c>
    </row>
    <row r="986" spans="1:7" ht="18.75" x14ac:dyDescent="0.25">
      <c r="A986" s="37">
        <v>3221</v>
      </c>
      <c r="B986" s="33">
        <v>2311</v>
      </c>
      <c r="C986" s="33" t="s">
        <v>20</v>
      </c>
      <c r="D986" s="33" t="s">
        <v>21</v>
      </c>
      <c r="E986" s="33" t="s">
        <v>15</v>
      </c>
      <c r="F986" s="33">
        <v>14</v>
      </c>
      <c r="G986" s="34">
        <v>465.90909090000002</v>
      </c>
    </row>
    <row r="987" spans="1:7" ht="18.75" x14ac:dyDescent="0.25">
      <c r="A987" s="37">
        <v>3221</v>
      </c>
      <c r="B987" s="33">
        <v>2311</v>
      </c>
      <c r="C987" s="33" t="s">
        <v>20</v>
      </c>
      <c r="D987" s="33" t="s">
        <v>21</v>
      </c>
      <c r="E987" s="33" t="s">
        <v>15</v>
      </c>
      <c r="F987" s="33">
        <v>28</v>
      </c>
      <c r="G987" s="34">
        <v>490</v>
      </c>
    </row>
    <row r="988" spans="1:7" ht="18.75" x14ac:dyDescent="0.25">
      <c r="A988" s="37">
        <v>3221</v>
      </c>
      <c r="B988" s="33">
        <v>2311</v>
      </c>
      <c r="C988" s="33" t="s">
        <v>20</v>
      </c>
      <c r="D988" s="33" t="s">
        <v>21</v>
      </c>
      <c r="E988" s="33" t="s">
        <v>15</v>
      </c>
      <c r="F988" s="33">
        <v>42</v>
      </c>
      <c r="G988" s="34">
        <v>511.36363640000002</v>
      </c>
    </row>
    <row r="989" spans="1:7" ht="18.75" x14ac:dyDescent="0.25">
      <c r="A989" s="37">
        <v>3221</v>
      </c>
      <c r="B989" s="33">
        <v>2311</v>
      </c>
      <c r="C989" s="33" t="s">
        <v>20</v>
      </c>
      <c r="D989" s="33" t="s">
        <v>21</v>
      </c>
      <c r="E989" s="33" t="s">
        <v>15</v>
      </c>
      <c r="F989" s="33">
        <v>56</v>
      </c>
      <c r="G989" s="34">
        <v>548.63636359999998</v>
      </c>
    </row>
    <row r="990" spans="1:7" ht="18.75" x14ac:dyDescent="0.25">
      <c r="A990" s="37">
        <v>3221</v>
      </c>
      <c r="B990" s="33">
        <v>2311</v>
      </c>
      <c r="C990" s="33" t="s">
        <v>20</v>
      </c>
      <c r="D990" s="33" t="s">
        <v>21</v>
      </c>
      <c r="E990" s="33" t="s">
        <v>15</v>
      </c>
      <c r="F990" s="33">
        <v>70</v>
      </c>
      <c r="G990" s="34">
        <v>581.36363640000002</v>
      </c>
    </row>
    <row r="991" spans="1:7" ht="18.75" x14ac:dyDescent="0.25">
      <c r="A991" s="37">
        <v>3225</v>
      </c>
      <c r="B991" s="33">
        <v>2311</v>
      </c>
      <c r="C991" s="33" t="s">
        <v>23</v>
      </c>
      <c r="D991" s="33" t="s">
        <v>21</v>
      </c>
      <c r="E991" s="33" t="s">
        <v>24</v>
      </c>
      <c r="F991" s="33">
        <v>0</v>
      </c>
      <c r="G991" s="38">
        <v>442.27272729999999</v>
      </c>
    </row>
    <row r="992" spans="1:7" ht="18.75" x14ac:dyDescent="0.25">
      <c r="A992" s="37">
        <v>3225</v>
      </c>
      <c r="B992" s="33">
        <v>2311</v>
      </c>
      <c r="C992" s="33" t="s">
        <v>23</v>
      </c>
      <c r="D992" s="33" t="s">
        <v>21</v>
      </c>
      <c r="E992" s="33" t="s">
        <v>24</v>
      </c>
      <c r="F992" s="33">
        <v>14</v>
      </c>
      <c r="G992" s="34">
        <v>474.09090909999998</v>
      </c>
    </row>
    <row r="993" spans="1:7" ht="18.75" x14ac:dyDescent="0.25">
      <c r="A993" s="37">
        <v>3225</v>
      </c>
      <c r="B993" s="33">
        <v>2311</v>
      </c>
      <c r="C993" s="33" t="s">
        <v>23</v>
      </c>
      <c r="D993" s="33" t="s">
        <v>21</v>
      </c>
      <c r="E993" s="33" t="s">
        <v>24</v>
      </c>
      <c r="F993" s="33">
        <v>28</v>
      </c>
      <c r="G993" s="34">
        <v>498.63636359999998</v>
      </c>
    </row>
    <row r="994" spans="1:7" ht="18.75" x14ac:dyDescent="0.25">
      <c r="A994" s="37">
        <v>3225</v>
      </c>
      <c r="B994" s="33">
        <v>2311</v>
      </c>
      <c r="C994" s="33" t="s">
        <v>23</v>
      </c>
      <c r="D994" s="33" t="s">
        <v>21</v>
      </c>
      <c r="E994" s="33" t="s">
        <v>24</v>
      </c>
      <c r="F994" s="33">
        <v>42</v>
      </c>
      <c r="G994" s="34">
        <v>534.09090909999998</v>
      </c>
    </row>
    <row r="995" spans="1:7" ht="18.75" x14ac:dyDescent="0.25">
      <c r="A995" s="37">
        <v>3225</v>
      </c>
      <c r="B995" s="33">
        <v>2311</v>
      </c>
      <c r="C995" s="33" t="s">
        <v>23</v>
      </c>
      <c r="D995" s="33" t="s">
        <v>21</v>
      </c>
      <c r="E995" s="33" t="s">
        <v>24</v>
      </c>
      <c r="F995" s="33">
        <v>56</v>
      </c>
      <c r="G995" s="34">
        <v>576.36363640000002</v>
      </c>
    </row>
    <row r="996" spans="1:7" ht="18.75" x14ac:dyDescent="0.25">
      <c r="A996" s="37">
        <v>3225</v>
      </c>
      <c r="B996" s="33">
        <v>2311</v>
      </c>
      <c r="C996" s="33" t="s">
        <v>23</v>
      </c>
      <c r="D996" s="33" t="s">
        <v>21</v>
      </c>
      <c r="E996" s="33" t="s">
        <v>24</v>
      </c>
      <c r="F996" s="33">
        <v>70</v>
      </c>
      <c r="G996" s="34">
        <v>579.54545450000001</v>
      </c>
    </row>
    <row r="997" spans="1:7" ht="18.75" x14ac:dyDescent="0.25">
      <c r="A997" s="37">
        <v>3227</v>
      </c>
      <c r="B997" s="33">
        <v>2311</v>
      </c>
      <c r="C997" s="33" t="s">
        <v>27</v>
      </c>
      <c r="D997" s="33" t="s">
        <v>15</v>
      </c>
      <c r="E997" s="33" t="s">
        <v>24</v>
      </c>
      <c r="F997" s="33">
        <v>0</v>
      </c>
      <c r="G997" s="38">
        <v>410.45454549999999</v>
      </c>
    </row>
    <row r="998" spans="1:7" ht="18.75" x14ac:dyDescent="0.25">
      <c r="A998" s="37">
        <v>3227</v>
      </c>
      <c r="B998" s="33">
        <v>2311</v>
      </c>
      <c r="C998" s="33" t="s">
        <v>27</v>
      </c>
      <c r="D998" s="33" t="s">
        <v>15</v>
      </c>
      <c r="E998" s="33" t="s">
        <v>24</v>
      </c>
      <c r="F998" s="33">
        <v>14</v>
      </c>
      <c r="G998" s="34">
        <v>447.27272729999999</v>
      </c>
    </row>
    <row r="999" spans="1:7" ht="18.75" x14ac:dyDescent="0.25">
      <c r="A999" s="37">
        <v>3227</v>
      </c>
      <c r="B999" s="33">
        <v>2311</v>
      </c>
      <c r="C999" s="33" t="s">
        <v>27</v>
      </c>
      <c r="D999" s="33" t="s">
        <v>15</v>
      </c>
      <c r="E999" s="33" t="s">
        <v>24</v>
      </c>
      <c r="F999" s="33">
        <v>28</v>
      </c>
      <c r="G999" s="34">
        <v>473.63636359999998</v>
      </c>
    </row>
    <row r="1000" spans="1:7" ht="18.75" x14ac:dyDescent="0.25">
      <c r="A1000" s="37">
        <v>3227</v>
      </c>
      <c r="B1000" s="33">
        <v>2311</v>
      </c>
      <c r="C1000" s="33" t="s">
        <v>27</v>
      </c>
      <c r="D1000" s="33" t="s">
        <v>15</v>
      </c>
      <c r="E1000" s="33" t="s">
        <v>24</v>
      </c>
      <c r="F1000" s="33">
        <v>42</v>
      </c>
      <c r="G1000" s="34">
        <v>499.54545450000001</v>
      </c>
    </row>
    <row r="1001" spans="1:7" ht="18.75" x14ac:dyDescent="0.25">
      <c r="A1001" s="37">
        <v>3227</v>
      </c>
      <c r="B1001" s="33">
        <v>2311</v>
      </c>
      <c r="C1001" s="33" t="s">
        <v>27</v>
      </c>
      <c r="D1001" s="33" t="s">
        <v>15</v>
      </c>
      <c r="E1001" s="33" t="s">
        <v>24</v>
      </c>
      <c r="F1001" s="33">
        <v>56</v>
      </c>
      <c r="G1001" s="34">
        <v>542.27272730000004</v>
      </c>
    </row>
    <row r="1002" spans="1:7" ht="18.75" x14ac:dyDescent="0.25">
      <c r="A1002" s="37">
        <v>3227</v>
      </c>
      <c r="B1002" s="33">
        <v>2311</v>
      </c>
      <c r="C1002" s="33" t="s">
        <v>27</v>
      </c>
      <c r="D1002" s="33" t="s">
        <v>15</v>
      </c>
      <c r="E1002" s="33" t="s">
        <v>24</v>
      </c>
      <c r="F1002" s="33">
        <v>70</v>
      </c>
      <c r="G1002" s="34">
        <v>565.90909090000002</v>
      </c>
    </row>
    <row r="1003" spans="1:7" ht="18.75" x14ac:dyDescent="0.25">
      <c r="A1003" s="37">
        <v>3231</v>
      </c>
      <c r="B1003" s="33">
        <v>2311</v>
      </c>
      <c r="C1003" s="33" t="s">
        <v>27</v>
      </c>
      <c r="D1003" s="33" t="s">
        <v>15</v>
      </c>
      <c r="E1003" s="33" t="s">
        <v>24</v>
      </c>
      <c r="F1003" s="33">
        <v>0</v>
      </c>
      <c r="G1003" s="38">
        <v>424.09090909999998</v>
      </c>
    </row>
    <row r="1004" spans="1:7" ht="18.75" x14ac:dyDescent="0.25">
      <c r="A1004" s="37">
        <v>3231</v>
      </c>
      <c r="B1004" s="33">
        <v>2311</v>
      </c>
      <c r="C1004" s="33" t="s">
        <v>27</v>
      </c>
      <c r="D1004" s="33" t="s">
        <v>15</v>
      </c>
      <c r="E1004" s="33" t="s">
        <v>24</v>
      </c>
      <c r="F1004" s="33">
        <v>14</v>
      </c>
      <c r="G1004" s="34">
        <v>460.45454549999999</v>
      </c>
    </row>
    <row r="1005" spans="1:7" ht="18.75" x14ac:dyDescent="0.25">
      <c r="A1005" s="37">
        <v>3231</v>
      </c>
      <c r="B1005" s="33">
        <v>2311</v>
      </c>
      <c r="C1005" s="33" t="s">
        <v>27</v>
      </c>
      <c r="D1005" s="33" t="s">
        <v>15</v>
      </c>
      <c r="E1005" s="33" t="s">
        <v>24</v>
      </c>
      <c r="F1005" s="33">
        <v>28</v>
      </c>
      <c r="G1005" s="34">
        <v>481.81818179999999</v>
      </c>
    </row>
    <row r="1006" spans="1:7" ht="18.75" x14ac:dyDescent="0.25">
      <c r="A1006" s="37">
        <v>3231</v>
      </c>
      <c r="B1006" s="33">
        <v>2311</v>
      </c>
      <c r="C1006" s="33" t="s">
        <v>27</v>
      </c>
      <c r="D1006" s="33" t="s">
        <v>15</v>
      </c>
      <c r="E1006" s="33" t="s">
        <v>24</v>
      </c>
      <c r="F1006" s="33">
        <v>42</v>
      </c>
      <c r="G1006" s="34">
        <v>504.54545450000001</v>
      </c>
    </row>
    <row r="1007" spans="1:7" ht="18.75" x14ac:dyDescent="0.25">
      <c r="A1007" s="37">
        <v>3231</v>
      </c>
      <c r="B1007" s="33">
        <v>2311</v>
      </c>
      <c r="C1007" s="33" t="s">
        <v>27</v>
      </c>
      <c r="D1007" s="33" t="s">
        <v>15</v>
      </c>
      <c r="E1007" s="33" t="s">
        <v>24</v>
      </c>
      <c r="F1007" s="33">
        <v>56</v>
      </c>
      <c r="G1007" s="34">
        <v>542.72727269999996</v>
      </c>
    </row>
    <row r="1008" spans="1:7" ht="18.75" x14ac:dyDescent="0.25">
      <c r="A1008" s="37">
        <v>3231</v>
      </c>
      <c r="B1008" s="33">
        <v>2311</v>
      </c>
      <c r="C1008" s="33" t="s">
        <v>27</v>
      </c>
      <c r="D1008" s="33" t="s">
        <v>15</v>
      </c>
      <c r="E1008" s="33" t="s">
        <v>24</v>
      </c>
      <c r="F1008" s="33">
        <v>70</v>
      </c>
      <c r="G1008" s="34">
        <v>569.54545450000001</v>
      </c>
    </row>
    <row r="1009" spans="1:7" ht="18.75" x14ac:dyDescent="0.25">
      <c r="A1009" s="37">
        <v>3233</v>
      </c>
      <c r="B1009" s="33">
        <v>2311</v>
      </c>
      <c r="C1009" s="33" t="s">
        <v>27</v>
      </c>
      <c r="D1009" s="33" t="s">
        <v>15</v>
      </c>
      <c r="E1009" s="33" t="s">
        <v>24</v>
      </c>
      <c r="F1009" s="33">
        <v>0</v>
      </c>
      <c r="G1009" s="38">
        <v>343.63636359999998</v>
      </c>
    </row>
    <row r="1010" spans="1:7" ht="18.75" x14ac:dyDescent="0.25">
      <c r="A1010" s="37">
        <v>3233</v>
      </c>
      <c r="B1010" s="33">
        <v>2311</v>
      </c>
      <c r="C1010" s="33" t="s">
        <v>27</v>
      </c>
      <c r="D1010" s="33" t="s">
        <v>15</v>
      </c>
      <c r="E1010" s="33" t="s">
        <v>24</v>
      </c>
      <c r="F1010" s="33">
        <v>14</v>
      </c>
      <c r="G1010" s="34">
        <v>408.18181820000001</v>
      </c>
    </row>
    <row r="1011" spans="1:7" ht="18.75" x14ac:dyDescent="0.25">
      <c r="A1011" s="37">
        <v>3233</v>
      </c>
      <c r="B1011" s="33">
        <v>2311</v>
      </c>
      <c r="C1011" s="33" t="s">
        <v>27</v>
      </c>
      <c r="D1011" s="33" t="s">
        <v>15</v>
      </c>
      <c r="E1011" s="33" t="s">
        <v>24</v>
      </c>
      <c r="F1011" s="33">
        <v>28</v>
      </c>
      <c r="G1011" s="34">
        <v>447.72727270000001</v>
      </c>
    </row>
    <row r="1012" spans="1:7" ht="18.75" x14ac:dyDescent="0.25">
      <c r="A1012" s="37">
        <v>3233</v>
      </c>
      <c r="B1012" s="33">
        <v>2311</v>
      </c>
      <c r="C1012" s="33" t="s">
        <v>27</v>
      </c>
      <c r="D1012" s="33" t="s">
        <v>15</v>
      </c>
      <c r="E1012" s="33" t="s">
        <v>24</v>
      </c>
      <c r="F1012" s="33">
        <v>42</v>
      </c>
      <c r="G1012" s="34">
        <v>484.54545450000001</v>
      </c>
    </row>
    <row r="1013" spans="1:7" ht="18.75" x14ac:dyDescent="0.25">
      <c r="A1013" s="37">
        <v>3233</v>
      </c>
      <c r="B1013" s="33">
        <v>2311</v>
      </c>
      <c r="C1013" s="33" t="s">
        <v>27</v>
      </c>
      <c r="D1013" s="33" t="s">
        <v>15</v>
      </c>
      <c r="E1013" s="33" t="s">
        <v>24</v>
      </c>
      <c r="F1013" s="33">
        <v>56</v>
      </c>
      <c r="G1013" s="34">
        <v>533.18181819999995</v>
      </c>
    </row>
    <row r="1014" spans="1:7" ht="18.75" x14ac:dyDescent="0.25">
      <c r="A1014" s="37">
        <v>3233</v>
      </c>
      <c r="B1014" s="33">
        <v>2311</v>
      </c>
      <c r="C1014" s="33" t="s">
        <v>27</v>
      </c>
      <c r="D1014" s="33" t="s">
        <v>15</v>
      </c>
      <c r="E1014" s="33" t="s">
        <v>24</v>
      </c>
      <c r="F1014" s="33">
        <v>70</v>
      </c>
      <c r="G1014" s="34">
        <v>554.54545450000001</v>
      </c>
    </row>
    <row r="1015" spans="1:7" ht="18.75" x14ac:dyDescent="0.25">
      <c r="A1015" s="37">
        <v>3239</v>
      </c>
      <c r="B1015" s="33">
        <v>2311</v>
      </c>
      <c r="C1015" s="33" t="s">
        <v>27</v>
      </c>
      <c r="D1015" s="33" t="s">
        <v>15</v>
      </c>
      <c r="E1015" s="33" t="s">
        <v>24</v>
      </c>
      <c r="F1015" s="33">
        <v>0</v>
      </c>
      <c r="G1015" s="38">
        <v>395.45454549999999</v>
      </c>
    </row>
    <row r="1016" spans="1:7" ht="18.75" x14ac:dyDescent="0.25">
      <c r="A1016" s="37">
        <v>3239</v>
      </c>
      <c r="B1016" s="33">
        <v>2311</v>
      </c>
      <c r="C1016" s="33" t="s">
        <v>27</v>
      </c>
      <c r="D1016" s="33" t="s">
        <v>15</v>
      </c>
      <c r="E1016" s="33" t="s">
        <v>24</v>
      </c>
      <c r="F1016" s="33">
        <v>14</v>
      </c>
      <c r="G1016" s="34">
        <v>422.27272729999999</v>
      </c>
    </row>
    <row r="1017" spans="1:7" ht="18.75" x14ac:dyDescent="0.25">
      <c r="A1017" s="37">
        <v>3239</v>
      </c>
      <c r="B1017" s="33">
        <v>2311</v>
      </c>
      <c r="C1017" s="33" t="s">
        <v>27</v>
      </c>
      <c r="D1017" s="33" t="s">
        <v>15</v>
      </c>
      <c r="E1017" s="33" t="s">
        <v>24</v>
      </c>
      <c r="F1017" s="33">
        <v>28</v>
      </c>
      <c r="G1017" s="34">
        <v>465</v>
      </c>
    </row>
    <row r="1018" spans="1:7" ht="18.75" x14ac:dyDescent="0.25">
      <c r="A1018" s="37">
        <v>3239</v>
      </c>
      <c r="B1018" s="33">
        <v>2311</v>
      </c>
      <c r="C1018" s="33" t="s">
        <v>27</v>
      </c>
      <c r="D1018" s="33" t="s">
        <v>15</v>
      </c>
      <c r="E1018" s="33" t="s">
        <v>24</v>
      </c>
      <c r="F1018" s="33">
        <v>42</v>
      </c>
      <c r="G1018" s="34">
        <v>487.72727270000001</v>
      </c>
    </row>
    <row r="1019" spans="1:7" ht="18.75" x14ac:dyDescent="0.25">
      <c r="A1019" s="37">
        <v>3239</v>
      </c>
      <c r="B1019" s="33">
        <v>2311</v>
      </c>
      <c r="C1019" s="33" t="s">
        <v>27</v>
      </c>
      <c r="D1019" s="33" t="s">
        <v>15</v>
      </c>
      <c r="E1019" s="33" t="s">
        <v>24</v>
      </c>
      <c r="F1019" s="33">
        <v>56</v>
      </c>
      <c r="G1019" s="34">
        <v>535</v>
      </c>
    </row>
    <row r="1020" spans="1:7" ht="18.75" x14ac:dyDescent="0.25">
      <c r="A1020" s="37">
        <v>3239</v>
      </c>
      <c r="B1020" s="33">
        <v>2311</v>
      </c>
      <c r="C1020" s="33" t="s">
        <v>27</v>
      </c>
      <c r="D1020" s="33" t="s">
        <v>15</v>
      </c>
      <c r="E1020" s="33" t="s">
        <v>24</v>
      </c>
      <c r="F1020" s="33">
        <v>70</v>
      </c>
      <c r="G1020" s="34">
        <v>556.81818180000005</v>
      </c>
    </row>
    <row r="1021" spans="1:7" ht="18.75" x14ac:dyDescent="0.25">
      <c r="A1021" s="37">
        <v>3240</v>
      </c>
      <c r="B1021" s="33">
        <v>2311</v>
      </c>
      <c r="C1021" s="33" t="s">
        <v>27</v>
      </c>
      <c r="D1021" s="33" t="s">
        <v>15</v>
      </c>
      <c r="E1021" s="33" t="s">
        <v>24</v>
      </c>
      <c r="F1021" s="33">
        <v>0</v>
      </c>
      <c r="G1021" s="38">
        <v>420.45454549999999</v>
      </c>
    </row>
    <row r="1022" spans="1:7" ht="18.75" x14ac:dyDescent="0.25">
      <c r="A1022" s="37">
        <v>3240</v>
      </c>
      <c r="B1022" s="33">
        <v>2311</v>
      </c>
      <c r="C1022" s="33" t="s">
        <v>27</v>
      </c>
      <c r="D1022" s="33" t="s">
        <v>15</v>
      </c>
      <c r="E1022" s="33" t="s">
        <v>24</v>
      </c>
      <c r="F1022" s="33">
        <v>14</v>
      </c>
      <c r="G1022" s="34">
        <v>447.27272729999999</v>
      </c>
    </row>
    <row r="1023" spans="1:7" ht="18.75" x14ac:dyDescent="0.25">
      <c r="A1023" s="37">
        <v>3240</v>
      </c>
      <c r="B1023" s="33">
        <v>2311</v>
      </c>
      <c r="C1023" s="33" t="s">
        <v>27</v>
      </c>
      <c r="D1023" s="33" t="s">
        <v>15</v>
      </c>
      <c r="E1023" s="33" t="s">
        <v>24</v>
      </c>
      <c r="F1023" s="33">
        <v>28</v>
      </c>
      <c r="G1023" s="34">
        <v>486.81818179999999</v>
      </c>
    </row>
    <row r="1024" spans="1:7" ht="18.75" x14ac:dyDescent="0.25">
      <c r="A1024" s="37">
        <v>3240</v>
      </c>
      <c r="B1024" s="33">
        <v>2311</v>
      </c>
      <c r="C1024" s="33" t="s">
        <v>27</v>
      </c>
      <c r="D1024" s="33" t="s">
        <v>15</v>
      </c>
      <c r="E1024" s="33" t="s">
        <v>24</v>
      </c>
      <c r="F1024" s="33">
        <v>42</v>
      </c>
      <c r="G1024" s="34">
        <v>501.36363640000002</v>
      </c>
    </row>
    <row r="1025" spans="1:7" ht="18.75" x14ac:dyDescent="0.25">
      <c r="A1025" s="37">
        <v>3240</v>
      </c>
      <c r="B1025" s="33">
        <v>2311</v>
      </c>
      <c r="C1025" s="33" t="s">
        <v>27</v>
      </c>
      <c r="D1025" s="33" t="s">
        <v>15</v>
      </c>
      <c r="E1025" s="33" t="s">
        <v>24</v>
      </c>
      <c r="F1025" s="33">
        <v>56</v>
      </c>
      <c r="G1025" s="34">
        <v>543.63636359999998</v>
      </c>
    </row>
    <row r="1026" spans="1:7" ht="18.75" x14ac:dyDescent="0.25">
      <c r="A1026" s="37">
        <v>3240</v>
      </c>
      <c r="B1026" s="33">
        <v>2311</v>
      </c>
      <c r="C1026" s="33" t="s">
        <v>27</v>
      </c>
      <c r="D1026" s="33" t="s">
        <v>15</v>
      </c>
      <c r="E1026" s="33" t="s">
        <v>24</v>
      </c>
      <c r="F1026" s="33">
        <v>70</v>
      </c>
      <c r="G1026" s="34">
        <v>571.36363640000002</v>
      </c>
    </row>
    <row r="1027" spans="1:7" ht="18.75" x14ac:dyDescent="0.25">
      <c r="A1027" s="37">
        <v>3241</v>
      </c>
      <c r="B1027" s="33">
        <v>2311</v>
      </c>
      <c r="C1027" s="33" t="s">
        <v>27</v>
      </c>
      <c r="D1027" s="33" t="s">
        <v>15</v>
      </c>
      <c r="E1027" s="33" t="s">
        <v>24</v>
      </c>
      <c r="F1027" s="33">
        <v>0</v>
      </c>
      <c r="G1027" s="38">
        <v>424.54545450000001</v>
      </c>
    </row>
    <row r="1028" spans="1:7" ht="18.75" x14ac:dyDescent="0.25">
      <c r="A1028" s="37">
        <v>3241</v>
      </c>
      <c r="B1028" s="33">
        <v>2311</v>
      </c>
      <c r="C1028" s="33" t="s">
        <v>27</v>
      </c>
      <c r="D1028" s="33" t="s">
        <v>15</v>
      </c>
      <c r="E1028" s="33" t="s">
        <v>24</v>
      </c>
      <c r="F1028" s="33">
        <v>14</v>
      </c>
      <c r="G1028" s="34">
        <v>460.45454549999999</v>
      </c>
    </row>
    <row r="1029" spans="1:7" ht="18.75" x14ac:dyDescent="0.25">
      <c r="A1029" s="37">
        <v>3241</v>
      </c>
      <c r="B1029" s="33">
        <v>2311</v>
      </c>
      <c r="C1029" s="33" t="s">
        <v>27</v>
      </c>
      <c r="D1029" s="33" t="s">
        <v>15</v>
      </c>
      <c r="E1029" s="33" t="s">
        <v>24</v>
      </c>
      <c r="F1029" s="33">
        <v>28</v>
      </c>
      <c r="G1029" s="34">
        <v>479.54545450000001</v>
      </c>
    </row>
    <row r="1030" spans="1:7" ht="18.75" x14ac:dyDescent="0.25">
      <c r="A1030" s="37">
        <v>3241</v>
      </c>
      <c r="B1030" s="33">
        <v>2311</v>
      </c>
      <c r="C1030" s="33" t="s">
        <v>27</v>
      </c>
      <c r="D1030" s="33" t="s">
        <v>15</v>
      </c>
      <c r="E1030" s="33" t="s">
        <v>24</v>
      </c>
      <c r="F1030" s="33">
        <v>42</v>
      </c>
      <c r="G1030" s="34">
        <v>503.63636359999998</v>
      </c>
    </row>
    <row r="1031" spans="1:7" ht="18.75" x14ac:dyDescent="0.25">
      <c r="A1031" s="37">
        <v>3241</v>
      </c>
      <c r="B1031" s="33">
        <v>2311</v>
      </c>
      <c r="C1031" s="33" t="s">
        <v>27</v>
      </c>
      <c r="D1031" s="33" t="s">
        <v>15</v>
      </c>
      <c r="E1031" s="33" t="s">
        <v>24</v>
      </c>
      <c r="F1031" s="33">
        <v>56</v>
      </c>
      <c r="G1031" s="34">
        <v>536.81818180000005</v>
      </c>
    </row>
    <row r="1032" spans="1:7" ht="18.75" x14ac:dyDescent="0.25">
      <c r="A1032" s="37">
        <v>3241</v>
      </c>
      <c r="B1032" s="33">
        <v>2311</v>
      </c>
      <c r="C1032" s="33" t="s">
        <v>27</v>
      </c>
      <c r="D1032" s="33" t="s">
        <v>15</v>
      </c>
      <c r="E1032" s="33" t="s">
        <v>24</v>
      </c>
      <c r="F1032" s="33">
        <v>70</v>
      </c>
      <c r="G1032" s="34">
        <v>567.27272730000004</v>
      </c>
    </row>
    <row r="1033" spans="1:7" ht="15.75" x14ac:dyDescent="0.25">
      <c r="A1033" s="38">
        <v>3501</v>
      </c>
      <c r="B1033" s="33">
        <v>2404</v>
      </c>
      <c r="C1033" s="33" t="s">
        <v>14</v>
      </c>
      <c r="D1033" s="33" t="s">
        <v>15</v>
      </c>
      <c r="E1033" s="33" t="s">
        <v>15</v>
      </c>
      <c r="F1033" s="33">
        <v>0</v>
      </c>
      <c r="G1033" s="38">
        <v>477.27272729999999</v>
      </c>
    </row>
    <row r="1034" spans="1:7" ht="15.75" x14ac:dyDescent="0.25">
      <c r="A1034" s="38">
        <v>3501</v>
      </c>
      <c r="B1034" s="33">
        <v>2404</v>
      </c>
      <c r="C1034" s="33" t="s">
        <v>14</v>
      </c>
      <c r="D1034" s="33" t="s">
        <v>15</v>
      </c>
      <c r="E1034" s="33" t="s">
        <v>15</v>
      </c>
      <c r="F1034" s="33">
        <v>14</v>
      </c>
      <c r="G1034" s="34">
        <v>491.81818179999999</v>
      </c>
    </row>
    <row r="1035" spans="1:7" ht="15.75" x14ac:dyDescent="0.25">
      <c r="A1035" s="38">
        <v>3501</v>
      </c>
      <c r="B1035" s="33">
        <v>2404</v>
      </c>
      <c r="C1035" s="33" t="s">
        <v>14</v>
      </c>
      <c r="D1035" s="33" t="s">
        <v>15</v>
      </c>
      <c r="E1035" s="33" t="s">
        <v>15</v>
      </c>
      <c r="F1035" s="33">
        <v>28</v>
      </c>
      <c r="G1035" s="34">
        <v>508.18181820000001</v>
      </c>
    </row>
    <row r="1036" spans="1:7" ht="15.75" x14ac:dyDescent="0.25">
      <c r="A1036" s="38">
        <v>3501</v>
      </c>
      <c r="B1036" s="33">
        <v>2404</v>
      </c>
      <c r="C1036" s="33" t="s">
        <v>14</v>
      </c>
      <c r="D1036" s="33" t="s">
        <v>15</v>
      </c>
      <c r="E1036" s="33" t="s">
        <v>15</v>
      </c>
      <c r="F1036" s="33">
        <v>42</v>
      </c>
      <c r="G1036" s="34">
        <v>531.81818180000005</v>
      </c>
    </row>
    <row r="1037" spans="1:7" ht="15.75" x14ac:dyDescent="0.25">
      <c r="A1037" s="38">
        <v>3501</v>
      </c>
      <c r="B1037" s="33">
        <v>2404</v>
      </c>
      <c r="C1037" s="33" t="s">
        <v>14</v>
      </c>
      <c r="D1037" s="33" t="s">
        <v>15</v>
      </c>
      <c r="E1037" s="33" t="s">
        <v>15</v>
      </c>
      <c r="F1037" s="33">
        <v>56</v>
      </c>
      <c r="G1037" s="34">
        <v>559.54545450000001</v>
      </c>
    </row>
    <row r="1038" spans="1:7" ht="15.75" x14ac:dyDescent="0.25">
      <c r="A1038" s="38">
        <v>3501</v>
      </c>
      <c r="B1038" s="33">
        <v>2404</v>
      </c>
      <c r="C1038" s="33" t="s">
        <v>14</v>
      </c>
      <c r="D1038" s="33" t="s">
        <v>15</v>
      </c>
      <c r="E1038" s="33" t="s">
        <v>15</v>
      </c>
      <c r="F1038" s="33">
        <v>70</v>
      </c>
      <c r="G1038" s="34">
        <v>596.36363640000002</v>
      </c>
    </row>
    <row r="1039" spans="1:7" ht="15.75" x14ac:dyDescent="0.25">
      <c r="A1039" s="38">
        <v>3503</v>
      </c>
      <c r="B1039" s="33">
        <v>2404</v>
      </c>
      <c r="C1039" s="33" t="s">
        <v>14</v>
      </c>
      <c r="D1039" s="33" t="s">
        <v>15</v>
      </c>
      <c r="E1039" s="33" t="s">
        <v>15</v>
      </c>
      <c r="F1039" s="33">
        <v>0</v>
      </c>
      <c r="G1039" s="38">
        <v>527.72727269999996</v>
      </c>
    </row>
    <row r="1040" spans="1:7" ht="15.75" x14ac:dyDescent="0.25">
      <c r="A1040" s="38">
        <v>3503</v>
      </c>
      <c r="B1040" s="33">
        <v>2404</v>
      </c>
      <c r="C1040" s="33" t="s">
        <v>14</v>
      </c>
      <c r="D1040" s="33" t="s">
        <v>15</v>
      </c>
      <c r="E1040" s="33" t="s">
        <v>15</v>
      </c>
      <c r="F1040" s="33">
        <v>14</v>
      </c>
      <c r="G1040" s="34">
        <v>539.54545450000001</v>
      </c>
    </row>
    <row r="1041" spans="1:7" ht="15.75" x14ac:dyDescent="0.25">
      <c r="A1041" s="38">
        <v>3503</v>
      </c>
      <c r="B1041" s="33">
        <v>2404</v>
      </c>
      <c r="C1041" s="33" t="s">
        <v>14</v>
      </c>
      <c r="D1041" s="33" t="s">
        <v>15</v>
      </c>
      <c r="E1041" s="33" t="s">
        <v>15</v>
      </c>
      <c r="F1041" s="33">
        <v>28</v>
      </c>
      <c r="G1041" s="34">
        <v>579.09090909999998</v>
      </c>
    </row>
    <row r="1042" spans="1:7" ht="15.75" x14ac:dyDescent="0.25">
      <c r="A1042" s="38">
        <v>3503</v>
      </c>
      <c r="B1042" s="33">
        <v>2404</v>
      </c>
      <c r="C1042" s="33" t="s">
        <v>14</v>
      </c>
      <c r="D1042" s="33" t="s">
        <v>15</v>
      </c>
      <c r="E1042" s="33" t="s">
        <v>15</v>
      </c>
      <c r="F1042" s="33">
        <v>42</v>
      </c>
      <c r="G1042" s="34">
        <v>600.45454549999999</v>
      </c>
    </row>
    <row r="1043" spans="1:7" ht="15.75" x14ac:dyDescent="0.25">
      <c r="A1043" s="38">
        <v>3503</v>
      </c>
      <c r="B1043" s="33">
        <v>2404</v>
      </c>
      <c r="C1043" s="33" t="s">
        <v>14</v>
      </c>
      <c r="D1043" s="33" t="s">
        <v>15</v>
      </c>
      <c r="E1043" s="33" t="s">
        <v>15</v>
      </c>
      <c r="F1043" s="33">
        <v>56</v>
      </c>
      <c r="G1043" s="34">
        <v>628.63636359999998</v>
      </c>
    </row>
    <row r="1044" spans="1:7" ht="15.75" x14ac:dyDescent="0.25">
      <c r="A1044" s="38">
        <v>3503</v>
      </c>
      <c r="B1044" s="33">
        <v>2404</v>
      </c>
      <c r="C1044" s="33" t="s">
        <v>14</v>
      </c>
      <c r="D1044" s="33" t="s">
        <v>15</v>
      </c>
      <c r="E1044" s="33" t="s">
        <v>15</v>
      </c>
      <c r="F1044" s="33">
        <v>70</v>
      </c>
      <c r="G1044" s="34">
        <v>641.81818180000005</v>
      </c>
    </row>
    <row r="1045" spans="1:7" ht="15.75" x14ac:dyDescent="0.25">
      <c r="A1045" s="38">
        <v>3504</v>
      </c>
      <c r="B1045" s="33">
        <v>2404</v>
      </c>
      <c r="C1045" s="33" t="s">
        <v>20</v>
      </c>
      <c r="D1045" s="33" t="s">
        <v>21</v>
      </c>
      <c r="E1045" s="33" t="s">
        <v>15</v>
      </c>
      <c r="F1045" s="33">
        <v>0</v>
      </c>
      <c r="G1045" s="38">
        <v>410</v>
      </c>
    </row>
    <row r="1046" spans="1:7" ht="15.75" x14ac:dyDescent="0.25">
      <c r="A1046" s="38">
        <v>3504</v>
      </c>
      <c r="B1046" s="33">
        <v>2404</v>
      </c>
      <c r="C1046" s="33" t="s">
        <v>20</v>
      </c>
      <c r="D1046" s="33" t="s">
        <v>21</v>
      </c>
      <c r="E1046" s="33" t="s">
        <v>15</v>
      </c>
      <c r="F1046" s="33">
        <v>14</v>
      </c>
      <c r="G1046" s="34">
        <v>435</v>
      </c>
    </row>
    <row r="1047" spans="1:7" ht="15.75" x14ac:dyDescent="0.25">
      <c r="A1047" s="38">
        <v>3504</v>
      </c>
      <c r="B1047" s="33">
        <v>2404</v>
      </c>
      <c r="C1047" s="33" t="s">
        <v>20</v>
      </c>
      <c r="D1047" s="33" t="s">
        <v>21</v>
      </c>
      <c r="E1047" s="33" t="s">
        <v>15</v>
      </c>
      <c r="F1047" s="33">
        <v>28</v>
      </c>
      <c r="G1047" s="34">
        <v>467.72727270000001</v>
      </c>
    </row>
    <row r="1048" spans="1:7" ht="15.75" x14ac:dyDescent="0.25">
      <c r="A1048" s="38">
        <v>3504</v>
      </c>
      <c r="B1048" s="33">
        <v>2404</v>
      </c>
      <c r="C1048" s="33" t="s">
        <v>20</v>
      </c>
      <c r="D1048" s="33" t="s">
        <v>21</v>
      </c>
      <c r="E1048" s="33" t="s">
        <v>15</v>
      </c>
      <c r="F1048" s="33">
        <v>42</v>
      </c>
      <c r="G1048" s="34">
        <v>495.90909090000002</v>
      </c>
    </row>
    <row r="1049" spans="1:7" ht="15.75" x14ac:dyDescent="0.25">
      <c r="A1049" s="38">
        <v>3504</v>
      </c>
      <c r="B1049" s="33">
        <v>2404</v>
      </c>
      <c r="C1049" s="33" t="s">
        <v>20</v>
      </c>
      <c r="D1049" s="33" t="s">
        <v>21</v>
      </c>
      <c r="E1049" s="33" t="s">
        <v>15</v>
      </c>
      <c r="F1049" s="33">
        <v>56</v>
      </c>
      <c r="G1049" s="34">
        <v>503.18181820000001</v>
      </c>
    </row>
    <row r="1050" spans="1:7" ht="15.75" x14ac:dyDescent="0.25">
      <c r="A1050" s="38">
        <v>3504</v>
      </c>
      <c r="B1050" s="33">
        <v>2404</v>
      </c>
      <c r="C1050" s="33" t="s">
        <v>20</v>
      </c>
      <c r="D1050" s="33" t="s">
        <v>21</v>
      </c>
      <c r="E1050" s="33" t="s">
        <v>15</v>
      </c>
      <c r="F1050" s="33">
        <v>70</v>
      </c>
      <c r="G1050" s="34">
        <v>534.09090909999998</v>
      </c>
    </row>
    <row r="1051" spans="1:7" ht="15.75" x14ac:dyDescent="0.25">
      <c r="A1051" s="38">
        <v>3505</v>
      </c>
      <c r="B1051" s="33">
        <v>2404</v>
      </c>
      <c r="C1051" s="33" t="s">
        <v>20</v>
      </c>
      <c r="D1051" s="33" t="s">
        <v>21</v>
      </c>
      <c r="E1051" s="33" t="s">
        <v>15</v>
      </c>
      <c r="F1051" s="33">
        <v>0</v>
      </c>
      <c r="G1051" s="38">
        <v>434.54545450000001</v>
      </c>
    </row>
    <row r="1052" spans="1:7" ht="15.75" x14ac:dyDescent="0.25">
      <c r="A1052" s="38">
        <v>3505</v>
      </c>
      <c r="B1052" s="33">
        <v>2404</v>
      </c>
      <c r="C1052" s="33" t="s">
        <v>20</v>
      </c>
      <c r="D1052" s="33" t="s">
        <v>21</v>
      </c>
      <c r="E1052" s="33" t="s">
        <v>15</v>
      </c>
      <c r="F1052" s="33">
        <v>14</v>
      </c>
      <c r="G1052" s="34">
        <v>457.27272729999999</v>
      </c>
    </row>
    <row r="1053" spans="1:7" ht="15.75" x14ac:dyDescent="0.25">
      <c r="A1053" s="38">
        <v>3505</v>
      </c>
      <c r="B1053" s="33">
        <v>2404</v>
      </c>
      <c r="C1053" s="33" t="s">
        <v>20</v>
      </c>
      <c r="D1053" s="33" t="s">
        <v>21</v>
      </c>
      <c r="E1053" s="33" t="s">
        <v>15</v>
      </c>
      <c r="F1053" s="33">
        <v>28</v>
      </c>
      <c r="G1053" s="34">
        <v>480.90909090000002</v>
      </c>
    </row>
    <row r="1054" spans="1:7" ht="15.75" x14ac:dyDescent="0.25">
      <c r="A1054" s="38">
        <v>3505</v>
      </c>
      <c r="B1054" s="33">
        <v>2404</v>
      </c>
      <c r="C1054" s="33" t="s">
        <v>20</v>
      </c>
      <c r="D1054" s="33" t="s">
        <v>21</v>
      </c>
      <c r="E1054" s="33" t="s">
        <v>15</v>
      </c>
      <c r="F1054" s="33">
        <v>42</v>
      </c>
      <c r="G1054" s="34">
        <v>495.45454549999999</v>
      </c>
    </row>
    <row r="1055" spans="1:7" ht="15.75" x14ac:dyDescent="0.25">
      <c r="A1055" s="38">
        <v>3505</v>
      </c>
      <c r="B1055" s="33">
        <v>2404</v>
      </c>
      <c r="C1055" s="33" t="s">
        <v>20</v>
      </c>
      <c r="D1055" s="33" t="s">
        <v>21</v>
      </c>
      <c r="E1055" s="33" t="s">
        <v>15</v>
      </c>
      <c r="F1055" s="33">
        <v>56</v>
      </c>
      <c r="G1055" s="34">
        <v>527.27272730000004</v>
      </c>
    </row>
    <row r="1056" spans="1:7" ht="15.75" x14ac:dyDescent="0.25">
      <c r="A1056" s="38">
        <v>3505</v>
      </c>
      <c r="B1056" s="33">
        <v>2404</v>
      </c>
      <c r="C1056" s="33" t="s">
        <v>20</v>
      </c>
      <c r="D1056" s="33" t="s">
        <v>21</v>
      </c>
      <c r="E1056" s="33" t="s">
        <v>15</v>
      </c>
      <c r="F1056" s="33">
        <v>70</v>
      </c>
      <c r="G1056" s="34">
        <v>559.09090909999998</v>
      </c>
    </row>
    <row r="1057" spans="1:7" ht="15.75" x14ac:dyDescent="0.25">
      <c r="A1057" s="38">
        <v>3507</v>
      </c>
      <c r="B1057" s="33">
        <v>2404</v>
      </c>
      <c r="C1057" s="33" t="s">
        <v>14</v>
      </c>
      <c r="D1057" s="33" t="s">
        <v>15</v>
      </c>
      <c r="E1057" s="33" t="s">
        <v>15</v>
      </c>
      <c r="F1057" s="33">
        <v>0</v>
      </c>
      <c r="G1057" s="38">
        <v>508.63636359999998</v>
      </c>
    </row>
    <row r="1058" spans="1:7" ht="15.75" x14ac:dyDescent="0.25">
      <c r="A1058" s="38">
        <v>3507</v>
      </c>
      <c r="B1058" s="33">
        <v>2404</v>
      </c>
      <c r="C1058" s="33" t="s">
        <v>14</v>
      </c>
      <c r="D1058" s="33" t="s">
        <v>15</v>
      </c>
      <c r="E1058" s="33" t="s">
        <v>15</v>
      </c>
      <c r="F1058" s="33">
        <v>14</v>
      </c>
      <c r="G1058" s="34">
        <v>530.90909090000002</v>
      </c>
    </row>
    <row r="1059" spans="1:7" ht="15.75" x14ac:dyDescent="0.25">
      <c r="A1059" s="38">
        <v>3507</v>
      </c>
      <c r="B1059" s="33">
        <v>2404</v>
      </c>
      <c r="C1059" s="33" t="s">
        <v>14</v>
      </c>
      <c r="D1059" s="33" t="s">
        <v>15</v>
      </c>
      <c r="E1059" s="33" t="s">
        <v>15</v>
      </c>
      <c r="F1059" s="33">
        <v>28</v>
      </c>
      <c r="G1059" s="34">
        <v>551.81818180000005</v>
      </c>
    </row>
    <row r="1060" spans="1:7" ht="15.75" x14ac:dyDescent="0.25">
      <c r="A1060" s="38">
        <v>3507</v>
      </c>
      <c r="B1060" s="33">
        <v>2404</v>
      </c>
      <c r="C1060" s="33" t="s">
        <v>14</v>
      </c>
      <c r="D1060" s="33" t="s">
        <v>15</v>
      </c>
      <c r="E1060" s="33" t="s">
        <v>15</v>
      </c>
      <c r="F1060" s="33">
        <v>42</v>
      </c>
      <c r="G1060" s="34">
        <v>581.36363640000002</v>
      </c>
    </row>
    <row r="1061" spans="1:7" ht="15.75" x14ac:dyDescent="0.25">
      <c r="A1061" s="38">
        <v>3507</v>
      </c>
      <c r="B1061" s="33">
        <v>2404</v>
      </c>
      <c r="C1061" s="33" t="s">
        <v>14</v>
      </c>
      <c r="D1061" s="33" t="s">
        <v>15</v>
      </c>
      <c r="E1061" s="33" t="s">
        <v>15</v>
      </c>
      <c r="F1061" s="33">
        <v>56</v>
      </c>
      <c r="G1061" s="34">
        <v>604.54545450000001</v>
      </c>
    </row>
    <row r="1062" spans="1:7" ht="15.75" x14ac:dyDescent="0.25">
      <c r="A1062" s="38">
        <v>3507</v>
      </c>
      <c r="B1062" s="33">
        <v>2404</v>
      </c>
      <c r="C1062" s="33" t="s">
        <v>14</v>
      </c>
      <c r="D1062" s="33" t="s">
        <v>15</v>
      </c>
      <c r="E1062" s="33" t="s">
        <v>15</v>
      </c>
      <c r="F1062" s="33">
        <v>70</v>
      </c>
      <c r="G1062" s="34">
        <v>645.45454549999999</v>
      </c>
    </row>
    <row r="1063" spans="1:7" ht="15.75" x14ac:dyDescent="0.25">
      <c r="A1063" s="38">
        <v>3508</v>
      </c>
      <c r="B1063" s="33">
        <v>2404</v>
      </c>
      <c r="C1063" s="33" t="s">
        <v>14</v>
      </c>
      <c r="D1063" s="33" t="s">
        <v>15</v>
      </c>
      <c r="E1063" s="33" t="s">
        <v>15</v>
      </c>
      <c r="F1063" s="33">
        <v>0</v>
      </c>
      <c r="G1063" s="38">
        <v>480.45454549999999</v>
      </c>
    </row>
    <row r="1064" spans="1:7" ht="15.75" x14ac:dyDescent="0.25">
      <c r="A1064" s="38">
        <v>3508</v>
      </c>
      <c r="B1064" s="33">
        <v>2404</v>
      </c>
      <c r="C1064" s="33" t="s">
        <v>14</v>
      </c>
      <c r="D1064" s="33" t="s">
        <v>15</v>
      </c>
      <c r="E1064" s="33" t="s">
        <v>15</v>
      </c>
      <c r="F1064" s="33">
        <v>14</v>
      </c>
      <c r="G1064" s="34">
        <v>507.72727270000001</v>
      </c>
    </row>
    <row r="1065" spans="1:7" ht="15.75" x14ac:dyDescent="0.25">
      <c r="A1065" s="38">
        <v>3508</v>
      </c>
      <c r="B1065" s="33">
        <v>2404</v>
      </c>
      <c r="C1065" s="33" t="s">
        <v>14</v>
      </c>
      <c r="D1065" s="33" t="s">
        <v>15</v>
      </c>
      <c r="E1065" s="33" t="s">
        <v>15</v>
      </c>
      <c r="F1065" s="33">
        <v>28</v>
      </c>
      <c r="G1065" s="34">
        <v>532.27272730000004</v>
      </c>
    </row>
    <row r="1066" spans="1:7" ht="15.75" x14ac:dyDescent="0.25">
      <c r="A1066" s="38">
        <v>3508</v>
      </c>
      <c r="B1066" s="33">
        <v>2404</v>
      </c>
      <c r="C1066" s="33" t="s">
        <v>14</v>
      </c>
      <c r="D1066" s="33" t="s">
        <v>15</v>
      </c>
      <c r="E1066" s="33" t="s">
        <v>15</v>
      </c>
      <c r="F1066" s="33">
        <v>42</v>
      </c>
      <c r="G1066" s="34">
        <v>566.81818180000005</v>
      </c>
    </row>
    <row r="1067" spans="1:7" ht="15.75" x14ac:dyDescent="0.25">
      <c r="A1067" s="38">
        <v>3508</v>
      </c>
      <c r="B1067" s="33">
        <v>2404</v>
      </c>
      <c r="C1067" s="33" t="s">
        <v>14</v>
      </c>
      <c r="D1067" s="33" t="s">
        <v>15</v>
      </c>
      <c r="E1067" s="33" t="s">
        <v>15</v>
      </c>
      <c r="F1067" s="33">
        <v>56</v>
      </c>
      <c r="G1067" s="34">
        <v>578.63636359999998</v>
      </c>
    </row>
    <row r="1068" spans="1:7" ht="15.75" x14ac:dyDescent="0.25">
      <c r="A1068" s="38">
        <v>3508</v>
      </c>
      <c r="B1068" s="33">
        <v>2404</v>
      </c>
      <c r="C1068" s="33" t="s">
        <v>14</v>
      </c>
      <c r="D1068" s="33" t="s">
        <v>15</v>
      </c>
      <c r="E1068" s="33" t="s">
        <v>15</v>
      </c>
      <c r="F1068" s="33">
        <v>70</v>
      </c>
      <c r="G1068" s="34">
        <v>599.54545450000001</v>
      </c>
    </row>
    <row r="1069" spans="1:7" ht="15.75" x14ac:dyDescent="0.25">
      <c r="A1069" s="38">
        <v>3509</v>
      </c>
      <c r="B1069" s="33">
        <v>2404</v>
      </c>
      <c r="C1069" s="33" t="s">
        <v>20</v>
      </c>
      <c r="D1069" s="33" t="s">
        <v>21</v>
      </c>
      <c r="E1069" s="33" t="s">
        <v>15</v>
      </c>
      <c r="F1069" s="33">
        <v>0</v>
      </c>
      <c r="G1069" s="38">
        <v>435</v>
      </c>
    </row>
    <row r="1070" spans="1:7" ht="15.75" x14ac:dyDescent="0.25">
      <c r="A1070" s="38">
        <v>3509</v>
      </c>
      <c r="B1070" s="33">
        <v>2404</v>
      </c>
      <c r="C1070" s="33" t="s">
        <v>20</v>
      </c>
      <c r="D1070" s="33" t="s">
        <v>21</v>
      </c>
      <c r="E1070" s="33" t="s">
        <v>15</v>
      </c>
      <c r="F1070" s="33">
        <v>14</v>
      </c>
      <c r="G1070" s="34">
        <v>449.54545450000001</v>
      </c>
    </row>
    <row r="1071" spans="1:7" ht="15.75" x14ac:dyDescent="0.25">
      <c r="A1071" s="38">
        <v>3509</v>
      </c>
      <c r="B1071" s="33">
        <v>2404</v>
      </c>
      <c r="C1071" s="33" t="s">
        <v>20</v>
      </c>
      <c r="D1071" s="33" t="s">
        <v>21</v>
      </c>
      <c r="E1071" s="33" t="s">
        <v>15</v>
      </c>
      <c r="F1071" s="33">
        <v>28</v>
      </c>
      <c r="G1071" s="34">
        <v>471.36363640000002</v>
      </c>
    </row>
    <row r="1072" spans="1:7" ht="15.75" x14ac:dyDescent="0.25">
      <c r="A1072" s="38">
        <v>3509</v>
      </c>
      <c r="B1072" s="33">
        <v>2404</v>
      </c>
      <c r="C1072" s="33" t="s">
        <v>20</v>
      </c>
      <c r="D1072" s="33" t="s">
        <v>21</v>
      </c>
      <c r="E1072" s="33" t="s">
        <v>15</v>
      </c>
      <c r="F1072" s="33">
        <v>42</v>
      </c>
      <c r="G1072" s="34">
        <v>493.63636359999998</v>
      </c>
    </row>
    <row r="1073" spans="1:7" ht="15.75" x14ac:dyDescent="0.25">
      <c r="A1073" s="38">
        <v>3509</v>
      </c>
      <c r="B1073" s="33">
        <v>2404</v>
      </c>
      <c r="C1073" s="33" t="s">
        <v>20</v>
      </c>
      <c r="D1073" s="33" t="s">
        <v>21</v>
      </c>
      <c r="E1073" s="33" t="s">
        <v>15</v>
      </c>
      <c r="F1073" s="33">
        <v>56</v>
      </c>
      <c r="G1073" s="34">
        <v>518.63636359999998</v>
      </c>
    </row>
    <row r="1074" spans="1:7" ht="15.75" x14ac:dyDescent="0.25">
      <c r="A1074" s="38">
        <v>3509</v>
      </c>
      <c r="B1074" s="33">
        <v>2404</v>
      </c>
      <c r="C1074" s="33" t="s">
        <v>20</v>
      </c>
      <c r="D1074" s="33" t="s">
        <v>21</v>
      </c>
      <c r="E1074" s="33" t="s">
        <v>15</v>
      </c>
      <c r="F1074" s="33">
        <v>70</v>
      </c>
      <c r="G1074" s="34">
        <v>553.63636359999998</v>
      </c>
    </row>
    <row r="1075" spans="1:7" ht="15.75" x14ac:dyDescent="0.25">
      <c r="A1075" s="38">
        <v>3511</v>
      </c>
      <c r="B1075" s="33">
        <v>2404</v>
      </c>
      <c r="C1075" s="33" t="s">
        <v>14</v>
      </c>
      <c r="D1075" s="33" t="s">
        <v>15</v>
      </c>
      <c r="E1075" s="33" t="s">
        <v>15</v>
      </c>
      <c r="F1075" s="33">
        <v>0</v>
      </c>
      <c r="G1075" s="38">
        <v>565.90909090000002</v>
      </c>
    </row>
    <row r="1076" spans="1:7" ht="15.75" x14ac:dyDescent="0.25">
      <c r="A1076" s="38">
        <v>3511</v>
      </c>
      <c r="B1076" s="33">
        <v>2404</v>
      </c>
      <c r="C1076" s="33" t="s">
        <v>14</v>
      </c>
      <c r="D1076" s="33" t="s">
        <v>15</v>
      </c>
      <c r="E1076" s="33" t="s">
        <v>15</v>
      </c>
      <c r="F1076" s="33">
        <v>14</v>
      </c>
      <c r="G1076" s="34">
        <v>587.72727269999996</v>
      </c>
    </row>
    <row r="1077" spans="1:7" ht="15.75" x14ac:dyDescent="0.25">
      <c r="A1077" s="38">
        <v>3511</v>
      </c>
      <c r="B1077" s="33">
        <v>2404</v>
      </c>
      <c r="C1077" s="33" t="s">
        <v>14</v>
      </c>
      <c r="D1077" s="33" t="s">
        <v>15</v>
      </c>
      <c r="E1077" s="33" t="s">
        <v>15</v>
      </c>
      <c r="F1077" s="33">
        <v>28</v>
      </c>
      <c r="G1077" s="34">
        <v>611.81818180000005</v>
      </c>
    </row>
    <row r="1078" spans="1:7" ht="15.75" x14ac:dyDescent="0.25">
      <c r="A1078" s="38">
        <v>3511</v>
      </c>
      <c r="B1078" s="33">
        <v>2404</v>
      </c>
      <c r="C1078" s="33" t="s">
        <v>14</v>
      </c>
      <c r="D1078" s="33" t="s">
        <v>15</v>
      </c>
      <c r="E1078" s="33" t="s">
        <v>15</v>
      </c>
      <c r="F1078" s="33">
        <v>42</v>
      </c>
      <c r="G1078" s="34">
        <v>637.72727269999996</v>
      </c>
    </row>
    <row r="1079" spans="1:7" ht="15.75" x14ac:dyDescent="0.25">
      <c r="A1079" s="38">
        <v>3511</v>
      </c>
      <c r="B1079" s="33">
        <v>2404</v>
      </c>
      <c r="C1079" s="33" t="s">
        <v>14</v>
      </c>
      <c r="D1079" s="33" t="s">
        <v>15</v>
      </c>
      <c r="E1079" s="33" t="s">
        <v>15</v>
      </c>
      <c r="F1079" s="33">
        <v>56</v>
      </c>
      <c r="G1079" s="34">
        <v>673.18181819999995</v>
      </c>
    </row>
    <row r="1080" spans="1:7" ht="15.75" x14ac:dyDescent="0.25">
      <c r="A1080" s="38">
        <v>3511</v>
      </c>
      <c r="B1080" s="33">
        <v>2404</v>
      </c>
      <c r="C1080" s="33" t="s">
        <v>14</v>
      </c>
      <c r="D1080" s="33" t="s">
        <v>15</v>
      </c>
      <c r="E1080" s="33" t="s">
        <v>15</v>
      </c>
      <c r="F1080" s="33">
        <v>70</v>
      </c>
      <c r="G1080" s="34">
        <v>707.27272730000004</v>
      </c>
    </row>
    <row r="1081" spans="1:7" ht="15.75" x14ac:dyDescent="0.25">
      <c r="A1081" s="38">
        <v>3514</v>
      </c>
      <c r="B1081" s="33">
        <v>2404</v>
      </c>
      <c r="C1081" s="33" t="s">
        <v>14</v>
      </c>
      <c r="D1081" s="33" t="s">
        <v>15</v>
      </c>
      <c r="E1081" s="33" t="s">
        <v>15</v>
      </c>
      <c r="F1081" s="33">
        <v>0</v>
      </c>
      <c r="G1081" s="38">
        <v>493.18181820000001</v>
      </c>
    </row>
    <row r="1082" spans="1:7" ht="15.75" x14ac:dyDescent="0.25">
      <c r="A1082" s="38">
        <v>3514</v>
      </c>
      <c r="B1082" s="33">
        <v>2404</v>
      </c>
      <c r="C1082" s="33" t="s">
        <v>14</v>
      </c>
      <c r="D1082" s="33" t="s">
        <v>15</v>
      </c>
      <c r="E1082" s="33" t="s">
        <v>15</v>
      </c>
      <c r="F1082" s="33">
        <v>14</v>
      </c>
      <c r="G1082" s="34">
        <v>508.18181820000001</v>
      </c>
    </row>
    <row r="1083" spans="1:7" ht="15.75" x14ac:dyDescent="0.25">
      <c r="A1083" s="38">
        <v>3514</v>
      </c>
      <c r="B1083" s="33">
        <v>2404</v>
      </c>
      <c r="C1083" s="33" t="s">
        <v>14</v>
      </c>
      <c r="D1083" s="33" t="s">
        <v>15</v>
      </c>
      <c r="E1083" s="33" t="s">
        <v>15</v>
      </c>
      <c r="F1083" s="33">
        <v>28</v>
      </c>
      <c r="G1083" s="34">
        <v>529.54545450000001</v>
      </c>
    </row>
    <row r="1084" spans="1:7" ht="15.75" x14ac:dyDescent="0.25">
      <c r="A1084" s="38">
        <v>3514</v>
      </c>
      <c r="B1084" s="33">
        <v>2404</v>
      </c>
      <c r="C1084" s="33" t="s">
        <v>14</v>
      </c>
      <c r="D1084" s="33" t="s">
        <v>15</v>
      </c>
      <c r="E1084" s="33" t="s">
        <v>15</v>
      </c>
      <c r="F1084" s="33">
        <v>42</v>
      </c>
      <c r="G1084" s="34">
        <v>559.09090909999998</v>
      </c>
    </row>
    <row r="1085" spans="1:7" ht="15.75" x14ac:dyDescent="0.25">
      <c r="A1085" s="38">
        <v>3514</v>
      </c>
      <c r="B1085" s="33">
        <v>2404</v>
      </c>
      <c r="C1085" s="33" t="s">
        <v>14</v>
      </c>
      <c r="D1085" s="33" t="s">
        <v>15</v>
      </c>
      <c r="E1085" s="33" t="s">
        <v>15</v>
      </c>
      <c r="F1085" s="33">
        <v>56</v>
      </c>
      <c r="G1085" s="34">
        <v>588.63636359999998</v>
      </c>
    </row>
    <row r="1086" spans="1:7" ht="15.75" x14ac:dyDescent="0.25">
      <c r="A1086" s="38">
        <v>3514</v>
      </c>
      <c r="B1086" s="33">
        <v>2404</v>
      </c>
      <c r="C1086" s="33" t="s">
        <v>14</v>
      </c>
      <c r="D1086" s="33" t="s">
        <v>15</v>
      </c>
      <c r="E1086" s="33" t="s">
        <v>15</v>
      </c>
      <c r="F1086" s="33">
        <v>70</v>
      </c>
      <c r="G1086" s="34">
        <v>618.18181819999995</v>
      </c>
    </row>
    <row r="1087" spans="1:7" ht="15.75" x14ac:dyDescent="0.25">
      <c r="A1087" s="38">
        <v>3517</v>
      </c>
      <c r="B1087" s="33">
        <v>2404</v>
      </c>
      <c r="C1087" s="33" t="s">
        <v>20</v>
      </c>
      <c r="D1087" s="33" t="s">
        <v>21</v>
      </c>
      <c r="E1087" s="33" t="s">
        <v>15</v>
      </c>
      <c r="F1087" s="33">
        <v>0</v>
      </c>
      <c r="G1087" s="38">
        <v>428.18181820000001</v>
      </c>
    </row>
    <row r="1088" spans="1:7" ht="15.75" x14ac:dyDescent="0.25">
      <c r="A1088" s="38">
        <v>3517</v>
      </c>
      <c r="B1088" s="33">
        <v>2404</v>
      </c>
      <c r="C1088" s="33" t="s">
        <v>20</v>
      </c>
      <c r="D1088" s="33" t="s">
        <v>21</v>
      </c>
      <c r="E1088" s="33" t="s">
        <v>15</v>
      </c>
      <c r="F1088" s="33">
        <v>14</v>
      </c>
      <c r="G1088" s="34">
        <v>481.81818179999999</v>
      </c>
    </row>
    <row r="1089" spans="1:7" ht="15.75" x14ac:dyDescent="0.25">
      <c r="A1089" s="38">
        <v>3517</v>
      </c>
      <c r="B1089" s="33">
        <v>2404</v>
      </c>
      <c r="C1089" s="33" t="s">
        <v>20</v>
      </c>
      <c r="D1089" s="33" t="s">
        <v>21</v>
      </c>
      <c r="E1089" s="33" t="s">
        <v>15</v>
      </c>
      <c r="F1089" s="33">
        <v>28</v>
      </c>
      <c r="G1089" s="34">
        <v>503.63636359999998</v>
      </c>
    </row>
    <row r="1090" spans="1:7" ht="15.75" x14ac:dyDescent="0.25">
      <c r="A1090" s="38">
        <v>3517</v>
      </c>
      <c r="B1090" s="33">
        <v>2404</v>
      </c>
      <c r="C1090" s="33" t="s">
        <v>20</v>
      </c>
      <c r="D1090" s="33" t="s">
        <v>21</v>
      </c>
      <c r="E1090" s="33" t="s">
        <v>15</v>
      </c>
      <c r="F1090" s="33">
        <v>42</v>
      </c>
      <c r="G1090" s="34">
        <v>516.81818180000005</v>
      </c>
    </row>
    <row r="1091" spans="1:7" ht="15.75" x14ac:dyDescent="0.25">
      <c r="A1091" s="38">
        <v>3517</v>
      </c>
      <c r="B1091" s="33">
        <v>2404</v>
      </c>
      <c r="C1091" s="33" t="s">
        <v>20</v>
      </c>
      <c r="D1091" s="33" t="s">
        <v>21</v>
      </c>
      <c r="E1091" s="33" t="s">
        <v>15</v>
      </c>
      <c r="F1091" s="33">
        <v>56</v>
      </c>
      <c r="G1091" s="34">
        <v>534.09090909999998</v>
      </c>
    </row>
    <row r="1092" spans="1:7" ht="15.75" x14ac:dyDescent="0.25">
      <c r="A1092" s="38">
        <v>3517</v>
      </c>
      <c r="B1092" s="33">
        <v>2404</v>
      </c>
      <c r="C1092" s="33" t="s">
        <v>20</v>
      </c>
      <c r="D1092" s="33" t="s">
        <v>21</v>
      </c>
      <c r="E1092" s="33" t="s">
        <v>15</v>
      </c>
      <c r="F1092" s="33">
        <v>70</v>
      </c>
      <c r="G1092" s="34">
        <v>563.63636359999998</v>
      </c>
    </row>
    <row r="1093" spans="1:7" ht="15.75" x14ac:dyDescent="0.25">
      <c r="A1093" s="38">
        <v>3521</v>
      </c>
      <c r="B1093" s="33">
        <v>2404</v>
      </c>
      <c r="C1093" s="33" t="s">
        <v>14</v>
      </c>
      <c r="D1093" s="33" t="s">
        <v>15</v>
      </c>
      <c r="E1093" s="33" t="s">
        <v>15</v>
      </c>
      <c r="F1093" s="33">
        <v>0</v>
      </c>
      <c r="G1093" s="38">
        <v>520</v>
      </c>
    </row>
    <row r="1094" spans="1:7" ht="15.75" x14ac:dyDescent="0.25">
      <c r="A1094" s="38">
        <v>3521</v>
      </c>
      <c r="B1094" s="33">
        <v>2404</v>
      </c>
      <c r="C1094" s="33" t="s">
        <v>14</v>
      </c>
      <c r="D1094" s="33" t="s">
        <v>15</v>
      </c>
      <c r="E1094" s="33" t="s">
        <v>15</v>
      </c>
      <c r="F1094" s="33">
        <v>14</v>
      </c>
      <c r="G1094" s="34">
        <v>547.72727269999996</v>
      </c>
    </row>
    <row r="1095" spans="1:7" ht="15.75" x14ac:dyDescent="0.25">
      <c r="A1095" s="38">
        <v>3521</v>
      </c>
      <c r="B1095" s="33">
        <v>2404</v>
      </c>
      <c r="C1095" s="33" t="s">
        <v>14</v>
      </c>
      <c r="D1095" s="33" t="s">
        <v>15</v>
      </c>
      <c r="E1095" s="33" t="s">
        <v>15</v>
      </c>
      <c r="F1095" s="33">
        <v>28</v>
      </c>
      <c r="G1095" s="34">
        <v>588.18181819999995</v>
      </c>
    </row>
    <row r="1096" spans="1:7" ht="15.75" x14ac:dyDescent="0.25">
      <c r="A1096" s="38">
        <v>3521</v>
      </c>
      <c r="B1096" s="33">
        <v>2404</v>
      </c>
      <c r="C1096" s="33" t="s">
        <v>14</v>
      </c>
      <c r="D1096" s="33" t="s">
        <v>15</v>
      </c>
      <c r="E1096" s="33" t="s">
        <v>15</v>
      </c>
      <c r="F1096" s="33">
        <v>42</v>
      </c>
      <c r="G1096" s="34">
        <v>620</v>
      </c>
    </row>
    <row r="1097" spans="1:7" ht="15.75" x14ac:dyDescent="0.25">
      <c r="A1097" s="38">
        <v>3521</v>
      </c>
      <c r="B1097" s="33">
        <v>2404</v>
      </c>
      <c r="C1097" s="33" t="s">
        <v>14</v>
      </c>
      <c r="D1097" s="33" t="s">
        <v>15</v>
      </c>
      <c r="E1097" s="33" t="s">
        <v>15</v>
      </c>
      <c r="F1097" s="33">
        <v>56</v>
      </c>
      <c r="G1097" s="34">
        <v>639.09090909999998</v>
      </c>
    </row>
    <row r="1098" spans="1:7" ht="15.75" x14ac:dyDescent="0.25">
      <c r="A1098" s="38">
        <v>3521</v>
      </c>
      <c r="B1098" s="33">
        <v>2404</v>
      </c>
      <c r="C1098" s="33" t="s">
        <v>14</v>
      </c>
      <c r="D1098" s="33" t="s">
        <v>15</v>
      </c>
      <c r="E1098" s="33" t="s">
        <v>15</v>
      </c>
      <c r="F1098" s="33">
        <v>70</v>
      </c>
      <c r="G1098" s="34">
        <v>661.81818180000005</v>
      </c>
    </row>
    <row r="1099" spans="1:7" ht="15.75" x14ac:dyDescent="0.25">
      <c r="A1099" s="38">
        <v>3522</v>
      </c>
      <c r="B1099" s="33">
        <v>2404</v>
      </c>
      <c r="C1099" s="33" t="s">
        <v>14</v>
      </c>
      <c r="D1099" s="33" t="s">
        <v>15</v>
      </c>
      <c r="E1099" s="33" t="s">
        <v>15</v>
      </c>
      <c r="F1099" s="33">
        <v>0</v>
      </c>
      <c r="G1099" s="38">
        <v>534.09090909999998</v>
      </c>
    </row>
    <row r="1100" spans="1:7" ht="15.75" x14ac:dyDescent="0.25">
      <c r="A1100" s="38">
        <v>3522</v>
      </c>
      <c r="B1100" s="33">
        <v>2404</v>
      </c>
      <c r="C1100" s="33" t="s">
        <v>14</v>
      </c>
      <c r="D1100" s="33" t="s">
        <v>15</v>
      </c>
      <c r="E1100" s="33" t="s">
        <v>15</v>
      </c>
      <c r="F1100" s="33">
        <v>14</v>
      </c>
      <c r="G1100" s="34">
        <v>522.27272730000004</v>
      </c>
    </row>
    <row r="1101" spans="1:7" ht="15.75" x14ac:dyDescent="0.25">
      <c r="A1101" s="38">
        <v>3522</v>
      </c>
      <c r="B1101" s="33">
        <v>2404</v>
      </c>
      <c r="C1101" s="33" t="s">
        <v>14</v>
      </c>
      <c r="D1101" s="33" t="s">
        <v>15</v>
      </c>
      <c r="E1101" s="33" t="s">
        <v>15</v>
      </c>
      <c r="F1101" s="33">
        <v>28</v>
      </c>
      <c r="G1101" s="34">
        <v>570.45454549999999</v>
      </c>
    </row>
    <row r="1102" spans="1:7" ht="15.75" x14ac:dyDescent="0.25">
      <c r="A1102" s="38">
        <v>3522</v>
      </c>
      <c r="B1102" s="33">
        <v>2404</v>
      </c>
      <c r="C1102" s="33" t="s">
        <v>14</v>
      </c>
      <c r="D1102" s="33" t="s">
        <v>15</v>
      </c>
      <c r="E1102" s="33" t="s">
        <v>15</v>
      </c>
      <c r="F1102" s="33">
        <v>42</v>
      </c>
      <c r="G1102" s="34">
        <v>582.72727269999996</v>
      </c>
    </row>
    <row r="1103" spans="1:7" ht="15.75" x14ac:dyDescent="0.25">
      <c r="A1103" s="38">
        <v>3522</v>
      </c>
      <c r="B1103" s="33">
        <v>2404</v>
      </c>
      <c r="C1103" s="33" t="s">
        <v>14</v>
      </c>
      <c r="D1103" s="33" t="s">
        <v>15</v>
      </c>
      <c r="E1103" s="33" t="s">
        <v>15</v>
      </c>
      <c r="F1103" s="33">
        <v>56</v>
      </c>
      <c r="G1103" s="34">
        <v>614.54545450000001</v>
      </c>
    </row>
    <row r="1104" spans="1:7" ht="15.75" x14ac:dyDescent="0.25">
      <c r="A1104" s="38">
        <v>3522</v>
      </c>
      <c r="B1104" s="33">
        <v>2404</v>
      </c>
      <c r="C1104" s="33" t="s">
        <v>14</v>
      </c>
      <c r="D1104" s="33" t="s">
        <v>15</v>
      </c>
      <c r="E1104" s="33" t="s">
        <v>15</v>
      </c>
      <c r="F1104" s="33">
        <v>70</v>
      </c>
      <c r="G1104" s="34">
        <v>632.72727269999996</v>
      </c>
    </row>
    <row r="1105" spans="1:7" ht="15.75" x14ac:dyDescent="0.25">
      <c r="A1105" s="38">
        <v>3523</v>
      </c>
      <c r="B1105" s="33">
        <v>2404</v>
      </c>
      <c r="C1105" s="33" t="s">
        <v>20</v>
      </c>
      <c r="D1105" s="33" t="s">
        <v>21</v>
      </c>
      <c r="E1105" s="33" t="s">
        <v>15</v>
      </c>
      <c r="F1105" s="33">
        <v>0</v>
      </c>
      <c r="G1105" s="38">
        <v>532.72727269999996</v>
      </c>
    </row>
    <row r="1106" spans="1:7" ht="15.75" x14ac:dyDescent="0.25">
      <c r="A1106" s="38">
        <v>3523</v>
      </c>
      <c r="B1106" s="33">
        <v>2404</v>
      </c>
      <c r="C1106" s="33" t="s">
        <v>20</v>
      </c>
      <c r="D1106" s="33" t="s">
        <v>21</v>
      </c>
      <c r="E1106" s="33" t="s">
        <v>15</v>
      </c>
      <c r="F1106" s="33">
        <v>14</v>
      </c>
      <c r="G1106" s="34">
        <v>562.27272730000004</v>
      </c>
    </row>
    <row r="1107" spans="1:7" ht="15.75" x14ac:dyDescent="0.25">
      <c r="A1107" s="38">
        <v>3523</v>
      </c>
      <c r="B1107" s="33">
        <v>2404</v>
      </c>
      <c r="C1107" s="33" t="s">
        <v>20</v>
      </c>
      <c r="D1107" s="33" t="s">
        <v>21</v>
      </c>
      <c r="E1107" s="33" t="s">
        <v>15</v>
      </c>
      <c r="F1107" s="33">
        <v>28</v>
      </c>
      <c r="G1107" s="34">
        <v>586.81818180000005</v>
      </c>
    </row>
    <row r="1108" spans="1:7" ht="15.75" x14ac:dyDescent="0.25">
      <c r="A1108" s="38">
        <v>3523</v>
      </c>
      <c r="B1108" s="33">
        <v>2404</v>
      </c>
      <c r="C1108" s="33" t="s">
        <v>20</v>
      </c>
      <c r="D1108" s="33" t="s">
        <v>21</v>
      </c>
      <c r="E1108" s="33" t="s">
        <v>15</v>
      </c>
      <c r="F1108" s="33">
        <v>42</v>
      </c>
      <c r="G1108" s="34">
        <v>609.09090909999998</v>
      </c>
    </row>
    <row r="1109" spans="1:7" ht="15.75" x14ac:dyDescent="0.25">
      <c r="A1109" s="38">
        <v>3523</v>
      </c>
      <c r="B1109" s="33">
        <v>2404</v>
      </c>
      <c r="C1109" s="33" t="s">
        <v>20</v>
      </c>
      <c r="D1109" s="33" t="s">
        <v>21</v>
      </c>
      <c r="E1109" s="33" t="s">
        <v>15</v>
      </c>
      <c r="F1109" s="33">
        <v>56</v>
      </c>
      <c r="G1109" s="34">
        <v>605.45454549999999</v>
      </c>
    </row>
    <row r="1110" spans="1:7" ht="15.75" x14ac:dyDescent="0.25">
      <c r="A1110" s="38">
        <v>3523</v>
      </c>
      <c r="B1110" s="33">
        <v>2404</v>
      </c>
      <c r="C1110" s="33" t="s">
        <v>20</v>
      </c>
      <c r="D1110" s="33" t="s">
        <v>21</v>
      </c>
      <c r="E1110" s="33" t="s">
        <v>15</v>
      </c>
      <c r="F1110" s="33">
        <v>70</v>
      </c>
      <c r="G1110" s="34">
        <v>653.18181819999995</v>
      </c>
    </row>
    <row r="1111" spans="1:7" ht="15.75" x14ac:dyDescent="0.25">
      <c r="A1111" s="38">
        <v>3534</v>
      </c>
      <c r="B1111" s="33">
        <v>2404</v>
      </c>
      <c r="C1111" s="33" t="s">
        <v>20</v>
      </c>
      <c r="D1111" s="33" t="s">
        <v>21</v>
      </c>
      <c r="E1111" s="33" t="s">
        <v>15</v>
      </c>
      <c r="F1111" s="33">
        <v>0</v>
      </c>
      <c r="G1111" s="38">
        <v>487.27272729999999</v>
      </c>
    </row>
    <row r="1112" spans="1:7" ht="15.75" x14ac:dyDescent="0.25">
      <c r="A1112" s="38">
        <v>3534</v>
      </c>
      <c r="B1112" s="33">
        <v>2404</v>
      </c>
      <c r="C1112" s="33" t="s">
        <v>20</v>
      </c>
      <c r="D1112" s="33" t="s">
        <v>21</v>
      </c>
      <c r="E1112" s="33" t="s">
        <v>15</v>
      </c>
      <c r="F1112" s="33">
        <v>14</v>
      </c>
      <c r="G1112" s="34">
        <v>495.90909090000002</v>
      </c>
    </row>
    <row r="1113" spans="1:7" ht="15.75" x14ac:dyDescent="0.25">
      <c r="A1113" s="38">
        <v>3534</v>
      </c>
      <c r="B1113" s="33">
        <v>2404</v>
      </c>
      <c r="C1113" s="33" t="s">
        <v>20</v>
      </c>
      <c r="D1113" s="33" t="s">
        <v>21</v>
      </c>
      <c r="E1113" s="33" t="s">
        <v>15</v>
      </c>
      <c r="F1113" s="33">
        <v>28</v>
      </c>
      <c r="G1113" s="34">
        <v>515.45454549999999</v>
      </c>
    </row>
    <row r="1114" spans="1:7" ht="15.75" x14ac:dyDescent="0.25">
      <c r="A1114" s="38">
        <v>3534</v>
      </c>
      <c r="B1114" s="33">
        <v>2404</v>
      </c>
      <c r="C1114" s="33" t="s">
        <v>20</v>
      </c>
      <c r="D1114" s="33" t="s">
        <v>21</v>
      </c>
      <c r="E1114" s="33" t="s">
        <v>15</v>
      </c>
      <c r="F1114" s="33">
        <v>42</v>
      </c>
      <c r="G1114" s="34">
        <v>530.90909090000002</v>
      </c>
    </row>
    <row r="1115" spans="1:7" ht="15.75" x14ac:dyDescent="0.25">
      <c r="A1115" s="38">
        <v>3534</v>
      </c>
      <c r="B1115" s="33">
        <v>2404</v>
      </c>
      <c r="C1115" s="33" t="s">
        <v>20</v>
      </c>
      <c r="D1115" s="33" t="s">
        <v>21</v>
      </c>
      <c r="E1115" s="33" t="s">
        <v>15</v>
      </c>
      <c r="F1115" s="33">
        <v>56</v>
      </c>
      <c r="G1115" s="34">
        <v>552.72727269999996</v>
      </c>
    </row>
    <row r="1116" spans="1:7" ht="15.75" x14ac:dyDescent="0.25">
      <c r="A1116" s="38">
        <v>3534</v>
      </c>
      <c r="B1116" s="33">
        <v>2404</v>
      </c>
      <c r="C1116" s="33" t="s">
        <v>20</v>
      </c>
      <c r="D1116" s="33" t="s">
        <v>21</v>
      </c>
      <c r="E1116" s="33" t="s">
        <v>15</v>
      </c>
      <c r="F1116" s="33">
        <v>70</v>
      </c>
      <c r="G1116" s="34">
        <v>585.45454549999999</v>
      </c>
    </row>
    <row r="1117" spans="1:7" ht="15.75" x14ac:dyDescent="0.25">
      <c r="A1117" s="38">
        <v>3538</v>
      </c>
      <c r="B1117" s="33">
        <v>2404</v>
      </c>
      <c r="C1117" s="33" t="s">
        <v>14</v>
      </c>
      <c r="D1117" s="33" t="s">
        <v>15</v>
      </c>
      <c r="E1117" s="33" t="s">
        <v>15</v>
      </c>
      <c r="F1117" s="33">
        <v>0</v>
      </c>
      <c r="G1117" s="38">
        <v>491.36363640000002</v>
      </c>
    </row>
    <row r="1118" spans="1:7" ht="15.75" x14ac:dyDescent="0.25">
      <c r="A1118" s="38">
        <v>3538</v>
      </c>
      <c r="B1118" s="33">
        <v>2404</v>
      </c>
      <c r="C1118" s="33" t="s">
        <v>14</v>
      </c>
      <c r="D1118" s="33" t="s">
        <v>15</v>
      </c>
      <c r="E1118" s="33" t="s">
        <v>15</v>
      </c>
      <c r="F1118" s="33">
        <v>14</v>
      </c>
      <c r="G1118" s="34">
        <v>520.45454549999999</v>
      </c>
    </row>
    <row r="1119" spans="1:7" ht="15.75" x14ac:dyDescent="0.25">
      <c r="A1119" s="38">
        <v>3538</v>
      </c>
      <c r="B1119" s="33">
        <v>2404</v>
      </c>
      <c r="C1119" s="33" t="s">
        <v>14</v>
      </c>
      <c r="D1119" s="33" t="s">
        <v>15</v>
      </c>
      <c r="E1119" s="33" t="s">
        <v>15</v>
      </c>
      <c r="F1119" s="33">
        <v>28</v>
      </c>
      <c r="G1119" s="34">
        <v>545</v>
      </c>
    </row>
    <row r="1120" spans="1:7" ht="15.75" x14ac:dyDescent="0.25">
      <c r="A1120" s="38">
        <v>3538</v>
      </c>
      <c r="B1120" s="33">
        <v>2404</v>
      </c>
      <c r="C1120" s="33" t="s">
        <v>14</v>
      </c>
      <c r="D1120" s="33" t="s">
        <v>15</v>
      </c>
      <c r="E1120" s="33" t="s">
        <v>15</v>
      </c>
      <c r="F1120" s="33">
        <v>42</v>
      </c>
      <c r="G1120" s="34">
        <v>579.09090909999998</v>
      </c>
    </row>
    <row r="1121" spans="1:7" ht="15.75" x14ac:dyDescent="0.25">
      <c r="A1121" s="38">
        <v>3538</v>
      </c>
      <c r="B1121" s="33">
        <v>2404</v>
      </c>
      <c r="C1121" s="33" t="s">
        <v>14</v>
      </c>
      <c r="D1121" s="33" t="s">
        <v>15</v>
      </c>
      <c r="E1121" s="33" t="s">
        <v>15</v>
      </c>
      <c r="F1121" s="33">
        <v>56</v>
      </c>
      <c r="G1121" s="34">
        <v>606.81818180000005</v>
      </c>
    </row>
    <row r="1122" spans="1:7" ht="15.75" x14ac:dyDescent="0.25">
      <c r="A1122" s="38">
        <v>3538</v>
      </c>
      <c r="B1122" s="33">
        <v>2404</v>
      </c>
      <c r="C1122" s="33" t="s">
        <v>14</v>
      </c>
      <c r="D1122" s="33" t="s">
        <v>15</v>
      </c>
      <c r="E1122" s="33" t="s">
        <v>15</v>
      </c>
      <c r="F1122" s="33">
        <v>70</v>
      </c>
      <c r="G1122" s="34">
        <v>660.90909090000002</v>
      </c>
    </row>
    <row r="1123" spans="1:7" ht="15.75" x14ac:dyDescent="0.25">
      <c r="A1123" s="38">
        <v>3542</v>
      </c>
      <c r="B1123" s="33">
        <v>2404</v>
      </c>
      <c r="C1123" s="33" t="s">
        <v>14</v>
      </c>
      <c r="D1123" s="33" t="s">
        <v>15</v>
      </c>
      <c r="E1123" s="33" t="s">
        <v>15</v>
      </c>
      <c r="F1123" s="33">
        <v>0</v>
      </c>
      <c r="G1123" s="38">
        <v>516.36363640000002</v>
      </c>
    </row>
    <row r="1124" spans="1:7" ht="15.75" x14ac:dyDescent="0.25">
      <c r="A1124" s="38">
        <v>3542</v>
      </c>
      <c r="B1124" s="33">
        <v>2404</v>
      </c>
      <c r="C1124" s="33" t="s">
        <v>14</v>
      </c>
      <c r="D1124" s="33" t="s">
        <v>15</v>
      </c>
      <c r="E1124" s="33" t="s">
        <v>15</v>
      </c>
      <c r="F1124" s="33">
        <v>14</v>
      </c>
      <c r="G1124" s="34">
        <v>536.36363640000002</v>
      </c>
    </row>
    <row r="1125" spans="1:7" ht="15.75" x14ac:dyDescent="0.25">
      <c r="A1125" s="38">
        <v>3542</v>
      </c>
      <c r="B1125" s="33">
        <v>2404</v>
      </c>
      <c r="C1125" s="33" t="s">
        <v>14</v>
      </c>
      <c r="D1125" s="33" t="s">
        <v>15</v>
      </c>
      <c r="E1125" s="33" t="s">
        <v>15</v>
      </c>
      <c r="F1125" s="33">
        <v>28</v>
      </c>
      <c r="G1125" s="34">
        <v>558.63636359999998</v>
      </c>
    </row>
    <row r="1126" spans="1:7" ht="15.75" x14ac:dyDescent="0.25">
      <c r="A1126" s="38">
        <v>3542</v>
      </c>
      <c r="B1126" s="33">
        <v>2404</v>
      </c>
      <c r="C1126" s="33" t="s">
        <v>14</v>
      </c>
      <c r="D1126" s="33" t="s">
        <v>15</v>
      </c>
      <c r="E1126" s="33" t="s">
        <v>15</v>
      </c>
      <c r="F1126" s="33">
        <v>42</v>
      </c>
      <c r="G1126" s="34">
        <v>582.27272730000004</v>
      </c>
    </row>
    <row r="1127" spans="1:7" ht="15.75" x14ac:dyDescent="0.25">
      <c r="A1127" s="38">
        <v>3542</v>
      </c>
      <c r="B1127" s="33">
        <v>2404</v>
      </c>
      <c r="C1127" s="33" t="s">
        <v>14</v>
      </c>
      <c r="D1127" s="33" t="s">
        <v>15</v>
      </c>
      <c r="E1127" s="33" t="s">
        <v>15</v>
      </c>
      <c r="F1127" s="33">
        <v>56</v>
      </c>
      <c r="G1127" s="34">
        <v>591.36363640000002</v>
      </c>
    </row>
    <row r="1128" spans="1:7" ht="15.75" x14ac:dyDescent="0.25">
      <c r="A1128" s="38">
        <v>3542</v>
      </c>
      <c r="B1128" s="33">
        <v>2404</v>
      </c>
      <c r="C1128" s="33" t="s">
        <v>14</v>
      </c>
      <c r="D1128" s="33" t="s">
        <v>15</v>
      </c>
      <c r="E1128" s="33" t="s">
        <v>15</v>
      </c>
      <c r="F1128" s="33">
        <v>70</v>
      </c>
      <c r="G1128" s="34">
        <v>605.45454549999999</v>
      </c>
    </row>
    <row r="1129" spans="1:7" ht="15.75" x14ac:dyDescent="0.25">
      <c r="A1129" s="38">
        <v>3545</v>
      </c>
      <c r="B1129" s="33">
        <v>2404</v>
      </c>
      <c r="C1129" s="33" t="s">
        <v>27</v>
      </c>
      <c r="D1129" s="33" t="s">
        <v>15</v>
      </c>
      <c r="E1129" s="33" t="s">
        <v>24</v>
      </c>
      <c r="F1129" s="33">
        <v>0</v>
      </c>
      <c r="G1129" s="38">
        <v>558.63636359999998</v>
      </c>
    </row>
    <row r="1130" spans="1:7" ht="15.75" x14ac:dyDescent="0.25">
      <c r="A1130" s="38">
        <v>3545</v>
      </c>
      <c r="B1130" s="33">
        <v>2404</v>
      </c>
      <c r="C1130" s="33" t="s">
        <v>27</v>
      </c>
      <c r="D1130" s="33" t="s">
        <v>15</v>
      </c>
      <c r="E1130" s="33" t="s">
        <v>24</v>
      </c>
      <c r="F1130" s="33">
        <v>14</v>
      </c>
      <c r="G1130" s="34">
        <v>574.54545450000001</v>
      </c>
    </row>
    <row r="1131" spans="1:7" ht="15.75" x14ac:dyDescent="0.25">
      <c r="A1131" s="38">
        <v>3545</v>
      </c>
      <c r="B1131" s="33">
        <v>2404</v>
      </c>
      <c r="C1131" s="33" t="s">
        <v>27</v>
      </c>
      <c r="D1131" s="33" t="s">
        <v>15</v>
      </c>
      <c r="E1131" s="33" t="s">
        <v>24</v>
      </c>
      <c r="F1131" s="33">
        <v>28</v>
      </c>
      <c r="G1131" s="34">
        <v>615.45454549999999</v>
      </c>
    </row>
    <row r="1132" spans="1:7" ht="15.75" x14ac:dyDescent="0.25">
      <c r="A1132" s="38">
        <v>3545</v>
      </c>
      <c r="B1132" s="33">
        <v>2404</v>
      </c>
      <c r="C1132" s="33" t="s">
        <v>27</v>
      </c>
      <c r="D1132" s="33" t="s">
        <v>15</v>
      </c>
      <c r="E1132" s="33" t="s">
        <v>24</v>
      </c>
      <c r="F1132" s="33">
        <v>42</v>
      </c>
      <c r="G1132" s="34">
        <v>613.18181819999995</v>
      </c>
    </row>
    <row r="1133" spans="1:7" ht="15.75" x14ac:dyDescent="0.25">
      <c r="A1133" s="38">
        <v>3545</v>
      </c>
      <c r="B1133" s="33">
        <v>2404</v>
      </c>
      <c r="C1133" s="33" t="s">
        <v>27</v>
      </c>
      <c r="D1133" s="33" t="s">
        <v>15</v>
      </c>
      <c r="E1133" s="33" t="s">
        <v>24</v>
      </c>
      <c r="F1133" s="33">
        <v>56</v>
      </c>
      <c r="G1133" s="34">
        <v>658.63636359999998</v>
      </c>
    </row>
    <row r="1134" spans="1:7" ht="15.75" x14ac:dyDescent="0.25">
      <c r="A1134" s="38">
        <v>3545</v>
      </c>
      <c r="B1134" s="33">
        <v>2404</v>
      </c>
      <c r="C1134" s="33" t="s">
        <v>27</v>
      </c>
      <c r="D1134" s="33" t="s">
        <v>15</v>
      </c>
      <c r="E1134" s="33" t="s">
        <v>24</v>
      </c>
      <c r="F1134" s="33">
        <v>70</v>
      </c>
      <c r="G1134" s="34">
        <v>683.63636359999998</v>
      </c>
    </row>
    <row r="1135" spans="1:7" ht="15.75" x14ac:dyDescent="0.25">
      <c r="A1135" s="38">
        <v>3546</v>
      </c>
      <c r="B1135" s="33">
        <v>2404</v>
      </c>
      <c r="C1135" s="33" t="s">
        <v>23</v>
      </c>
      <c r="D1135" s="33" t="s">
        <v>21</v>
      </c>
      <c r="E1135" s="33" t="s">
        <v>24</v>
      </c>
      <c r="F1135" s="33">
        <v>0</v>
      </c>
      <c r="G1135" s="38">
        <v>432.27272729999999</v>
      </c>
    </row>
    <row r="1136" spans="1:7" ht="15.75" x14ac:dyDescent="0.25">
      <c r="A1136" s="38">
        <v>3546</v>
      </c>
      <c r="B1136" s="33">
        <v>2404</v>
      </c>
      <c r="C1136" s="33" t="s">
        <v>23</v>
      </c>
      <c r="D1136" s="33" t="s">
        <v>21</v>
      </c>
      <c r="E1136" s="33" t="s">
        <v>24</v>
      </c>
      <c r="F1136" s="33">
        <v>14</v>
      </c>
      <c r="G1136" s="34">
        <v>440</v>
      </c>
    </row>
    <row r="1137" spans="1:7" ht="15.75" x14ac:dyDescent="0.25">
      <c r="A1137" s="38">
        <v>3546</v>
      </c>
      <c r="B1137" s="33">
        <v>2404</v>
      </c>
      <c r="C1137" s="33" t="s">
        <v>23</v>
      </c>
      <c r="D1137" s="33" t="s">
        <v>21</v>
      </c>
      <c r="E1137" s="33" t="s">
        <v>24</v>
      </c>
      <c r="F1137" s="33">
        <v>28</v>
      </c>
      <c r="G1137" s="34">
        <v>480</v>
      </c>
    </row>
    <row r="1138" spans="1:7" ht="15.75" x14ac:dyDescent="0.25">
      <c r="A1138" s="38">
        <v>3546</v>
      </c>
      <c r="B1138" s="33">
        <v>2404</v>
      </c>
      <c r="C1138" s="33" t="s">
        <v>23</v>
      </c>
      <c r="D1138" s="33" t="s">
        <v>21</v>
      </c>
      <c r="E1138" s="33" t="s">
        <v>24</v>
      </c>
      <c r="F1138" s="33">
        <v>42</v>
      </c>
      <c r="G1138" s="34">
        <v>505</v>
      </c>
    </row>
    <row r="1139" spans="1:7" ht="15.75" x14ac:dyDescent="0.25">
      <c r="A1139" s="38">
        <v>3546</v>
      </c>
      <c r="B1139" s="33">
        <v>2404</v>
      </c>
      <c r="C1139" s="33" t="s">
        <v>23</v>
      </c>
      <c r="D1139" s="33" t="s">
        <v>21</v>
      </c>
      <c r="E1139" s="33" t="s">
        <v>24</v>
      </c>
      <c r="F1139" s="33">
        <v>56</v>
      </c>
      <c r="G1139" s="34">
        <v>538.18181819999995</v>
      </c>
    </row>
    <row r="1140" spans="1:7" ht="15.75" x14ac:dyDescent="0.25">
      <c r="A1140" s="38">
        <v>3546</v>
      </c>
      <c r="B1140" s="33">
        <v>2404</v>
      </c>
      <c r="C1140" s="33" t="s">
        <v>23</v>
      </c>
      <c r="D1140" s="33" t="s">
        <v>21</v>
      </c>
      <c r="E1140" s="33" t="s">
        <v>24</v>
      </c>
      <c r="F1140" s="33">
        <v>70</v>
      </c>
      <c r="G1140" s="34">
        <v>559.09090909999998</v>
      </c>
    </row>
    <row r="1141" spans="1:7" ht="15.75" x14ac:dyDescent="0.25">
      <c r="A1141" s="38">
        <v>3553</v>
      </c>
      <c r="B1141" s="33">
        <v>2404</v>
      </c>
      <c r="C1141" s="33" t="s">
        <v>23</v>
      </c>
      <c r="D1141" s="33" t="s">
        <v>21</v>
      </c>
      <c r="E1141" s="33" t="s">
        <v>24</v>
      </c>
      <c r="F1141" s="33">
        <v>0</v>
      </c>
      <c r="G1141" s="38">
        <v>467.27272729999999</v>
      </c>
    </row>
    <row r="1142" spans="1:7" ht="15.75" x14ac:dyDescent="0.25">
      <c r="A1142" s="38">
        <v>3553</v>
      </c>
      <c r="B1142" s="33">
        <v>2404</v>
      </c>
      <c r="C1142" s="33" t="s">
        <v>23</v>
      </c>
      <c r="D1142" s="33" t="s">
        <v>21</v>
      </c>
      <c r="E1142" s="33" t="s">
        <v>24</v>
      </c>
      <c r="F1142" s="33">
        <v>14</v>
      </c>
      <c r="G1142" s="34">
        <v>488.63636359999998</v>
      </c>
    </row>
    <row r="1143" spans="1:7" ht="15.75" x14ac:dyDescent="0.25">
      <c r="A1143" s="38">
        <v>3553</v>
      </c>
      <c r="B1143" s="33">
        <v>2404</v>
      </c>
      <c r="C1143" s="33" t="s">
        <v>23</v>
      </c>
      <c r="D1143" s="33" t="s">
        <v>21</v>
      </c>
      <c r="E1143" s="33" t="s">
        <v>24</v>
      </c>
      <c r="F1143" s="33">
        <v>28</v>
      </c>
      <c r="G1143" s="34">
        <v>505.45454549999999</v>
      </c>
    </row>
    <row r="1144" spans="1:7" ht="15.75" x14ac:dyDescent="0.25">
      <c r="A1144" s="38">
        <v>3553</v>
      </c>
      <c r="B1144" s="33">
        <v>2404</v>
      </c>
      <c r="C1144" s="33" t="s">
        <v>23</v>
      </c>
      <c r="D1144" s="33" t="s">
        <v>21</v>
      </c>
      <c r="E1144" s="33" t="s">
        <v>24</v>
      </c>
      <c r="F1144" s="33">
        <v>42</v>
      </c>
      <c r="G1144" s="34">
        <v>540</v>
      </c>
    </row>
    <row r="1145" spans="1:7" ht="15.75" x14ac:dyDescent="0.25">
      <c r="A1145" s="38">
        <v>3553</v>
      </c>
      <c r="B1145" s="33">
        <v>2404</v>
      </c>
      <c r="C1145" s="33" t="s">
        <v>23</v>
      </c>
      <c r="D1145" s="33" t="s">
        <v>21</v>
      </c>
      <c r="E1145" s="33" t="s">
        <v>24</v>
      </c>
      <c r="F1145" s="33">
        <v>56</v>
      </c>
      <c r="G1145" s="34">
        <v>574.54545450000001</v>
      </c>
    </row>
    <row r="1146" spans="1:7" ht="15.75" x14ac:dyDescent="0.25">
      <c r="A1146" s="38">
        <v>3553</v>
      </c>
      <c r="B1146" s="33">
        <v>2404</v>
      </c>
      <c r="C1146" s="33" t="s">
        <v>23</v>
      </c>
      <c r="D1146" s="33" t="s">
        <v>21</v>
      </c>
      <c r="E1146" s="33" t="s">
        <v>24</v>
      </c>
      <c r="F1146" s="33">
        <v>70</v>
      </c>
      <c r="G1146" s="34">
        <v>619.54545450000001</v>
      </c>
    </row>
    <row r="1147" spans="1:7" ht="15.75" x14ac:dyDescent="0.25">
      <c r="A1147" s="38">
        <v>3554</v>
      </c>
      <c r="B1147" s="33">
        <v>2404</v>
      </c>
      <c r="C1147" s="33" t="s">
        <v>20</v>
      </c>
      <c r="D1147" s="33" t="s">
        <v>21</v>
      </c>
      <c r="E1147" s="33" t="s">
        <v>15</v>
      </c>
      <c r="F1147" s="33">
        <v>0</v>
      </c>
      <c r="G1147" s="38">
        <v>476.36363640000002</v>
      </c>
    </row>
    <row r="1148" spans="1:7" ht="15.75" x14ac:dyDescent="0.25">
      <c r="A1148" s="38">
        <v>3554</v>
      </c>
      <c r="B1148" s="33">
        <v>2404</v>
      </c>
      <c r="C1148" s="33" t="s">
        <v>20</v>
      </c>
      <c r="D1148" s="33" t="s">
        <v>21</v>
      </c>
      <c r="E1148" s="33" t="s">
        <v>15</v>
      </c>
      <c r="F1148" s="33">
        <v>14</v>
      </c>
      <c r="G1148" s="34">
        <v>497.72727270000001</v>
      </c>
    </row>
    <row r="1149" spans="1:7" ht="15.75" x14ac:dyDescent="0.25">
      <c r="A1149" s="38">
        <v>3554</v>
      </c>
      <c r="B1149" s="33">
        <v>2404</v>
      </c>
      <c r="C1149" s="33" t="s">
        <v>20</v>
      </c>
      <c r="D1149" s="33" t="s">
        <v>21</v>
      </c>
      <c r="E1149" s="33" t="s">
        <v>15</v>
      </c>
      <c r="F1149" s="33">
        <v>28</v>
      </c>
      <c r="G1149" s="34">
        <v>536.36363640000002</v>
      </c>
    </row>
    <row r="1150" spans="1:7" ht="15.75" x14ac:dyDescent="0.25">
      <c r="A1150" s="38">
        <v>3554</v>
      </c>
      <c r="B1150" s="33">
        <v>2404</v>
      </c>
      <c r="C1150" s="33" t="s">
        <v>20</v>
      </c>
      <c r="D1150" s="33" t="s">
        <v>21</v>
      </c>
      <c r="E1150" s="33" t="s">
        <v>15</v>
      </c>
      <c r="F1150" s="33">
        <v>42</v>
      </c>
      <c r="G1150" s="34">
        <v>557.72727269999996</v>
      </c>
    </row>
    <row r="1151" spans="1:7" ht="15.75" x14ac:dyDescent="0.25">
      <c r="A1151" s="38">
        <v>3554</v>
      </c>
      <c r="B1151" s="33">
        <v>2404</v>
      </c>
      <c r="C1151" s="33" t="s">
        <v>20</v>
      </c>
      <c r="D1151" s="33" t="s">
        <v>21</v>
      </c>
      <c r="E1151" s="33" t="s">
        <v>15</v>
      </c>
      <c r="F1151" s="33">
        <v>56</v>
      </c>
      <c r="G1151" s="34">
        <v>585.90909090000002</v>
      </c>
    </row>
    <row r="1152" spans="1:7" ht="15.75" x14ac:dyDescent="0.25">
      <c r="A1152" s="38">
        <v>3554</v>
      </c>
      <c r="B1152" s="33">
        <v>2404</v>
      </c>
      <c r="C1152" s="33" t="s">
        <v>20</v>
      </c>
      <c r="D1152" s="33" t="s">
        <v>21</v>
      </c>
      <c r="E1152" s="33" t="s">
        <v>15</v>
      </c>
      <c r="F1152" s="33">
        <v>70</v>
      </c>
      <c r="G1152" s="34">
        <v>625.45454549999999</v>
      </c>
    </row>
    <row r="1153" spans="1:7" ht="15.75" x14ac:dyDescent="0.25">
      <c r="A1153" s="38">
        <v>3557</v>
      </c>
      <c r="B1153" s="33">
        <v>2404</v>
      </c>
      <c r="C1153" s="33" t="s">
        <v>23</v>
      </c>
      <c r="D1153" s="33" t="s">
        <v>21</v>
      </c>
      <c r="E1153" s="33" t="s">
        <v>24</v>
      </c>
      <c r="F1153" s="33">
        <v>0</v>
      </c>
      <c r="G1153" s="38">
        <v>442.27272729999999</v>
      </c>
    </row>
    <row r="1154" spans="1:7" ht="15.75" x14ac:dyDescent="0.25">
      <c r="A1154" s="38">
        <v>3557</v>
      </c>
      <c r="B1154" s="33">
        <v>2404</v>
      </c>
      <c r="C1154" s="33" t="s">
        <v>23</v>
      </c>
      <c r="D1154" s="33" t="s">
        <v>21</v>
      </c>
      <c r="E1154" s="33" t="s">
        <v>24</v>
      </c>
      <c r="F1154" s="33">
        <v>14</v>
      </c>
      <c r="G1154" s="34">
        <v>472.27272729999999</v>
      </c>
    </row>
    <row r="1155" spans="1:7" ht="15.75" x14ac:dyDescent="0.25">
      <c r="A1155" s="38">
        <v>3557</v>
      </c>
      <c r="B1155" s="33">
        <v>2404</v>
      </c>
      <c r="C1155" s="33" t="s">
        <v>23</v>
      </c>
      <c r="D1155" s="33" t="s">
        <v>21</v>
      </c>
      <c r="E1155" s="33" t="s">
        <v>24</v>
      </c>
      <c r="F1155" s="33">
        <v>28</v>
      </c>
      <c r="G1155" s="34">
        <v>497.27272729999999</v>
      </c>
    </row>
    <row r="1156" spans="1:7" ht="15.75" x14ac:dyDescent="0.25">
      <c r="A1156" s="38">
        <v>3557</v>
      </c>
      <c r="B1156" s="33">
        <v>2404</v>
      </c>
      <c r="C1156" s="33" t="s">
        <v>23</v>
      </c>
      <c r="D1156" s="33" t="s">
        <v>21</v>
      </c>
      <c r="E1156" s="33" t="s">
        <v>24</v>
      </c>
      <c r="F1156" s="33">
        <v>42</v>
      </c>
      <c r="G1156" s="34">
        <v>525</v>
      </c>
    </row>
    <row r="1157" spans="1:7" ht="15.75" x14ac:dyDescent="0.25">
      <c r="A1157" s="38">
        <v>3557</v>
      </c>
      <c r="B1157" s="33">
        <v>2404</v>
      </c>
      <c r="C1157" s="33" t="s">
        <v>23</v>
      </c>
      <c r="D1157" s="33" t="s">
        <v>21</v>
      </c>
      <c r="E1157" s="33" t="s">
        <v>24</v>
      </c>
      <c r="F1157" s="33">
        <v>56</v>
      </c>
      <c r="G1157" s="34">
        <v>554.09090909999998</v>
      </c>
    </row>
    <row r="1158" spans="1:7" ht="15.75" x14ac:dyDescent="0.25">
      <c r="A1158" s="38">
        <v>3557</v>
      </c>
      <c r="B1158" s="33">
        <v>2404</v>
      </c>
      <c r="C1158" s="33" t="s">
        <v>23</v>
      </c>
      <c r="D1158" s="33" t="s">
        <v>21</v>
      </c>
      <c r="E1158" s="33" t="s">
        <v>24</v>
      </c>
      <c r="F1158" s="33">
        <v>70</v>
      </c>
      <c r="G1158" s="34">
        <v>597.27272730000004</v>
      </c>
    </row>
    <row r="1159" spans="1:7" ht="15.75" x14ac:dyDescent="0.25">
      <c r="A1159" s="38">
        <v>3558</v>
      </c>
      <c r="B1159" s="33">
        <v>2404</v>
      </c>
      <c r="C1159" s="33" t="s">
        <v>14</v>
      </c>
      <c r="D1159" s="33" t="s">
        <v>15</v>
      </c>
      <c r="E1159" s="33" t="s">
        <v>15</v>
      </c>
      <c r="F1159" s="33">
        <v>0</v>
      </c>
      <c r="G1159" s="38">
        <v>495.45454549999999</v>
      </c>
    </row>
    <row r="1160" spans="1:7" ht="15.75" x14ac:dyDescent="0.25">
      <c r="A1160" s="38">
        <v>3558</v>
      </c>
      <c r="B1160" s="33">
        <v>2404</v>
      </c>
      <c r="C1160" s="33" t="s">
        <v>14</v>
      </c>
      <c r="D1160" s="33" t="s">
        <v>15</v>
      </c>
      <c r="E1160" s="33" t="s">
        <v>15</v>
      </c>
      <c r="F1160" s="33">
        <v>14</v>
      </c>
      <c r="G1160" s="34">
        <v>505</v>
      </c>
    </row>
    <row r="1161" spans="1:7" ht="15.75" x14ac:dyDescent="0.25">
      <c r="A1161" s="38">
        <v>3558</v>
      </c>
      <c r="B1161" s="33">
        <v>2404</v>
      </c>
      <c r="C1161" s="33" t="s">
        <v>14</v>
      </c>
      <c r="D1161" s="33" t="s">
        <v>15</v>
      </c>
      <c r="E1161" s="33" t="s">
        <v>15</v>
      </c>
      <c r="F1161" s="33">
        <v>28</v>
      </c>
      <c r="G1161" s="34">
        <v>532.27272730000004</v>
      </c>
    </row>
    <row r="1162" spans="1:7" ht="15.75" x14ac:dyDescent="0.25">
      <c r="A1162" s="38">
        <v>3558</v>
      </c>
      <c r="B1162" s="33">
        <v>2404</v>
      </c>
      <c r="C1162" s="33" t="s">
        <v>14</v>
      </c>
      <c r="D1162" s="33" t="s">
        <v>15</v>
      </c>
      <c r="E1162" s="33" t="s">
        <v>15</v>
      </c>
      <c r="F1162" s="33">
        <v>42</v>
      </c>
      <c r="G1162" s="34">
        <v>572.72727269999996</v>
      </c>
    </row>
    <row r="1163" spans="1:7" ht="15.75" x14ac:dyDescent="0.25">
      <c r="A1163" s="38">
        <v>3558</v>
      </c>
      <c r="B1163" s="33">
        <v>2404</v>
      </c>
      <c r="C1163" s="33" t="s">
        <v>14</v>
      </c>
      <c r="D1163" s="33" t="s">
        <v>15</v>
      </c>
      <c r="E1163" s="33" t="s">
        <v>15</v>
      </c>
      <c r="F1163" s="33">
        <v>56</v>
      </c>
      <c r="G1163" s="34">
        <v>597.27272730000004</v>
      </c>
    </row>
    <row r="1164" spans="1:7" ht="15.75" x14ac:dyDescent="0.25">
      <c r="A1164" s="38">
        <v>3558</v>
      </c>
      <c r="B1164" s="33">
        <v>2404</v>
      </c>
      <c r="C1164" s="33" t="s">
        <v>14</v>
      </c>
      <c r="D1164" s="33" t="s">
        <v>15</v>
      </c>
      <c r="E1164" s="33" t="s">
        <v>15</v>
      </c>
      <c r="F1164" s="33">
        <v>70</v>
      </c>
      <c r="G1164" s="34">
        <v>590.45454549999999</v>
      </c>
    </row>
    <row r="1165" spans="1:7" ht="15.75" x14ac:dyDescent="0.25">
      <c r="A1165" s="38">
        <v>3559</v>
      </c>
      <c r="B1165" s="33">
        <v>2404</v>
      </c>
      <c r="C1165" s="33" t="s">
        <v>20</v>
      </c>
      <c r="D1165" s="33" t="s">
        <v>21</v>
      </c>
      <c r="E1165" s="33" t="s">
        <v>15</v>
      </c>
      <c r="F1165" s="33">
        <v>0</v>
      </c>
      <c r="G1165" s="38">
        <v>453.63636359999998</v>
      </c>
    </row>
    <row r="1166" spans="1:7" ht="15.75" x14ac:dyDescent="0.25">
      <c r="A1166" s="38">
        <v>3559</v>
      </c>
      <c r="B1166" s="33">
        <v>2404</v>
      </c>
      <c r="C1166" s="33" t="s">
        <v>20</v>
      </c>
      <c r="D1166" s="33" t="s">
        <v>21</v>
      </c>
      <c r="E1166" s="33" t="s">
        <v>15</v>
      </c>
      <c r="F1166" s="33">
        <v>14</v>
      </c>
      <c r="G1166" s="34">
        <v>462.72727270000001</v>
      </c>
    </row>
    <row r="1167" spans="1:7" ht="15.75" x14ac:dyDescent="0.25">
      <c r="A1167" s="38">
        <v>3559</v>
      </c>
      <c r="B1167" s="33">
        <v>2404</v>
      </c>
      <c r="C1167" s="33" t="s">
        <v>20</v>
      </c>
      <c r="D1167" s="33" t="s">
        <v>21</v>
      </c>
      <c r="E1167" s="33" t="s">
        <v>15</v>
      </c>
      <c r="F1167" s="33">
        <v>28</v>
      </c>
      <c r="G1167" s="34">
        <v>484.54545450000001</v>
      </c>
    </row>
    <row r="1168" spans="1:7" ht="15.75" x14ac:dyDescent="0.25">
      <c r="A1168" s="38">
        <v>3559</v>
      </c>
      <c r="B1168" s="33">
        <v>2404</v>
      </c>
      <c r="C1168" s="33" t="s">
        <v>20</v>
      </c>
      <c r="D1168" s="33" t="s">
        <v>21</v>
      </c>
      <c r="E1168" s="33" t="s">
        <v>15</v>
      </c>
      <c r="F1168" s="33">
        <v>42</v>
      </c>
      <c r="G1168" s="34">
        <v>515.90909090000002</v>
      </c>
    </row>
    <row r="1169" spans="1:7" ht="15.75" x14ac:dyDescent="0.25">
      <c r="A1169" s="38">
        <v>3559</v>
      </c>
      <c r="B1169" s="33">
        <v>2404</v>
      </c>
      <c r="C1169" s="33" t="s">
        <v>20</v>
      </c>
      <c r="D1169" s="33" t="s">
        <v>21</v>
      </c>
      <c r="E1169" s="33" t="s">
        <v>15</v>
      </c>
      <c r="F1169" s="33">
        <v>56</v>
      </c>
      <c r="G1169" s="34">
        <v>542.27272730000004</v>
      </c>
    </row>
    <row r="1170" spans="1:7" ht="15.75" x14ac:dyDescent="0.25">
      <c r="A1170" s="38">
        <v>3559</v>
      </c>
      <c r="B1170" s="33">
        <v>2404</v>
      </c>
      <c r="C1170" s="33" t="s">
        <v>20</v>
      </c>
      <c r="D1170" s="33" t="s">
        <v>21</v>
      </c>
      <c r="E1170" s="33" t="s">
        <v>15</v>
      </c>
      <c r="F1170" s="33">
        <v>70</v>
      </c>
      <c r="G1170" s="34">
        <v>570.90909090000002</v>
      </c>
    </row>
    <row r="1171" spans="1:7" ht="15.75" x14ac:dyDescent="0.25">
      <c r="A1171" s="38">
        <v>3568</v>
      </c>
      <c r="B1171" s="33">
        <v>2404</v>
      </c>
      <c r="C1171" s="33" t="s">
        <v>27</v>
      </c>
      <c r="D1171" s="33" t="s">
        <v>15</v>
      </c>
      <c r="E1171" s="33" t="s">
        <v>24</v>
      </c>
      <c r="F1171" s="33">
        <v>0</v>
      </c>
      <c r="G1171" s="38">
        <v>498.63636359999998</v>
      </c>
    </row>
    <row r="1172" spans="1:7" ht="15.75" x14ac:dyDescent="0.25">
      <c r="A1172" s="38">
        <v>3568</v>
      </c>
      <c r="B1172" s="33">
        <v>2404</v>
      </c>
      <c r="C1172" s="33" t="s">
        <v>27</v>
      </c>
      <c r="D1172" s="33" t="s">
        <v>15</v>
      </c>
      <c r="E1172" s="33" t="s">
        <v>24</v>
      </c>
      <c r="F1172" s="33">
        <v>14</v>
      </c>
      <c r="G1172" s="34">
        <v>524.54545450000001</v>
      </c>
    </row>
    <row r="1173" spans="1:7" ht="15.75" x14ac:dyDescent="0.25">
      <c r="A1173" s="38">
        <v>3568</v>
      </c>
      <c r="B1173" s="33">
        <v>2404</v>
      </c>
      <c r="C1173" s="33" t="s">
        <v>27</v>
      </c>
      <c r="D1173" s="33" t="s">
        <v>15</v>
      </c>
      <c r="E1173" s="33" t="s">
        <v>24</v>
      </c>
      <c r="F1173" s="33">
        <v>28</v>
      </c>
      <c r="G1173" s="34">
        <v>550.90909090000002</v>
      </c>
    </row>
    <row r="1174" spans="1:7" ht="15.75" x14ac:dyDescent="0.25">
      <c r="A1174" s="38">
        <v>3568</v>
      </c>
      <c r="B1174" s="33">
        <v>2404</v>
      </c>
      <c r="C1174" s="33" t="s">
        <v>27</v>
      </c>
      <c r="D1174" s="33" t="s">
        <v>15</v>
      </c>
      <c r="E1174" s="33" t="s">
        <v>24</v>
      </c>
      <c r="F1174" s="33">
        <v>42</v>
      </c>
      <c r="G1174" s="34">
        <v>568.18181819999995</v>
      </c>
    </row>
    <row r="1175" spans="1:7" ht="15.75" x14ac:dyDescent="0.25">
      <c r="A1175" s="38">
        <v>3568</v>
      </c>
      <c r="B1175" s="33">
        <v>2404</v>
      </c>
      <c r="C1175" s="33" t="s">
        <v>27</v>
      </c>
      <c r="D1175" s="33" t="s">
        <v>15</v>
      </c>
      <c r="E1175" s="33" t="s">
        <v>24</v>
      </c>
      <c r="F1175" s="33">
        <v>56</v>
      </c>
      <c r="G1175" s="34">
        <v>569.54545450000001</v>
      </c>
    </row>
    <row r="1176" spans="1:7" ht="15.75" x14ac:dyDescent="0.25">
      <c r="A1176" s="38">
        <v>3568</v>
      </c>
      <c r="B1176" s="33">
        <v>2404</v>
      </c>
      <c r="C1176" s="33" t="s">
        <v>27</v>
      </c>
      <c r="D1176" s="33" t="s">
        <v>15</v>
      </c>
      <c r="E1176" s="33" t="s">
        <v>24</v>
      </c>
      <c r="F1176" s="33">
        <v>70</v>
      </c>
      <c r="G1176" s="34">
        <v>628.18181819999995</v>
      </c>
    </row>
    <row r="1177" spans="1:7" ht="15.75" x14ac:dyDescent="0.25">
      <c r="A1177" s="38">
        <v>3570</v>
      </c>
      <c r="B1177" s="33">
        <v>2404</v>
      </c>
      <c r="C1177" s="33" t="s">
        <v>23</v>
      </c>
      <c r="D1177" s="33" t="s">
        <v>21</v>
      </c>
      <c r="E1177" s="33" t="s">
        <v>24</v>
      </c>
      <c r="F1177" s="33">
        <v>0</v>
      </c>
      <c r="G1177" s="38">
        <v>432.72727270000001</v>
      </c>
    </row>
    <row r="1178" spans="1:7" ht="15.75" x14ac:dyDescent="0.25">
      <c r="A1178" s="38">
        <v>3570</v>
      </c>
      <c r="B1178" s="33">
        <v>2404</v>
      </c>
      <c r="C1178" s="33" t="s">
        <v>23</v>
      </c>
      <c r="D1178" s="33" t="s">
        <v>21</v>
      </c>
      <c r="E1178" s="33" t="s">
        <v>24</v>
      </c>
      <c r="F1178" s="33">
        <v>14</v>
      </c>
      <c r="G1178" s="34">
        <v>460</v>
      </c>
    </row>
    <row r="1179" spans="1:7" ht="15.75" x14ac:dyDescent="0.25">
      <c r="A1179" s="38">
        <v>3570</v>
      </c>
      <c r="B1179" s="33">
        <v>2404</v>
      </c>
      <c r="C1179" s="33" t="s">
        <v>23</v>
      </c>
      <c r="D1179" s="33" t="s">
        <v>21</v>
      </c>
      <c r="E1179" s="33" t="s">
        <v>24</v>
      </c>
      <c r="F1179" s="33">
        <v>28</v>
      </c>
      <c r="G1179" s="34">
        <v>475.45454549999999</v>
      </c>
    </row>
    <row r="1180" spans="1:7" ht="15.75" x14ac:dyDescent="0.25">
      <c r="A1180" s="38">
        <v>3570</v>
      </c>
      <c r="B1180" s="33">
        <v>2404</v>
      </c>
      <c r="C1180" s="33" t="s">
        <v>23</v>
      </c>
      <c r="D1180" s="33" t="s">
        <v>21</v>
      </c>
      <c r="E1180" s="33" t="s">
        <v>24</v>
      </c>
      <c r="F1180" s="33">
        <v>42</v>
      </c>
      <c r="G1180" s="34">
        <v>475</v>
      </c>
    </row>
    <row r="1181" spans="1:7" ht="15.75" x14ac:dyDescent="0.25">
      <c r="A1181" s="38">
        <v>3570</v>
      </c>
      <c r="B1181" s="33">
        <v>2404</v>
      </c>
      <c r="C1181" s="33" t="s">
        <v>23</v>
      </c>
      <c r="D1181" s="33" t="s">
        <v>21</v>
      </c>
      <c r="E1181" s="33" t="s">
        <v>24</v>
      </c>
      <c r="F1181" s="33">
        <v>56</v>
      </c>
      <c r="G1181" s="34">
        <v>492.27272729999999</v>
      </c>
    </row>
    <row r="1182" spans="1:7" ht="15.75" x14ac:dyDescent="0.25">
      <c r="A1182" s="38">
        <v>3570</v>
      </c>
      <c r="B1182" s="33">
        <v>2404</v>
      </c>
      <c r="C1182" s="33" t="s">
        <v>23</v>
      </c>
      <c r="D1182" s="33" t="s">
        <v>21</v>
      </c>
      <c r="E1182" s="33" t="s">
        <v>24</v>
      </c>
      <c r="F1182" s="33">
        <v>70</v>
      </c>
      <c r="G1182" s="34">
        <v>510.90909090000002</v>
      </c>
    </row>
    <row r="1183" spans="1:7" ht="15.75" x14ac:dyDescent="0.25">
      <c r="A1183" s="38">
        <v>3571</v>
      </c>
      <c r="B1183" s="33">
        <v>2404</v>
      </c>
      <c r="C1183" s="33" t="s">
        <v>20</v>
      </c>
      <c r="D1183" s="33" t="s">
        <v>21</v>
      </c>
      <c r="E1183" s="33" t="s">
        <v>15</v>
      </c>
      <c r="F1183" s="33">
        <v>0</v>
      </c>
      <c r="G1183" s="38">
        <v>458.18181820000001</v>
      </c>
    </row>
    <row r="1184" spans="1:7" ht="15.75" x14ac:dyDescent="0.25">
      <c r="A1184" s="38">
        <v>3571</v>
      </c>
      <c r="B1184" s="33">
        <v>2404</v>
      </c>
      <c r="C1184" s="33" t="s">
        <v>20</v>
      </c>
      <c r="D1184" s="33" t="s">
        <v>21</v>
      </c>
      <c r="E1184" s="33" t="s">
        <v>15</v>
      </c>
      <c r="F1184" s="33">
        <v>14</v>
      </c>
      <c r="G1184" s="34">
        <v>501.81818179999999</v>
      </c>
    </row>
    <row r="1185" spans="1:7" ht="15.75" x14ac:dyDescent="0.25">
      <c r="A1185" s="38">
        <v>3571</v>
      </c>
      <c r="B1185" s="33">
        <v>2404</v>
      </c>
      <c r="C1185" s="33" t="s">
        <v>20</v>
      </c>
      <c r="D1185" s="33" t="s">
        <v>21</v>
      </c>
      <c r="E1185" s="33" t="s">
        <v>15</v>
      </c>
      <c r="F1185" s="33">
        <v>28</v>
      </c>
      <c r="G1185" s="34">
        <v>521.81818180000005</v>
      </c>
    </row>
    <row r="1186" spans="1:7" ht="15.75" x14ac:dyDescent="0.25">
      <c r="A1186" s="38">
        <v>3571</v>
      </c>
      <c r="B1186" s="33">
        <v>2404</v>
      </c>
      <c r="C1186" s="33" t="s">
        <v>20</v>
      </c>
      <c r="D1186" s="33" t="s">
        <v>21</v>
      </c>
      <c r="E1186" s="33" t="s">
        <v>15</v>
      </c>
      <c r="F1186" s="33">
        <v>42</v>
      </c>
      <c r="G1186" s="34">
        <v>547.72727269999996</v>
      </c>
    </row>
    <row r="1187" spans="1:7" ht="15.75" x14ac:dyDescent="0.25">
      <c r="A1187" s="38">
        <v>3571</v>
      </c>
      <c r="B1187" s="33">
        <v>2404</v>
      </c>
      <c r="C1187" s="33" t="s">
        <v>20</v>
      </c>
      <c r="D1187" s="33" t="s">
        <v>21</v>
      </c>
      <c r="E1187" s="33" t="s">
        <v>15</v>
      </c>
      <c r="F1187" s="33">
        <v>56</v>
      </c>
      <c r="G1187" s="34">
        <v>579.09090909999998</v>
      </c>
    </row>
    <row r="1188" spans="1:7" ht="15.75" x14ac:dyDescent="0.25">
      <c r="A1188" s="38">
        <v>3571</v>
      </c>
      <c r="B1188" s="33">
        <v>2404</v>
      </c>
      <c r="C1188" s="33" t="s">
        <v>20</v>
      </c>
      <c r="D1188" s="33" t="s">
        <v>21</v>
      </c>
      <c r="E1188" s="33" t="s">
        <v>15</v>
      </c>
      <c r="F1188" s="33">
        <v>70</v>
      </c>
      <c r="G1188" s="34">
        <v>605.90909090000002</v>
      </c>
    </row>
    <row r="1189" spans="1:7" ht="15.75" x14ac:dyDescent="0.25">
      <c r="A1189" s="38">
        <v>3575</v>
      </c>
      <c r="B1189" s="33">
        <v>2404</v>
      </c>
      <c r="C1189" s="33" t="s">
        <v>27</v>
      </c>
      <c r="D1189" s="33" t="s">
        <v>15</v>
      </c>
      <c r="E1189" s="33" t="s">
        <v>24</v>
      </c>
      <c r="F1189" s="33">
        <v>0</v>
      </c>
      <c r="G1189" s="38">
        <v>498.63636359999998</v>
      </c>
    </row>
    <row r="1190" spans="1:7" ht="15.75" x14ac:dyDescent="0.25">
      <c r="A1190" s="38">
        <v>3575</v>
      </c>
      <c r="B1190" s="33">
        <v>2404</v>
      </c>
      <c r="C1190" s="33" t="s">
        <v>27</v>
      </c>
      <c r="D1190" s="33" t="s">
        <v>15</v>
      </c>
      <c r="E1190" s="33" t="s">
        <v>24</v>
      </c>
      <c r="F1190" s="33">
        <v>14</v>
      </c>
      <c r="G1190" s="34">
        <v>519.09090909999998</v>
      </c>
    </row>
    <row r="1191" spans="1:7" ht="15.75" x14ac:dyDescent="0.25">
      <c r="A1191" s="38">
        <v>3575</v>
      </c>
      <c r="B1191" s="33">
        <v>2404</v>
      </c>
      <c r="C1191" s="33" t="s">
        <v>27</v>
      </c>
      <c r="D1191" s="33" t="s">
        <v>15</v>
      </c>
      <c r="E1191" s="33" t="s">
        <v>24</v>
      </c>
      <c r="F1191" s="33">
        <v>28</v>
      </c>
      <c r="G1191" s="34">
        <v>548.63636359999998</v>
      </c>
    </row>
    <row r="1192" spans="1:7" ht="15.75" x14ac:dyDescent="0.25">
      <c r="A1192" s="38">
        <v>3575</v>
      </c>
      <c r="B1192" s="33">
        <v>2404</v>
      </c>
      <c r="C1192" s="33" t="s">
        <v>27</v>
      </c>
      <c r="D1192" s="33" t="s">
        <v>15</v>
      </c>
      <c r="E1192" s="33" t="s">
        <v>24</v>
      </c>
      <c r="F1192" s="33">
        <v>42</v>
      </c>
      <c r="G1192" s="34">
        <v>566.81818180000005</v>
      </c>
    </row>
    <row r="1193" spans="1:7" ht="15.75" x14ac:dyDescent="0.25">
      <c r="A1193" s="38">
        <v>3575</v>
      </c>
      <c r="B1193" s="33">
        <v>2404</v>
      </c>
      <c r="C1193" s="33" t="s">
        <v>27</v>
      </c>
      <c r="D1193" s="33" t="s">
        <v>15</v>
      </c>
      <c r="E1193" s="33" t="s">
        <v>24</v>
      </c>
      <c r="F1193" s="33">
        <v>56</v>
      </c>
      <c r="G1193" s="34">
        <v>578.63636359999998</v>
      </c>
    </row>
    <row r="1194" spans="1:7" ht="15.75" x14ac:dyDescent="0.25">
      <c r="A1194" s="38">
        <v>3575</v>
      </c>
      <c r="B1194" s="33">
        <v>2404</v>
      </c>
      <c r="C1194" s="33" t="s">
        <v>27</v>
      </c>
      <c r="D1194" s="33" t="s">
        <v>15</v>
      </c>
      <c r="E1194" s="33" t="s">
        <v>24</v>
      </c>
      <c r="F1194" s="33">
        <v>70</v>
      </c>
      <c r="G1194" s="34">
        <v>614.09090909999998</v>
      </c>
    </row>
    <row r="1195" spans="1:7" ht="15.75" x14ac:dyDescent="0.25">
      <c r="A1195" s="38">
        <v>3580</v>
      </c>
      <c r="B1195" s="33">
        <v>2404</v>
      </c>
      <c r="C1195" s="33" t="s">
        <v>20</v>
      </c>
      <c r="D1195" s="33" t="s">
        <v>21</v>
      </c>
      <c r="E1195" s="33" t="s">
        <v>15</v>
      </c>
      <c r="F1195" s="33">
        <v>0</v>
      </c>
      <c r="G1195" s="38">
        <v>401.81818179999999</v>
      </c>
    </row>
    <row r="1196" spans="1:7" ht="15.75" x14ac:dyDescent="0.25">
      <c r="A1196" s="38">
        <v>3580</v>
      </c>
      <c r="B1196" s="33">
        <v>2404</v>
      </c>
      <c r="C1196" s="33" t="s">
        <v>20</v>
      </c>
      <c r="D1196" s="33" t="s">
        <v>21</v>
      </c>
      <c r="E1196" s="33" t="s">
        <v>15</v>
      </c>
      <c r="F1196" s="33">
        <v>14</v>
      </c>
      <c r="G1196" s="34">
        <v>432.72727270000001</v>
      </c>
    </row>
    <row r="1197" spans="1:7" ht="15.75" x14ac:dyDescent="0.25">
      <c r="A1197" s="38">
        <v>3580</v>
      </c>
      <c r="B1197" s="33">
        <v>2404</v>
      </c>
      <c r="C1197" s="33" t="s">
        <v>20</v>
      </c>
      <c r="D1197" s="33" t="s">
        <v>21</v>
      </c>
      <c r="E1197" s="33" t="s">
        <v>15</v>
      </c>
      <c r="F1197" s="33">
        <v>28</v>
      </c>
      <c r="G1197" s="34">
        <v>451.81818179999999</v>
      </c>
    </row>
    <row r="1198" spans="1:7" ht="15.75" x14ac:dyDescent="0.25">
      <c r="A1198" s="38">
        <v>3580</v>
      </c>
      <c r="B1198" s="33">
        <v>2404</v>
      </c>
      <c r="C1198" s="33" t="s">
        <v>20</v>
      </c>
      <c r="D1198" s="33" t="s">
        <v>21</v>
      </c>
      <c r="E1198" s="33" t="s">
        <v>15</v>
      </c>
      <c r="F1198" s="33">
        <v>42</v>
      </c>
      <c r="G1198" s="34">
        <v>476.81818179999999</v>
      </c>
    </row>
    <row r="1199" spans="1:7" ht="15.75" x14ac:dyDescent="0.25">
      <c r="A1199" s="38">
        <v>3580</v>
      </c>
      <c r="B1199" s="33">
        <v>2404</v>
      </c>
      <c r="C1199" s="33" t="s">
        <v>20</v>
      </c>
      <c r="D1199" s="33" t="s">
        <v>21</v>
      </c>
      <c r="E1199" s="33" t="s">
        <v>15</v>
      </c>
      <c r="F1199" s="33">
        <v>56</v>
      </c>
      <c r="G1199" s="34">
        <v>505.90909090000002</v>
      </c>
    </row>
    <row r="1200" spans="1:7" ht="15.75" x14ac:dyDescent="0.25">
      <c r="A1200" s="38">
        <v>3580</v>
      </c>
      <c r="B1200" s="33">
        <v>2404</v>
      </c>
      <c r="C1200" s="33" t="s">
        <v>20</v>
      </c>
      <c r="D1200" s="33" t="s">
        <v>21</v>
      </c>
      <c r="E1200" s="33" t="s">
        <v>15</v>
      </c>
      <c r="F1200" s="33">
        <v>70</v>
      </c>
      <c r="G1200" s="34">
        <v>544.09090909999998</v>
      </c>
    </row>
    <row r="1201" spans="1:7" ht="15.75" x14ac:dyDescent="0.25">
      <c r="A1201" s="38">
        <v>3581</v>
      </c>
      <c r="B1201" s="33">
        <v>2404</v>
      </c>
      <c r="C1201" s="33" t="s">
        <v>20</v>
      </c>
      <c r="D1201" s="33" t="s">
        <v>21</v>
      </c>
      <c r="E1201" s="33" t="s">
        <v>15</v>
      </c>
      <c r="F1201" s="33">
        <v>0</v>
      </c>
      <c r="G1201" s="38">
        <v>460.45454549999999</v>
      </c>
    </row>
    <row r="1202" spans="1:7" ht="15.75" x14ac:dyDescent="0.25">
      <c r="A1202" s="38">
        <v>3581</v>
      </c>
      <c r="B1202" s="33">
        <v>2404</v>
      </c>
      <c r="C1202" s="33" t="s">
        <v>20</v>
      </c>
      <c r="D1202" s="33" t="s">
        <v>21</v>
      </c>
      <c r="E1202" s="33" t="s">
        <v>15</v>
      </c>
      <c r="F1202" s="33">
        <v>14</v>
      </c>
      <c r="G1202" s="34">
        <v>491.36363640000002</v>
      </c>
    </row>
    <row r="1203" spans="1:7" ht="15.75" x14ac:dyDescent="0.25">
      <c r="A1203" s="38">
        <v>3581</v>
      </c>
      <c r="B1203" s="33">
        <v>2404</v>
      </c>
      <c r="C1203" s="33" t="s">
        <v>20</v>
      </c>
      <c r="D1203" s="33" t="s">
        <v>21</v>
      </c>
      <c r="E1203" s="33" t="s">
        <v>15</v>
      </c>
      <c r="F1203" s="33">
        <v>28</v>
      </c>
      <c r="G1203" s="34">
        <v>518.63636359999998</v>
      </c>
    </row>
    <row r="1204" spans="1:7" ht="15.75" x14ac:dyDescent="0.25">
      <c r="A1204" s="38">
        <v>3581</v>
      </c>
      <c r="B1204" s="33">
        <v>2404</v>
      </c>
      <c r="C1204" s="33" t="s">
        <v>20</v>
      </c>
      <c r="D1204" s="33" t="s">
        <v>21</v>
      </c>
      <c r="E1204" s="33" t="s">
        <v>15</v>
      </c>
      <c r="F1204" s="33">
        <v>42</v>
      </c>
      <c r="G1204" s="34">
        <v>542.72727269999996</v>
      </c>
    </row>
    <row r="1205" spans="1:7" ht="15.75" x14ac:dyDescent="0.25">
      <c r="A1205" s="38">
        <v>3581</v>
      </c>
      <c r="B1205" s="33">
        <v>2404</v>
      </c>
      <c r="C1205" s="33" t="s">
        <v>20</v>
      </c>
      <c r="D1205" s="33" t="s">
        <v>21</v>
      </c>
      <c r="E1205" s="33" t="s">
        <v>15</v>
      </c>
      <c r="F1205" s="33">
        <v>56</v>
      </c>
      <c r="G1205" s="34">
        <v>574.09090909999998</v>
      </c>
    </row>
    <row r="1206" spans="1:7" ht="15.75" x14ac:dyDescent="0.25">
      <c r="A1206" s="38">
        <v>3581</v>
      </c>
      <c r="B1206" s="33">
        <v>2404</v>
      </c>
      <c r="C1206" s="33" t="s">
        <v>20</v>
      </c>
      <c r="D1206" s="33" t="s">
        <v>21</v>
      </c>
      <c r="E1206" s="33" t="s">
        <v>15</v>
      </c>
      <c r="F1206" s="33">
        <v>70</v>
      </c>
      <c r="G1206" s="34">
        <v>604.54545450000001</v>
      </c>
    </row>
    <row r="1207" spans="1:7" ht="15.75" x14ac:dyDescent="0.25">
      <c r="A1207" s="38">
        <v>3584</v>
      </c>
      <c r="B1207" s="33">
        <v>2404</v>
      </c>
      <c r="C1207" s="33" t="s">
        <v>20</v>
      </c>
      <c r="D1207" s="33" t="s">
        <v>21</v>
      </c>
      <c r="E1207" s="33" t="s">
        <v>15</v>
      </c>
      <c r="F1207" s="33">
        <v>0</v>
      </c>
      <c r="G1207" s="38">
        <v>499.09090909999998</v>
      </c>
    </row>
    <row r="1208" spans="1:7" ht="15.75" x14ac:dyDescent="0.25">
      <c r="A1208" s="38">
        <v>3584</v>
      </c>
      <c r="B1208" s="33">
        <v>2404</v>
      </c>
      <c r="C1208" s="33" t="s">
        <v>20</v>
      </c>
      <c r="D1208" s="33" t="s">
        <v>21</v>
      </c>
      <c r="E1208" s="33" t="s">
        <v>15</v>
      </c>
      <c r="F1208" s="33">
        <v>14</v>
      </c>
      <c r="G1208" s="34">
        <v>520.45454549999999</v>
      </c>
    </row>
    <row r="1209" spans="1:7" ht="15.75" x14ac:dyDescent="0.25">
      <c r="A1209" s="38">
        <v>3584</v>
      </c>
      <c r="B1209" s="33">
        <v>2404</v>
      </c>
      <c r="C1209" s="33" t="s">
        <v>20</v>
      </c>
      <c r="D1209" s="33" t="s">
        <v>21</v>
      </c>
      <c r="E1209" s="33" t="s">
        <v>15</v>
      </c>
      <c r="F1209" s="33">
        <v>28</v>
      </c>
      <c r="G1209" s="34">
        <v>548.18181819999995</v>
      </c>
    </row>
    <row r="1210" spans="1:7" ht="15.75" x14ac:dyDescent="0.25">
      <c r="A1210" s="38">
        <v>3584</v>
      </c>
      <c r="B1210" s="33">
        <v>2404</v>
      </c>
      <c r="C1210" s="33" t="s">
        <v>20</v>
      </c>
      <c r="D1210" s="33" t="s">
        <v>21</v>
      </c>
      <c r="E1210" s="33" t="s">
        <v>15</v>
      </c>
      <c r="F1210" s="33">
        <v>42</v>
      </c>
      <c r="G1210" s="34">
        <v>560.90909090000002</v>
      </c>
    </row>
    <row r="1211" spans="1:7" ht="15.75" x14ac:dyDescent="0.25">
      <c r="A1211" s="38">
        <v>3584</v>
      </c>
      <c r="B1211" s="33">
        <v>2404</v>
      </c>
      <c r="C1211" s="33" t="s">
        <v>20</v>
      </c>
      <c r="D1211" s="33" t="s">
        <v>21</v>
      </c>
      <c r="E1211" s="33" t="s">
        <v>15</v>
      </c>
      <c r="F1211" s="33">
        <v>56</v>
      </c>
      <c r="G1211" s="34">
        <v>592.72727269999996</v>
      </c>
    </row>
    <row r="1212" spans="1:7" ht="15.75" x14ac:dyDescent="0.25">
      <c r="A1212" s="38">
        <v>3584</v>
      </c>
      <c r="B1212" s="33">
        <v>2404</v>
      </c>
      <c r="C1212" s="33" t="s">
        <v>20</v>
      </c>
      <c r="D1212" s="33" t="s">
        <v>21</v>
      </c>
      <c r="E1212" s="33" t="s">
        <v>15</v>
      </c>
      <c r="F1212" s="33">
        <v>70</v>
      </c>
      <c r="G1212" s="34">
        <v>637.27272730000004</v>
      </c>
    </row>
    <row r="1213" spans="1:7" ht="15.75" x14ac:dyDescent="0.25">
      <c r="A1213" s="38">
        <v>3586</v>
      </c>
      <c r="B1213" s="33">
        <v>2404</v>
      </c>
      <c r="C1213" s="33" t="s">
        <v>27</v>
      </c>
      <c r="D1213" s="33" t="s">
        <v>15</v>
      </c>
      <c r="E1213" s="33" t="s">
        <v>24</v>
      </c>
      <c r="F1213" s="33">
        <v>0</v>
      </c>
      <c r="G1213" s="38">
        <v>571.36363640000002</v>
      </c>
    </row>
    <row r="1214" spans="1:7" ht="15.75" x14ac:dyDescent="0.25">
      <c r="A1214" s="38">
        <v>3586</v>
      </c>
      <c r="B1214" s="33">
        <v>2404</v>
      </c>
      <c r="C1214" s="33" t="s">
        <v>27</v>
      </c>
      <c r="D1214" s="33" t="s">
        <v>15</v>
      </c>
      <c r="E1214" s="33" t="s">
        <v>24</v>
      </c>
      <c r="F1214" s="33">
        <v>14</v>
      </c>
      <c r="G1214" s="34">
        <v>582.72727269999996</v>
      </c>
    </row>
    <row r="1215" spans="1:7" ht="15.75" x14ac:dyDescent="0.25">
      <c r="A1215" s="38">
        <v>3586</v>
      </c>
      <c r="B1215" s="33">
        <v>2404</v>
      </c>
      <c r="C1215" s="33" t="s">
        <v>27</v>
      </c>
      <c r="D1215" s="33" t="s">
        <v>15</v>
      </c>
      <c r="E1215" s="33" t="s">
        <v>24</v>
      </c>
      <c r="F1215" s="33">
        <v>28</v>
      </c>
      <c r="G1215" s="34">
        <v>627.27272730000004</v>
      </c>
    </row>
    <row r="1216" spans="1:7" ht="15.75" x14ac:dyDescent="0.25">
      <c r="A1216" s="38">
        <v>3586</v>
      </c>
      <c r="B1216" s="33">
        <v>2404</v>
      </c>
      <c r="C1216" s="33" t="s">
        <v>27</v>
      </c>
      <c r="D1216" s="33" t="s">
        <v>15</v>
      </c>
      <c r="E1216" s="33" t="s">
        <v>24</v>
      </c>
      <c r="F1216" s="33">
        <v>42</v>
      </c>
      <c r="G1216" s="34">
        <v>662.72727269999996</v>
      </c>
    </row>
    <row r="1217" spans="1:7" ht="15.75" x14ac:dyDescent="0.25">
      <c r="A1217" s="38">
        <v>3586</v>
      </c>
      <c r="B1217" s="33">
        <v>2404</v>
      </c>
      <c r="C1217" s="33" t="s">
        <v>27</v>
      </c>
      <c r="D1217" s="33" t="s">
        <v>15</v>
      </c>
      <c r="E1217" s="33" t="s">
        <v>24</v>
      </c>
      <c r="F1217" s="33">
        <v>56</v>
      </c>
      <c r="G1217" s="34">
        <v>690.90909090000002</v>
      </c>
    </row>
    <row r="1218" spans="1:7" ht="15.75" x14ac:dyDescent="0.25">
      <c r="A1218" s="38">
        <v>3586</v>
      </c>
      <c r="B1218" s="33">
        <v>2404</v>
      </c>
      <c r="C1218" s="33" t="s">
        <v>27</v>
      </c>
      <c r="D1218" s="33" t="s">
        <v>15</v>
      </c>
      <c r="E1218" s="33" t="s">
        <v>24</v>
      </c>
      <c r="F1218" s="33">
        <v>70</v>
      </c>
      <c r="G1218" s="34">
        <v>730.90909090000002</v>
      </c>
    </row>
    <row r="1219" spans="1:7" ht="15.75" x14ac:dyDescent="0.25">
      <c r="A1219" s="38">
        <v>3587</v>
      </c>
      <c r="B1219" s="33">
        <v>2404</v>
      </c>
      <c r="C1219" s="33" t="s">
        <v>27</v>
      </c>
      <c r="D1219" s="33" t="s">
        <v>15</v>
      </c>
      <c r="E1219" s="33" t="s">
        <v>24</v>
      </c>
      <c r="F1219" s="33">
        <v>0</v>
      </c>
      <c r="G1219" s="38">
        <v>486.81818179999999</v>
      </c>
    </row>
    <row r="1220" spans="1:7" ht="15.75" x14ac:dyDescent="0.25">
      <c r="A1220" s="38">
        <v>3587</v>
      </c>
      <c r="B1220" s="33">
        <v>2404</v>
      </c>
      <c r="C1220" s="33" t="s">
        <v>27</v>
      </c>
      <c r="D1220" s="33" t="s">
        <v>15</v>
      </c>
      <c r="E1220" s="33" t="s">
        <v>24</v>
      </c>
      <c r="F1220" s="33">
        <v>14</v>
      </c>
      <c r="G1220" s="34">
        <v>513.63636359999998</v>
      </c>
    </row>
    <row r="1221" spans="1:7" ht="15.75" x14ac:dyDescent="0.25">
      <c r="A1221" s="38">
        <v>3587</v>
      </c>
      <c r="B1221" s="33">
        <v>2404</v>
      </c>
      <c r="C1221" s="33" t="s">
        <v>27</v>
      </c>
      <c r="D1221" s="33" t="s">
        <v>15</v>
      </c>
      <c r="E1221" s="33" t="s">
        <v>24</v>
      </c>
      <c r="F1221" s="33">
        <v>28</v>
      </c>
      <c r="G1221" s="34">
        <v>538.18181819999995</v>
      </c>
    </row>
    <row r="1222" spans="1:7" ht="15.75" x14ac:dyDescent="0.25">
      <c r="A1222" s="38">
        <v>3587</v>
      </c>
      <c r="B1222" s="33">
        <v>2404</v>
      </c>
      <c r="C1222" s="33" t="s">
        <v>27</v>
      </c>
      <c r="D1222" s="33" t="s">
        <v>15</v>
      </c>
      <c r="E1222" s="33" t="s">
        <v>24</v>
      </c>
      <c r="F1222" s="33">
        <v>42</v>
      </c>
      <c r="G1222" s="34">
        <v>568.18181819999995</v>
      </c>
    </row>
    <row r="1223" spans="1:7" ht="15.75" x14ac:dyDescent="0.25">
      <c r="A1223" s="38">
        <v>3587</v>
      </c>
      <c r="B1223" s="33">
        <v>2404</v>
      </c>
      <c r="C1223" s="33" t="s">
        <v>27</v>
      </c>
      <c r="D1223" s="33" t="s">
        <v>15</v>
      </c>
      <c r="E1223" s="33" t="s">
        <v>24</v>
      </c>
      <c r="F1223" s="33">
        <v>56</v>
      </c>
      <c r="G1223" s="34">
        <v>597.27272730000004</v>
      </c>
    </row>
    <row r="1224" spans="1:7" ht="15.75" x14ac:dyDescent="0.25">
      <c r="A1224" s="38">
        <v>3587</v>
      </c>
      <c r="B1224" s="33">
        <v>2404</v>
      </c>
      <c r="C1224" s="33" t="s">
        <v>27</v>
      </c>
      <c r="D1224" s="33" t="s">
        <v>15</v>
      </c>
      <c r="E1224" s="33" t="s">
        <v>24</v>
      </c>
      <c r="F1224" s="33">
        <v>70</v>
      </c>
      <c r="G1224" s="34">
        <v>632.27272730000004</v>
      </c>
    </row>
    <row r="1225" spans="1:7" ht="15.75" x14ac:dyDescent="0.25">
      <c r="A1225" s="38">
        <v>3588</v>
      </c>
      <c r="B1225" s="33">
        <v>2404</v>
      </c>
      <c r="C1225" s="33" t="s">
        <v>27</v>
      </c>
      <c r="D1225" s="33" t="s">
        <v>15</v>
      </c>
      <c r="E1225" s="33" t="s">
        <v>24</v>
      </c>
      <c r="F1225" s="33">
        <v>0</v>
      </c>
      <c r="G1225" s="38">
        <v>467.27272729999999</v>
      </c>
    </row>
    <row r="1226" spans="1:7" ht="15.75" x14ac:dyDescent="0.25">
      <c r="A1226" s="38">
        <v>3588</v>
      </c>
      <c r="B1226" s="33">
        <v>2404</v>
      </c>
      <c r="C1226" s="33" t="s">
        <v>27</v>
      </c>
      <c r="D1226" s="33" t="s">
        <v>15</v>
      </c>
      <c r="E1226" s="33" t="s">
        <v>24</v>
      </c>
      <c r="F1226" s="33">
        <v>14</v>
      </c>
      <c r="G1226" s="34">
        <v>509.09090909999998</v>
      </c>
    </row>
    <row r="1227" spans="1:7" ht="15.75" x14ac:dyDescent="0.25">
      <c r="A1227" s="38">
        <v>3588</v>
      </c>
      <c r="B1227" s="33">
        <v>2404</v>
      </c>
      <c r="C1227" s="33" t="s">
        <v>27</v>
      </c>
      <c r="D1227" s="33" t="s">
        <v>15</v>
      </c>
      <c r="E1227" s="33" t="s">
        <v>24</v>
      </c>
      <c r="F1227" s="33">
        <v>28</v>
      </c>
      <c r="G1227" s="34">
        <v>509.09090909999998</v>
      </c>
    </row>
    <row r="1228" spans="1:7" ht="15.75" x14ac:dyDescent="0.25">
      <c r="A1228" s="38">
        <v>3588</v>
      </c>
      <c r="B1228" s="33">
        <v>2404</v>
      </c>
      <c r="C1228" s="33" t="s">
        <v>27</v>
      </c>
      <c r="D1228" s="33" t="s">
        <v>15</v>
      </c>
      <c r="E1228" s="33" t="s">
        <v>24</v>
      </c>
      <c r="F1228" s="33">
        <v>42</v>
      </c>
      <c r="G1228" s="34">
        <v>543.63636359999998</v>
      </c>
    </row>
    <row r="1229" spans="1:7" ht="15.75" x14ac:dyDescent="0.25">
      <c r="A1229" s="38">
        <v>3588</v>
      </c>
      <c r="B1229" s="33">
        <v>2404</v>
      </c>
      <c r="C1229" s="33" t="s">
        <v>27</v>
      </c>
      <c r="D1229" s="33" t="s">
        <v>15</v>
      </c>
      <c r="E1229" s="33" t="s">
        <v>24</v>
      </c>
      <c r="F1229" s="33">
        <v>56</v>
      </c>
      <c r="G1229" s="34">
        <v>572.27272730000004</v>
      </c>
    </row>
    <row r="1230" spans="1:7" ht="15.75" x14ac:dyDescent="0.25">
      <c r="A1230" s="38">
        <v>3588</v>
      </c>
      <c r="B1230" s="33">
        <v>2404</v>
      </c>
      <c r="C1230" s="33" t="s">
        <v>27</v>
      </c>
      <c r="D1230" s="33" t="s">
        <v>15</v>
      </c>
      <c r="E1230" s="33" t="s">
        <v>24</v>
      </c>
      <c r="F1230" s="33">
        <v>70</v>
      </c>
      <c r="G1230" s="34">
        <v>606.36363640000002</v>
      </c>
    </row>
    <row r="1231" spans="1:7" ht="15.75" x14ac:dyDescent="0.25">
      <c r="A1231" s="38">
        <v>3591</v>
      </c>
      <c r="B1231" s="33">
        <v>2404</v>
      </c>
      <c r="C1231" s="33" t="s">
        <v>14</v>
      </c>
      <c r="D1231" s="33" t="s">
        <v>15</v>
      </c>
      <c r="E1231" s="33" t="s">
        <v>15</v>
      </c>
      <c r="F1231" s="33">
        <v>0</v>
      </c>
      <c r="G1231" s="38">
        <v>431.81818179999999</v>
      </c>
    </row>
    <row r="1232" spans="1:7" ht="15.75" x14ac:dyDescent="0.25">
      <c r="A1232" s="38">
        <v>3591</v>
      </c>
      <c r="B1232" s="33">
        <v>2404</v>
      </c>
      <c r="C1232" s="33" t="s">
        <v>14</v>
      </c>
      <c r="D1232" s="33" t="s">
        <v>15</v>
      </c>
      <c r="E1232" s="33" t="s">
        <v>15</v>
      </c>
      <c r="F1232" s="33">
        <v>14</v>
      </c>
      <c r="G1232" s="34">
        <v>463.63636359999998</v>
      </c>
    </row>
    <row r="1233" spans="1:7" ht="15.75" x14ac:dyDescent="0.25">
      <c r="A1233" s="38">
        <v>3591</v>
      </c>
      <c r="B1233" s="33">
        <v>2404</v>
      </c>
      <c r="C1233" s="33" t="s">
        <v>14</v>
      </c>
      <c r="D1233" s="33" t="s">
        <v>15</v>
      </c>
      <c r="E1233" s="33" t="s">
        <v>15</v>
      </c>
      <c r="F1233" s="33">
        <v>28</v>
      </c>
      <c r="G1233" s="34">
        <v>485.45454549999999</v>
      </c>
    </row>
    <row r="1234" spans="1:7" ht="15.75" x14ac:dyDescent="0.25">
      <c r="A1234" s="38">
        <v>3591</v>
      </c>
      <c r="B1234" s="33">
        <v>2404</v>
      </c>
      <c r="C1234" s="33" t="s">
        <v>14</v>
      </c>
      <c r="D1234" s="33" t="s">
        <v>15</v>
      </c>
      <c r="E1234" s="33" t="s">
        <v>15</v>
      </c>
      <c r="F1234" s="33">
        <v>42</v>
      </c>
      <c r="G1234" s="34">
        <v>511.36363640000002</v>
      </c>
    </row>
    <row r="1235" spans="1:7" ht="15.75" x14ac:dyDescent="0.25">
      <c r="A1235" s="38">
        <v>3591</v>
      </c>
      <c r="B1235" s="33">
        <v>2404</v>
      </c>
      <c r="C1235" s="33" t="s">
        <v>14</v>
      </c>
      <c r="D1235" s="33" t="s">
        <v>15</v>
      </c>
      <c r="E1235" s="33" t="s">
        <v>15</v>
      </c>
      <c r="F1235" s="33">
        <v>56</v>
      </c>
      <c r="G1235" s="34">
        <v>537.72727269999996</v>
      </c>
    </row>
    <row r="1236" spans="1:7" ht="15.75" x14ac:dyDescent="0.25">
      <c r="A1236" s="38">
        <v>3591</v>
      </c>
      <c r="B1236" s="33">
        <v>2404</v>
      </c>
      <c r="C1236" s="33" t="s">
        <v>14</v>
      </c>
      <c r="D1236" s="33" t="s">
        <v>15</v>
      </c>
      <c r="E1236" s="33" t="s">
        <v>15</v>
      </c>
      <c r="F1236" s="33">
        <v>70</v>
      </c>
      <c r="G1236" s="34">
        <v>583.18181819999995</v>
      </c>
    </row>
    <row r="1237" spans="1:7" ht="15.75" x14ac:dyDescent="0.25">
      <c r="A1237" s="38">
        <v>3593</v>
      </c>
      <c r="B1237" s="33">
        <v>2404</v>
      </c>
      <c r="C1237" s="33" t="s">
        <v>23</v>
      </c>
      <c r="D1237" s="33" t="s">
        <v>21</v>
      </c>
      <c r="E1237" s="33" t="s">
        <v>24</v>
      </c>
      <c r="F1237" s="33">
        <v>0</v>
      </c>
      <c r="G1237" s="38">
        <v>414.54545450000001</v>
      </c>
    </row>
    <row r="1238" spans="1:7" ht="15.75" x14ac:dyDescent="0.25">
      <c r="A1238" s="38">
        <v>3593</v>
      </c>
      <c r="B1238" s="33">
        <v>2404</v>
      </c>
      <c r="C1238" s="33" t="s">
        <v>23</v>
      </c>
      <c r="D1238" s="33" t="s">
        <v>21</v>
      </c>
      <c r="E1238" s="33" t="s">
        <v>24</v>
      </c>
      <c r="F1238" s="33">
        <v>14</v>
      </c>
      <c r="G1238" s="34">
        <v>432.72727270000001</v>
      </c>
    </row>
    <row r="1239" spans="1:7" ht="15.75" x14ac:dyDescent="0.25">
      <c r="A1239" s="38">
        <v>3593</v>
      </c>
      <c r="B1239" s="33">
        <v>2404</v>
      </c>
      <c r="C1239" s="33" t="s">
        <v>23</v>
      </c>
      <c r="D1239" s="33" t="s">
        <v>21</v>
      </c>
      <c r="E1239" s="33" t="s">
        <v>24</v>
      </c>
      <c r="F1239" s="33">
        <v>28</v>
      </c>
      <c r="G1239" s="34">
        <v>448.63636359999998</v>
      </c>
    </row>
    <row r="1240" spans="1:7" ht="15.75" x14ac:dyDescent="0.25">
      <c r="A1240" s="38">
        <v>3593</v>
      </c>
      <c r="B1240" s="33">
        <v>2404</v>
      </c>
      <c r="C1240" s="33" t="s">
        <v>23</v>
      </c>
      <c r="D1240" s="33" t="s">
        <v>21</v>
      </c>
      <c r="E1240" s="33" t="s">
        <v>24</v>
      </c>
      <c r="F1240" s="33">
        <v>42</v>
      </c>
      <c r="G1240" s="34">
        <v>474.54545450000001</v>
      </c>
    </row>
    <row r="1241" spans="1:7" ht="15.75" x14ac:dyDescent="0.25">
      <c r="A1241" s="38">
        <v>3593</v>
      </c>
      <c r="B1241" s="33">
        <v>2404</v>
      </c>
      <c r="C1241" s="33" t="s">
        <v>23</v>
      </c>
      <c r="D1241" s="33" t="s">
        <v>21</v>
      </c>
      <c r="E1241" s="33" t="s">
        <v>24</v>
      </c>
      <c r="F1241" s="33">
        <v>56</v>
      </c>
      <c r="G1241" s="34">
        <v>504.54545450000001</v>
      </c>
    </row>
    <row r="1242" spans="1:7" ht="15.75" x14ac:dyDescent="0.25">
      <c r="A1242" s="38">
        <v>3593</v>
      </c>
      <c r="B1242" s="33">
        <v>2404</v>
      </c>
      <c r="C1242" s="33" t="s">
        <v>23</v>
      </c>
      <c r="D1242" s="33" t="s">
        <v>21</v>
      </c>
      <c r="E1242" s="33" t="s">
        <v>24</v>
      </c>
      <c r="F1242" s="33">
        <v>70</v>
      </c>
      <c r="G1242" s="34">
        <v>527.27272730000004</v>
      </c>
    </row>
    <row r="1243" spans="1:7" ht="15.75" x14ac:dyDescent="0.25">
      <c r="A1243" s="38">
        <v>3598</v>
      </c>
      <c r="B1243" s="33">
        <v>2404</v>
      </c>
      <c r="C1243" s="33" t="s">
        <v>27</v>
      </c>
      <c r="D1243" s="33" t="s">
        <v>15</v>
      </c>
      <c r="E1243" s="33" t="s">
        <v>24</v>
      </c>
      <c r="F1243" s="33">
        <v>0</v>
      </c>
      <c r="G1243" s="38">
        <v>512.72727269999996</v>
      </c>
    </row>
    <row r="1244" spans="1:7" ht="15.75" x14ac:dyDescent="0.25">
      <c r="A1244" s="38">
        <v>3598</v>
      </c>
      <c r="B1244" s="33">
        <v>2404</v>
      </c>
      <c r="C1244" s="33" t="s">
        <v>27</v>
      </c>
      <c r="D1244" s="33" t="s">
        <v>15</v>
      </c>
      <c r="E1244" s="33" t="s">
        <v>24</v>
      </c>
      <c r="F1244" s="33">
        <v>14</v>
      </c>
      <c r="G1244" s="34">
        <v>535.90909090000002</v>
      </c>
    </row>
    <row r="1245" spans="1:7" ht="15.75" x14ac:dyDescent="0.25">
      <c r="A1245" s="38">
        <v>3598</v>
      </c>
      <c r="B1245" s="33">
        <v>2404</v>
      </c>
      <c r="C1245" s="33" t="s">
        <v>27</v>
      </c>
      <c r="D1245" s="33" t="s">
        <v>15</v>
      </c>
      <c r="E1245" s="33" t="s">
        <v>24</v>
      </c>
      <c r="F1245" s="33">
        <v>28</v>
      </c>
      <c r="G1245" s="34">
        <v>556.81818180000005</v>
      </c>
    </row>
    <row r="1246" spans="1:7" ht="15.75" x14ac:dyDescent="0.25">
      <c r="A1246" s="38">
        <v>3598</v>
      </c>
      <c r="B1246" s="33">
        <v>2404</v>
      </c>
      <c r="C1246" s="33" t="s">
        <v>27</v>
      </c>
      <c r="D1246" s="33" t="s">
        <v>15</v>
      </c>
      <c r="E1246" s="33" t="s">
        <v>24</v>
      </c>
      <c r="F1246" s="33">
        <v>42</v>
      </c>
      <c r="G1246" s="34">
        <v>585</v>
      </c>
    </row>
    <row r="1247" spans="1:7" ht="15.75" x14ac:dyDescent="0.25">
      <c r="A1247" s="38">
        <v>3598</v>
      </c>
      <c r="B1247" s="33">
        <v>2404</v>
      </c>
      <c r="C1247" s="33" t="s">
        <v>27</v>
      </c>
      <c r="D1247" s="33" t="s">
        <v>15</v>
      </c>
      <c r="E1247" s="33" t="s">
        <v>24</v>
      </c>
      <c r="F1247" s="33">
        <v>56</v>
      </c>
      <c r="G1247" s="34">
        <v>614.54545450000001</v>
      </c>
    </row>
    <row r="1248" spans="1:7" ht="15.75" x14ac:dyDescent="0.25">
      <c r="A1248" s="38">
        <v>3598</v>
      </c>
      <c r="B1248" s="33">
        <v>2404</v>
      </c>
      <c r="C1248" s="33" t="s">
        <v>27</v>
      </c>
      <c r="D1248" s="33" t="s">
        <v>15</v>
      </c>
      <c r="E1248" s="33" t="s">
        <v>24</v>
      </c>
      <c r="F1248" s="33">
        <v>70</v>
      </c>
      <c r="G1248" s="34">
        <v>667.27272730000004</v>
      </c>
    </row>
    <row r="1249" spans="1:7" ht="15.75" x14ac:dyDescent="0.25">
      <c r="A1249" s="38">
        <v>3599</v>
      </c>
      <c r="B1249" s="33">
        <v>2404</v>
      </c>
      <c r="C1249" s="33" t="s">
        <v>20</v>
      </c>
      <c r="D1249" s="33" t="s">
        <v>21</v>
      </c>
      <c r="E1249" s="33" t="s">
        <v>15</v>
      </c>
      <c r="F1249" s="33">
        <v>0</v>
      </c>
      <c r="G1249" s="38">
        <v>428.18181820000001</v>
      </c>
    </row>
    <row r="1250" spans="1:7" ht="15.75" x14ac:dyDescent="0.25">
      <c r="A1250" s="38">
        <v>3599</v>
      </c>
      <c r="B1250" s="33">
        <v>2404</v>
      </c>
      <c r="C1250" s="33" t="s">
        <v>20</v>
      </c>
      <c r="D1250" s="33" t="s">
        <v>21</v>
      </c>
      <c r="E1250" s="33" t="s">
        <v>15</v>
      </c>
      <c r="F1250" s="33">
        <v>14</v>
      </c>
      <c r="G1250" s="34">
        <v>444.54545450000001</v>
      </c>
    </row>
    <row r="1251" spans="1:7" ht="15.75" x14ac:dyDescent="0.25">
      <c r="A1251" s="38">
        <v>3599</v>
      </c>
      <c r="B1251" s="33">
        <v>2404</v>
      </c>
      <c r="C1251" s="33" t="s">
        <v>20</v>
      </c>
      <c r="D1251" s="33" t="s">
        <v>21</v>
      </c>
      <c r="E1251" s="33" t="s">
        <v>15</v>
      </c>
      <c r="F1251" s="33">
        <v>28</v>
      </c>
      <c r="G1251" s="34">
        <v>472.72727270000001</v>
      </c>
    </row>
    <row r="1252" spans="1:7" ht="15.75" x14ac:dyDescent="0.25">
      <c r="A1252" s="38">
        <v>3599</v>
      </c>
      <c r="B1252" s="33">
        <v>2404</v>
      </c>
      <c r="C1252" s="33" t="s">
        <v>20</v>
      </c>
      <c r="D1252" s="33" t="s">
        <v>21</v>
      </c>
      <c r="E1252" s="33" t="s">
        <v>15</v>
      </c>
      <c r="F1252" s="33">
        <v>42</v>
      </c>
      <c r="G1252" s="34">
        <v>505.90909090000002</v>
      </c>
    </row>
    <row r="1253" spans="1:7" ht="15.75" x14ac:dyDescent="0.25">
      <c r="A1253" s="38">
        <v>3599</v>
      </c>
      <c r="B1253" s="33">
        <v>2404</v>
      </c>
      <c r="C1253" s="33" t="s">
        <v>20</v>
      </c>
      <c r="D1253" s="33" t="s">
        <v>21</v>
      </c>
      <c r="E1253" s="33" t="s">
        <v>15</v>
      </c>
      <c r="F1253" s="33">
        <v>56</v>
      </c>
      <c r="G1253" s="34">
        <v>530.90909090000002</v>
      </c>
    </row>
    <row r="1254" spans="1:7" ht="15.75" x14ac:dyDescent="0.25">
      <c r="A1254" s="38">
        <v>3599</v>
      </c>
      <c r="B1254" s="33">
        <v>2404</v>
      </c>
      <c r="C1254" s="33" t="s">
        <v>20</v>
      </c>
      <c r="D1254" s="33" t="s">
        <v>21</v>
      </c>
      <c r="E1254" s="33" t="s">
        <v>15</v>
      </c>
      <c r="F1254" s="33">
        <v>70</v>
      </c>
      <c r="G1254" s="34">
        <v>552.72727269999996</v>
      </c>
    </row>
    <row r="1255" spans="1:7" ht="15.75" x14ac:dyDescent="0.25">
      <c r="A1255" s="38">
        <v>3602</v>
      </c>
      <c r="B1255" s="33">
        <v>2404</v>
      </c>
      <c r="C1255" s="33" t="s">
        <v>27</v>
      </c>
      <c r="D1255" s="33" t="s">
        <v>15</v>
      </c>
      <c r="E1255" s="33" t="s">
        <v>24</v>
      </c>
      <c r="F1255" s="33">
        <v>0</v>
      </c>
      <c r="G1255" s="38">
        <v>426.36363640000002</v>
      </c>
    </row>
    <row r="1256" spans="1:7" ht="15.75" x14ac:dyDescent="0.25">
      <c r="A1256" s="38">
        <v>3602</v>
      </c>
      <c r="B1256" s="33">
        <v>2404</v>
      </c>
      <c r="C1256" s="33" t="s">
        <v>27</v>
      </c>
      <c r="D1256" s="33" t="s">
        <v>15</v>
      </c>
      <c r="E1256" s="33" t="s">
        <v>24</v>
      </c>
      <c r="F1256" s="33">
        <v>14</v>
      </c>
      <c r="G1256" s="34">
        <v>455</v>
      </c>
    </row>
    <row r="1257" spans="1:7" ht="15.75" x14ac:dyDescent="0.25">
      <c r="A1257" s="38">
        <v>3602</v>
      </c>
      <c r="B1257" s="33">
        <v>2404</v>
      </c>
      <c r="C1257" s="33" t="s">
        <v>27</v>
      </c>
      <c r="D1257" s="33" t="s">
        <v>15</v>
      </c>
      <c r="E1257" s="33" t="s">
        <v>24</v>
      </c>
      <c r="F1257" s="33">
        <v>28</v>
      </c>
      <c r="G1257" s="34">
        <v>469.54545450000001</v>
      </c>
    </row>
    <row r="1258" spans="1:7" ht="15.75" x14ac:dyDescent="0.25">
      <c r="A1258" s="38">
        <v>3602</v>
      </c>
      <c r="B1258" s="33">
        <v>2404</v>
      </c>
      <c r="C1258" s="33" t="s">
        <v>27</v>
      </c>
      <c r="D1258" s="33" t="s">
        <v>15</v>
      </c>
      <c r="E1258" s="33" t="s">
        <v>24</v>
      </c>
      <c r="F1258" s="33">
        <v>42</v>
      </c>
      <c r="G1258" s="34">
        <v>502.27272729999999</v>
      </c>
    </row>
    <row r="1259" spans="1:7" ht="15.75" x14ac:dyDescent="0.25">
      <c r="A1259" s="38">
        <v>3602</v>
      </c>
      <c r="B1259" s="33">
        <v>2404</v>
      </c>
      <c r="C1259" s="33" t="s">
        <v>27</v>
      </c>
      <c r="D1259" s="33" t="s">
        <v>15</v>
      </c>
      <c r="E1259" s="33" t="s">
        <v>24</v>
      </c>
      <c r="F1259" s="33">
        <v>56</v>
      </c>
      <c r="G1259" s="34">
        <v>530</v>
      </c>
    </row>
    <row r="1260" spans="1:7" ht="15.75" x14ac:dyDescent="0.25">
      <c r="A1260" s="38">
        <v>3602</v>
      </c>
      <c r="B1260" s="33">
        <v>2404</v>
      </c>
      <c r="C1260" s="33" t="s">
        <v>27</v>
      </c>
      <c r="D1260" s="33" t="s">
        <v>15</v>
      </c>
      <c r="E1260" s="33" t="s">
        <v>24</v>
      </c>
      <c r="F1260" s="33">
        <v>70</v>
      </c>
      <c r="G1260" s="34">
        <v>551.36363640000002</v>
      </c>
    </row>
    <row r="1261" spans="1:7" ht="15.75" x14ac:dyDescent="0.25">
      <c r="A1261" s="38">
        <v>3603</v>
      </c>
      <c r="B1261" s="33">
        <v>2404</v>
      </c>
      <c r="C1261" s="33" t="s">
        <v>20</v>
      </c>
      <c r="D1261" s="33" t="s">
        <v>21</v>
      </c>
      <c r="E1261" s="33" t="s">
        <v>15</v>
      </c>
      <c r="F1261" s="33">
        <v>0</v>
      </c>
      <c r="G1261" s="38">
        <v>457.72727270000001</v>
      </c>
    </row>
    <row r="1262" spans="1:7" ht="15.75" x14ac:dyDescent="0.25">
      <c r="A1262" s="38">
        <v>3603</v>
      </c>
      <c r="B1262" s="33">
        <v>2404</v>
      </c>
      <c r="C1262" s="33" t="s">
        <v>20</v>
      </c>
      <c r="D1262" s="33" t="s">
        <v>21</v>
      </c>
      <c r="E1262" s="33" t="s">
        <v>15</v>
      </c>
      <c r="F1262" s="33">
        <v>14</v>
      </c>
      <c r="G1262" s="34">
        <v>491.81818179999999</v>
      </c>
    </row>
    <row r="1263" spans="1:7" ht="15.75" x14ac:dyDescent="0.25">
      <c r="A1263" s="38">
        <v>3603</v>
      </c>
      <c r="B1263" s="33">
        <v>2404</v>
      </c>
      <c r="C1263" s="33" t="s">
        <v>20</v>
      </c>
      <c r="D1263" s="33" t="s">
        <v>21</v>
      </c>
      <c r="E1263" s="33" t="s">
        <v>15</v>
      </c>
      <c r="F1263" s="33">
        <v>28</v>
      </c>
      <c r="G1263" s="34">
        <v>517.72727269999996</v>
      </c>
    </row>
    <row r="1264" spans="1:7" ht="15.75" x14ac:dyDescent="0.25">
      <c r="A1264" s="38">
        <v>3603</v>
      </c>
      <c r="B1264" s="33">
        <v>2404</v>
      </c>
      <c r="C1264" s="33" t="s">
        <v>20</v>
      </c>
      <c r="D1264" s="33" t="s">
        <v>21</v>
      </c>
      <c r="E1264" s="33" t="s">
        <v>15</v>
      </c>
      <c r="F1264" s="33">
        <v>42</v>
      </c>
      <c r="G1264" s="34">
        <v>540.90909090000002</v>
      </c>
    </row>
    <row r="1265" spans="1:7" ht="15.75" x14ac:dyDescent="0.25">
      <c r="A1265" s="38">
        <v>3603</v>
      </c>
      <c r="B1265" s="33">
        <v>2404</v>
      </c>
      <c r="C1265" s="33" t="s">
        <v>20</v>
      </c>
      <c r="D1265" s="33" t="s">
        <v>21</v>
      </c>
      <c r="E1265" s="33" t="s">
        <v>15</v>
      </c>
      <c r="F1265" s="33">
        <v>56</v>
      </c>
      <c r="G1265" s="34">
        <v>570.45454549999999</v>
      </c>
    </row>
    <row r="1266" spans="1:7" ht="15.75" x14ac:dyDescent="0.25">
      <c r="A1266" s="38">
        <v>3603</v>
      </c>
      <c r="B1266" s="33">
        <v>2404</v>
      </c>
      <c r="C1266" s="33" t="s">
        <v>20</v>
      </c>
      <c r="D1266" s="33" t="s">
        <v>21</v>
      </c>
      <c r="E1266" s="33" t="s">
        <v>15</v>
      </c>
      <c r="F1266" s="33">
        <v>70</v>
      </c>
      <c r="G1266" s="34">
        <v>602.72727269999996</v>
      </c>
    </row>
    <row r="1267" spans="1:7" ht="15.75" x14ac:dyDescent="0.25">
      <c r="A1267" s="38">
        <v>3607</v>
      </c>
      <c r="B1267" s="33">
        <v>2404</v>
      </c>
      <c r="C1267" s="33" t="s">
        <v>20</v>
      </c>
      <c r="D1267" s="33" t="s">
        <v>21</v>
      </c>
      <c r="E1267" s="33" t="s">
        <v>15</v>
      </c>
      <c r="F1267" s="33">
        <v>0</v>
      </c>
      <c r="G1267" s="38">
        <v>493.63636359999998</v>
      </c>
    </row>
    <row r="1268" spans="1:7" ht="15.75" x14ac:dyDescent="0.25">
      <c r="A1268" s="38">
        <v>3607</v>
      </c>
      <c r="B1268" s="33">
        <v>2404</v>
      </c>
      <c r="C1268" s="33" t="s">
        <v>20</v>
      </c>
      <c r="D1268" s="33" t="s">
        <v>21</v>
      </c>
      <c r="E1268" s="33" t="s">
        <v>15</v>
      </c>
      <c r="F1268" s="33">
        <v>14</v>
      </c>
      <c r="G1268" s="34">
        <v>497.27272729999999</v>
      </c>
    </row>
    <row r="1269" spans="1:7" ht="15.75" x14ac:dyDescent="0.25">
      <c r="A1269" s="38">
        <v>3607</v>
      </c>
      <c r="B1269" s="33">
        <v>2404</v>
      </c>
      <c r="C1269" s="33" t="s">
        <v>20</v>
      </c>
      <c r="D1269" s="33" t="s">
        <v>21</v>
      </c>
      <c r="E1269" s="33" t="s">
        <v>15</v>
      </c>
      <c r="F1269" s="33">
        <v>28</v>
      </c>
      <c r="G1269" s="34">
        <v>543.18181819999995</v>
      </c>
    </row>
    <row r="1270" spans="1:7" ht="15.75" x14ac:dyDescent="0.25">
      <c r="A1270" s="38">
        <v>3607</v>
      </c>
      <c r="B1270" s="33">
        <v>2404</v>
      </c>
      <c r="C1270" s="33" t="s">
        <v>20</v>
      </c>
      <c r="D1270" s="33" t="s">
        <v>21</v>
      </c>
      <c r="E1270" s="33" t="s">
        <v>15</v>
      </c>
      <c r="F1270" s="33">
        <v>42</v>
      </c>
      <c r="G1270" s="34">
        <v>557.27272730000004</v>
      </c>
    </row>
    <row r="1271" spans="1:7" ht="15.75" x14ac:dyDescent="0.25">
      <c r="A1271" s="38">
        <v>3607</v>
      </c>
      <c r="B1271" s="33">
        <v>2404</v>
      </c>
      <c r="C1271" s="33" t="s">
        <v>20</v>
      </c>
      <c r="D1271" s="33" t="s">
        <v>21</v>
      </c>
      <c r="E1271" s="33" t="s">
        <v>15</v>
      </c>
      <c r="F1271" s="33">
        <v>56</v>
      </c>
      <c r="G1271" s="34">
        <v>590.45454549999999</v>
      </c>
    </row>
    <row r="1272" spans="1:7" ht="15.75" x14ac:dyDescent="0.25">
      <c r="A1272" s="38">
        <v>3607</v>
      </c>
      <c r="B1272" s="33">
        <v>2404</v>
      </c>
      <c r="C1272" s="33" t="s">
        <v>20</v>
      </c>
      <c r="D1272" s="33" t="s">
        <v>21</v>
      </c>
      <c r="E1272" s="33" t="s">
        <v>15</v>
      </c>
      <c r="F1272" s="33">
        <v>70</v>
      </c>
      <c r="G1272" s="34">
        <v>628.18181819999995</v>
      </c>
    </row>
    <row r="1273" spans="1:7" ht="15.75" x14ac:dyDescent="0.25">
      <c r="A1273" s="38">
        <v>3608</v>
      </c>
      <c r="B1273" s="33">
        <v>2404</v>
      </c>
      <c r="C1273" s="33" t="s">
        <v>20</v>
      </c>
      <c r="D1273" s="33" t="s">
        <v>21</v>
      </c>
      <c r="E1273" s="33" t="s">
        <v>15</v>
      </c>
      <c r="F1273" s="33">
        <v>0</v>
      </c>
      <c r="G1273" s="38">
        <v>463.63636359999998</v>
      </c>
    </row>
    <row r="1274" spans="1:7" ht="15.75" x14ac:dyDescent="0.25">
      <c r="A1274" s="38">
        <v>3608</v>
      </c>
      <c r="B1274" s="33">
        <v>2404</v>
      </c>
      <c r="C1274" s="33" t="s">
        <v>20</v>
      </c>
      <c r="D1274" s="33" t="s">
        <v>21</v>
      </c>
      <c r="E1274" s="33" t="s">
        <v>15</v>
      </c>
      <c r="F1274" s="33">
        <v>14</v>
      </c>
      <c r="G1274" s="34">
        <v>480.90909090000002</v>
      </c>
    </row>
    <row r="1275" spans="1:7" ht="15.75" x14ac:dyDescent="0.25">
      <c r="A1275" s="38">
        <v>3608</v>
      </c>
      <c r="B1275" s="33">
        <v>2404</v>
      </c>
      <c r="C1275" s="33" t="s">
        <v>20</v>
      </c>
      <c r="D1275" s="33" t="s">
        <v>21</v>
      </c>
      <c r="E1275" s="33" t="s">
        <v>15</v>
      </c>
      <c r="F1275" s="33">
        <v>28</v>
      </c>
      <c r="G1275" s="34">
        <v>508.63636359999998</v>
      </c>
    </row>
    <row r="1276" spans="1:7" ht="15.75" x14ac:dyDescent="0.25">
      <c r="A1276" s="38">
        <v>3608</v>
      </c>
      <c r="B1276" s="33">
        <v>2404</v>
      </c>
      <c r="C1276" s="33" t="s">
        <v>20</v>
      </c>
      <c r="D1276" s="33" t="s">
        <v>21</v>
      </c>
      <c r="E1276" s="33" t="s">
        <v>15</v>
      </c>
      <c r="F1276" s="33">
        <v>42</v>
      </c>
      <c r="G1276" s="34">
        <v>546.36363640000002</v>
      </c>
    </row>
    <row r="1277" spans="1:7" ht="15.75" x14ac:dyDescent="0.25">
      <c r="A1277" s="38">
        <v>3608</v>
      </c>
      <c r="B1277" s="33">
        <v>2404</v>
      </c>
      <c r="C1277" s="33" t="s">
        <v>20</v>
      </c>
      <c r="D1277" s="33" t="s">
        <v>21</v>
      </c>
      <c r="E1277" s="33" t="s">
        <v>15</v>
      </c>
      <c r="F1277" s="33">
        <v>56</v>
      </c>
      <c r="G1277" s="34">
        <v>579.09090909999998</v>
      </c>
    </row>
    <row r="1278" spans="1:7" ht="15.75" x14ac:dyDescent="0.25">
      <c r="A1278" s="38">
        <v>3608</v>
      </c>
      <c r="B1278" s="33">
        <v>2404</v>
      </c>
      <c r="C1278" s="33" t="s">
        <v>20</v>
      </c>
      <c r="D1278" s="33" t="s">
        <v>21</v>
      </c>
      <c r="E1278" s="33" t="s">
        <v>15</v>
      </c>
      <c r="F1278" s="33">
        <v>70</v>
      </c>
      <c r="G1278" s="34">
        <v>609.09090909999998</v>
      </c>
    </row>
    <row r="1279" spans="1:7" ht="15.75" x14ac:dyDescent="0.25">
      <c r="A1279" s="38">
        <v>3609</v>
      </c>
      <c r="B1279" s="33">
        <v>2404</v>
      </c>
      <c r="C1279" s="33" t="s">
        <v>20</v>
      </c>
      <c r="D1279" s="33" t="s">
        <v>21</v>
      </c>
      <c r="E1279" s="33" t="s">
        <v>15</v>
      </c>
      <c r="F1279" s="33">
        <v>0</v>
      </c>
      <c r="G1279" s="38">
        <v>492.27272729999999</v>
      </c>
    </row>
    <row r="1280" spans="1:7" ht="15.75" x14ac:dyDescent="0.25">
      <c r="A1280" s="38">
        <v>3609</v>
      </c>
      <c r="B1280" s="33">
        <v>2404</v>
      </c>
      <c r="C1280" s="33" t="s">
        <v>20</v>
      </c>
      <c r="D1280" s="33" t="s">
        <v>21</v>
      </c>
      <c r="E1280" s="33" t="s">
        <v>15</v>
      </c>
      <c r="F1280" s="33">
        <v>14</v>
      </c>
      <c r="G1280" s="34">
        <v>505.90909090000002</v>
      </c>
    </row>
    <row r="1281" spans="1:7" ht="15.75" x14ac:dyDescent="0.25">
      <c r="A1281" s="38">
        <v>3609</v>
      </c>
      <c r="B1281" s="33">
        <v>2404</v>
      </c>
      <c r="C1281" s="33" t="s">
        <v>20</v>
      </c>
      <c r="D1281" s="33" t="s">
        <v>21</v>
      </c>
      <c r="E1281" s="33" t="s">
        <v>15</v>
      </c>
      <c r="F1281" s="33">
        <v>28</v>
      </c>
      <c r="G1281" s="34">
        <v>512.27272730000004</v>
      </c>
    </row>
    <row r="1282" spans="1:7" ht="15.75" x14ac:dyDescent="0.25">
      <c r="A1282" s="38">
        <v>3609</v>
      </c>
      <c r="B1282" s="33">
        <v>2404</v>
      </c>
      <c r="C1282" s="33" t="s">
        <v>20</v>
      </c>
      <c r="D1282" s="33" t="s">
        <v>21</v>
      </c>
      <c r="E1282" s="33" t="s">
        <v>15</v>
      </c>
      <c r="F1282" s="33">
        <v>42</v>
      </c>
      <c r="G1282" s="34">
        <v>549.54545450000001</v>
      </c>
    </row>
    <row r="1283" spans="1:7" ht="15.75" x14ac:dyDescent="0.25">
      <c r="A1283" s="38">
        <v>3609</v>
      </c>
      <c r="B1283" s="33">
        <v>2404</v>
      </c>
      <c r="C1283" s="33" t="s">
        <v>20</v>
      </c>
      <c r="D1283" s="33" t="s">
        <v>21</v>
      </c>
      <c r="E1283" s="33" t="s">
        <v>15</v>
      </c>
      <c r="F1283" s="33">
        <v>56</v>
      </c>
      <c r="G1283" s="34">
        <v>574.54545450000001</v>
      </c>
    </row>
    <row r="1284" spans="1:7" ht="15.75" x14ac:dyDescent="0.25">
      <c r="A1284" s="38">
        <v>3609</v>
      </c>
      <c r="B1284" s="33">
        <v>2404</v>
      </c>
      <c r="C1284" s="33" t="s">
        <v>20</v>
      </c>
      <c r="D1284" s="33" t="s">
        <v>21</v>
      </c>
      <c r="E1284" s="33" t="s">
        <v>15</v>
      </c>
      <c r="F1284" s="33">
        <v>70</v>
      </c>
      <c r="G1284" s="34">
        <v>623.63636359999998</v>
      </c>
    </row>
    <row r="1285" spans="1:7" ht="15.75" x14ac:dyDescent="0.25">
      <c r="A1285" s="38">
        <v>3610</v>
      </c>
      <c r="B1285" s="33">
        <v>2404</v>
      </c>
      <c r="C1285" s="33" t="s">
        <v>23</v>
      </c>
      <c r="D1285" s="33" t="s">
        <v>21</v>
      </c>
      <c r="E1285" s="33" t="s">
        <v>24</v>
      </c>
      <c r="F1285" s="33">
        <v>0</v>
      </c>
      <c r="G1285" s="38">
        <v>447.27272729999999</v>
      </c>
    </row>
    <row r="1286" spans="1:7" ht="15.75" x14ac:dyDescent="0.25">
      <c r="A1286" s="38">
        <v>3610</v>
      </c>
      <c r="B1286" s="33">
        <v>2404</v>
      </c>
      <c r="C1286" s="33" t="s">
        <v>23</v>
      </c>
      <c r="D1286" s="33" t="s">
        <v>21</v>
      </c>
      <c r="E1286" s="33" t="s">
        <v>24</v>
      </c>
      <c r="F1286" s="33">
        <v>14</v>
      </c>
      <c r="G1286" s="34">
        <v>445.90909090000002</v>
      </c>
    </row>
    <row r="1287" spans="1:7" ht="15.75" x14ac:dyDescent="0.25">
      <c r="A1287" s="38">
        <v>3610</v>
      </c>
      <c r="B1287" s="33">
        <v>2404</v>
      </c>
      <c r="C1287" s="33" t="s">
        <v>23</v>
      </c>
      <c r="D1287" s="33" t="s">
        <v>21</v>
      </c>
      <c r="E1287" s="33" t="s">
        <v>24</v>
      </c>
      <c r="F1287" s="33">
        <v>28</v>
      </c>
      <c r="G1287" s="34">
        <v>484.54545450000001</v>
      </c>
    </row>
    <row r="1288" spans="1:7" ht="15.75" x14ac:dyDescent="0.25">
      <c r="A1288" s="38">
        <v>3610</v>
      </c>
      <c r="B1288" s="33">
        <v>2404</v>
      </c>
      <c r="C1288" s="33" t="s">
        <v>23</v>
      </c>
      <c r="D1288" s="33" t="s">
        <v>21</v>
      </c>
      <c r="E1288" s="33" t="s">
        <v>24</v>
      </c>
      <c r="F1288" s="33">
        <v>42</v>
      </c>
      <c r="G1288" s="34">
        <v>507.27272729999999</v>
      </c>
    </row>
    <row r="1289" spans="1:7" ht="15.75" x14ac:dyDescent="0.25">
      <c r="A1289" s="38">
        <v>3610</v>
      </c>
      <c r="B1289" s="33">
        <v>2404</v>
      </c>
      <c r="C1289" s="33" t="s">
        <v>23</v>
      </c>
      <c r="D1289" s="33" t="s">
        <v>21</v>
      </c>
      <c r="E1289" s="33" t="s">
        <v>24</v>
      </c>
      <c r="F1289" s="33">
        <v>56</v>
      </c>
      <c r="G1289" s="34">
        <v>517.72727269999996</v>
      </c>
    </row>
    <row r="1290" spans="1:7" ht="15.75" x14ac:dyDescent="0.25">
      <c r="A1290" s="38">
        <v>3610</v>
      </c>
      <c r="B1290" s="33">
        <v>2404</v>
      </c>
      <c r="C1290" s="33" t="s">
        <v>23</v>
      </c>
      <c r="D1290" s="33" t="s">
        <v>21</v>
      </c>
      <c r="E1290" s="33" t="s">
        <v>24</v>
      </c>
      <c r="F1290" s="33">
        <v>70</v>
      </c>
      <c r="G1290" s="34">
        <v>541.81818180000005</v>
      </c>
    </row>
    <row r="1291" spans="1:7" ht="15.75" x14ac:dyDescent="0.25">
      <c r="A1291" s="38">
        <v>3617</v>
      </c>
      <c r="B1291" s="33">
        <v>2404</v>
      </c>
      <c r="C1291" s="33" t="s">
        <v>20</v>
      </c>
      <c r="D1291" s="33" t="s">
        <v>21</v>
      </c>
      <c r="E1291" s="33" t="s">
        <v>15</v>
      </c>
      <c r="F1291" s="33">
        <v>0</v>
      </c>
      <c r="G1291" s="38">
        <v>386.81818179999999</v>
      </c>
    </row>
    <row r="1292" spans="1:7" ht="15.75" x14ac:dyDescent="0.25">
      <c r="A1292" s="38">
        <v>3617</v>
      </c>
      <c r="B1292" s="33">
        <v>2404</v>
      </c>
      <c r="C1292" s="33" t="s">
        <v>20</v>
      </c>
      <c r="D1292" s="33" t="s">
        <v>21</v>
      </c>
      <c r="E1292" s="33" t="s">
        <v>15</v>
      </c>
      <c r="F1292" s="33">
        <v>14</v>
      </c>
      <c r="G1292" s="34">
        <v>402.27272729999999</v>
      </c>
    </row>
    <row r="1293" spans="1:7" ht="15.75" x14ac:dyDescent="0.25">
      <c r="A1293" s="38">
        <v>3617</v>
      </c>
      <c r="B1293" s="33">
        <v>2404</v>
      </c>
      <c r="C1293" s="33" t="s">
        <v>20</v>
      </c>
      <c r="D1293" s="33" t="s">
        <v>21</v>
      </c>
      <c r="E1293" s="33" t="s">
        <v>15</v>
      </c>
      <c r="F1293" s="33">
        <v>28</v>
      </c>
      <c r="G1293" s="34">
        <v>413.63636359999998</v>
      </c>
    </row>
    <row r="1294" spans="1:7" ht="15.75" x14ac:dyDescent="0.25">
      <c r="A1294" s="38">
        <v>3617</v>
      </c>
      <c r="B1294" s="33">
        <v>2404</v>
      </c>
      <c r="C1294" s="33" t="s">
        <v>20</v>
      </c>
      <c r="D1294" s="33" t="s">
        <v>21</v>
      </c>
      <c r="E1294" s="33" t="s">
        <v>15</v>
      </c>
      <c r="F1294" s="33">
        <v>42</v>
      </c>
      <c r="G1294" s="34">
        <v>435.90909090000002</v>
      </c>
    </row>
    <row r="1295" spans="1:7" ht="15.75" x14ac:dyDescent="0.25">
      <c r="A1295" s="38">
        <v>3617</v>
      </c>
      <c r="B1295" s="33">
        <v>2404</v>
      </c>
      <c r="C1295" s="33" t="s">
        <v>20</v>
      </c>
      <c r="D1295" s="33" t="s">
        <v>21</v>
      </c>
      <c r="E1295" s="33" t="s">
        <v>15</v>
      </c>
      <c r="F1295" s="33">
        <v>56</v>
      </c>
      <c r="G1295" s="34">
        <v>458.63636359999998</v>
      </c>
    </row>
    <row r="1296" spans="1:7" ht="15.75" x14ac:dyDescent="0.25">
      <c r="A1296" s="38">
        <v>3617</v>
      </c>
      <c r="B1296" s="33">
        <v>2404</v>
      </c>
      <c r="C1296" s="33" t="s">
        <v>20</v>
      </c>
      <c r="D1296" s="33" t="s">
        <v>21</v>
      </c>
      <c r="E1296" s="33" t="s">
        <v>15</v>
      </c>
      <c r="F1296" s="33">
        <v>70</v>
      </c>
      <c r="G1296" s="34">
        <v>484.09090909999998</v>
      </c>
    </row>
    <row r="1297" spans="1:7" ht="15.75" x14ac:dyDescent="0.25">
      <c r="A1297" s="38">
        <v>3623</v>
      </c>
      <c r="B1297" s="33">
        <v>2404</v>
      </c>
      <c r="C1297" s="33" t="s">
        <v>20</v>
      </c>
      <c r="D1297" s="33" t="s">
        <v>21</v>
      </c>
      <c r="E1297" s="33" t="s">
        <v>15</v>
      </c>
      <c r="F1297" s="33">
        <v>0</v>
      </c>
      <c r="G1297" s="38">
        <v>474.54545450000001</v>
      </c>
    </row>
    <row r="1298" spans="1:7" ht="15.75" x14ac:dyDescent="0.25">
      <c r="A1298" s="38">
        <v>3623</v>
      </c>
      <c r="B1298" s="33">
        <v>2404</v>
      </c>
      <c r="C1298" s="33" t="s">
        <v>20</v>
      </c>
      <c r="D1298" s="33" t="s">
        <v>21</v>
      </c>
      <c r="E1298" s="33" t="s">
        <v>15</v>
      </c>
      <c r="F1298" s="33">
        <v>14</v>
      </c>
      <c r="G1298" s="34">
        <v>499.09090909999998</v>
      </c>
    </row>
    <row r="1299" spans="1:7" ht="15.75" x14ac:dyDescent="0.25">
      <c r="A1299" s="38">
        <v>3623</v>
      </c>
      <c r="B1299" s="33">
        <v>2404</v>
      </c>
      <c r="C1299" s="33" t="s">
        <v>20</v>
      </c>
      <c r="D1299" s="33" t="s">
        <v>21</v>
      </c>
      <c r="E1299" s="33" t="s">
        <v>15</v>
      </c>
      <c r="F1299" s="33">
        <v>28</v>
      </c>
      <c r="G1299" s="34">
        <v>523.18181819999995</v>
      </c>
    </row>
    <row r="1300" spans="1:7" ht="15.75" x14ac:dyDescent="0.25">
      <c r="A1300" s="38">
        <v>3623</v>
      </c>
      <c r="B1300" s="33">
        <v>2404</v>
      </c>
      <c r="C1300" s="33" t="s">
        <v>20</v>
      </c>
      <c r="D1300" s="33" t="s">
        <v>21</v>
      </c>
      <c r="E1300" s="33" t="s">
        <v>15</v>
      </c>
      <c r="F1300" s="33">
        <v>42</v>
      </c>
      <c r="G1300" s="34">
        <v>557.27272730000004</v>
      </c>
    </row>
    <row r="1301" spans="1:7" ht="15.75" x14ac:dyDescent="0.25">
      <c r="A1301" s="38">
        <v>3623</v>
      </c>
      <c r="B1301" s="33">
        <v>2404</v>
      </c>
      <c r="C1301" s="33" t="s">
        <v>20</v>
      </c>
      <c r="D1301" s="33" t="s">
        <v>21</v>
      </c>
      <c r="E1301" s="33" t="s">
        <v>15</v>
      </c>
      <c r="F1301" s="33">
        <v>56</v>
      </c>
      <c r="G1301" s="34">
        <v>581.81818180000005</v>
      </c>
    </row>
    <row r="1302" spans="1:7" ht="15.75" x14ac:dyDescent="0.25">
      <c r="A1302" s="38">
        <v>3623</v>
      </c>
      <c r="B1302" s="33">
        <v>2404</v>
      </c>
      <c r="C1302" s="33" t="s">
        <v>20</v>
      </c>
      <c r="D1302" s="33" t="s">
        <v>21</v>
      </c>
      <c r="E1302" s="33" t="s">
        <v>15</v>
      </c>
      <c r="F1302" s="33">
        <v>70</v>
      </c>
      <c r="G1302" s="34">
        <v>613.18181819999995</v>
      </c>
    </row>
    <row r="1303" spans="1:7" ht="15.75" x14ac:dyDescent="0.25">
      <c r="A1303" s="38">
        <v>3629</v>
      </c>
      <c r="B1303" s="33">
        <v>2404</v>
      </c>
      <c r="C1303" s="33" t="s">
        <v>27</v>
      </c>
      <c r="D1303" s="33" t="s">
        <v>15</v>
      </c>
      <c r="E1303" s="33" t="s">
        <v>24</v>
      </c>
      <c r="F1303" s="33">
        <v>0</v>
      </c>
      <c r="G1303" s="38">
        <v>453.63636359999998</v>
      </c>
    </row>
    <row r="1304" spans="1:7" ht="15.75" x14ac:dyDescent="0.25">
      <c r="A1304" s="38">
        <v>3629</v>
      </c>
      <c r="B1304" s="33">
        <v>2404</v>
      </c>
      <c r="C1304" s="33" t="s">
        <v>27</v>
      </c>
      <c r="D1304" s="33" t="s">
        <v>15</v>
      </c>
      <c r="E1304" s="33" t="s">
        <v>24</v>
      </c>
      <c r="F1304" s="33">
        <v>14</v>
      </c>
      <c r="G1304" s="34">
        <v>481.36363640000002</v>
      </c>
    </row>
    <row r="1305" spans="1:7" ht="15.75" x14ac:dyDescent="0.25">
      <c r="A1305" s="38">
        <v>3629</v>
      </c>
      <c r="B1305" s="33">
        <v>2404</v>
      </c>
      <c r="C1305" s="33" t="s">
        <v>27</v>
      </c>
      <c r="D1305" s="33" t="s">
        <v>15</v>
      </c>
      <c r="E1305" s="33" t="s">
        <v>24</v>
      </c>
      <c r="F1305" s="33">
        <v>28</v>
      </c>
      <c r="G1305" s="34">
        <v>501.81818179999999</v>
      </c>
    </row>
    <row r="1306" spans="1:7" ht="15.75" x14ac:dyDescent="0.25">
      <c r="A1306" s="38">
        <v>3629</v>
      </c>
      <c r="B1306" s="33">
        <v>2404</v>
      </c>
      <c r="C1306" s="33" t="s">
        <v>27</v>
      </c>
      <c r="D1306" s="33" t="s">
        <v>15</v>
      </c>
      <c r="E1306" s="33" t="s">
        <v>24</v>
      </c>
      <c r="F1306" s="33">
        <v>42</v>
      </c>
      <c r="G1306" s="34">
        <v>527.27272730000004</v>
      </c>
    </row>
    <row r="1307" spans="1:7" ht="15.75" x14ac:dyDescent="0.25">
      <c r="A1307" s="38">
        <v>3629</v>
      </c>
      <c r="B1307" s="33">
        <v>2404</v>
      </c>
      <c r="C1307" s="33" t="s">
        <v>27</v>
      </c>
      <c r="D1307" s="33" t="s">
        <v>15</v>
      </c>
      <c r="E1307" s="33" t="s">
        <v>24</v>
      </c>
      <c r="F1307" s="33">
        <v>56</v>
      </c>
      <c r="G1307" s="34">
        <v>557.72727269999996</v>
      </c>
    </row>
    <row r="1308" spans="1:7" ht="15.75" x14ac:dyDescent="0.25">
      <c r="A1308" s="38">
        <v>3629</v>
      </c>
      <c r="B1308" s="33">
        <v>2404</v>
      </c>
      <c r="C1308" s="33" t="s">
        <v>27</v>
      </c>
      <c r="D1308" s="33" t="s">
        <v>15</v>
      </c>
      <c r="E1308" s="33" t="s">
        <v>24</v>
      </c>
      <c r="F1308" s="33">
        <v>70</v>
      </c>
      <c r="G1308" s="34">
        <v>598.18181819999995</v>
      </c>
    </row>
    <row r="1309" spans="1:7" ht="15.75" x14ac:dyDescent="0.25">
      <c r="A1309" s="38">
        <v>3636</v>
      </c>
      <c r="B1309" s="33">
        <v>2404</v>
      </c>
      <c r="C1309" s="33" t="s">
        <v>27</v>
      </c>
      <c r="D1309" s="33" t="s">
        <v>15</v>
      </c>
      <c r="E1309" s="33" t="s">
        <v>24</v>
      </c>
      <c r="F1309" s="33">
        <v>0</v>
      </c>
      <c r="G1309" s="38">
        <v>492.27272729999999</v>
      </c>
    </row>
    <row r="1310" spans="1:7" ht="15.75" x14ac:dyDescent="0.25">
      <c r="A1310" s="38">
        <v>3636</v>
      </c>
      <c r="B1310" s="33">
        <v>2404</v>
      </c>
      <c r="C1310" s="33" t="s">
        <v>27</v>
      </c>
      <c r="D1310" s="33" t="s">
        <v>15</v>
      </c>
      <c r="E1310" s="33" t="s">
        <v>24</v>
      </c>
      <c r="F1310" s="33">
        <v>14</v>
      </c>
      <c r="G1310" s="34">
        <v>517.27272730000004</v>
      </c>
    </row>
    <row r="1311" spans="1:7" ht="15.75" x14ac:dyDescent="0.25">
      <c r="A1311" s="38">
        <v>3636</v>
      </c>
      <c r="B1311" s="33">
        <v>2404</v>
      </c>
      <c r="C1311" s="33" t="s">
        <v>27</v>
      </c>
      <c r="D1311" s="33" t="s">
        <v>15</v>
      </c>
      <c r="E1311" s="33" t="s">
        <v>24</v>
      </c>
      <c r="F1311" s="33">
        <v>28</v>
      </c>
      <c r="G1311" s="34">
        <v>539.54545450000001</v>
      </c>
    </row>
    <row r="1312" spans="1:7" ht="15.75" x14ac:dyDescent="0.25">
      <c r="A1312" s="38">
        <v>3636</v>
      </c>
      <c r="B1312" s="33">
        <v>2404</v>
      </c>
      <c r="C1312" s="33" t="s">
        <v>27</v>
      </c>
      <c r="D1312" s="33" t="s">
        <v>15</v>
      </c>
      <c r="E1312" s="33" t="s">
        <v>24</v>
      </c>
      <c r="F1312" s="33">
        <v>42</v>
      </c>
      <c r="G1312" s="34">
        <v>575</v>
      </c>
    </row>
    <row r="1313" spans="1:7" ht="15.75" x14ac:dyDescent="0.25">
      <c r="A1313" s="38">
        <v>3636</v>
      </c>
      <c r="B1313" s="33">
        <v>2404</v>
      </c>
      <c r="C1313" s="33" t="s">
        <v>27</v>
      </c>
      <c r="D1313" s="33" t="s">
        <v>15</v>
      </c>
      <c r="E1313" s="33" t="s">
        <v>24</v>
      </c>
      <c r="F1313" s="33">
        <v>56</v>
      </c>
      <c r="G1313" s="34">
        <v>603.63636359999998</v>
      </c>
    </row>
    <row r="1314" spans="1:7" ht="15.75" x14ac:dyDescent="0.25">
      <c r="A1314" s="38">
        <v>3636</v>
      </c>
      <c r="B1314" s="33">
        <v>2404</v>
      </c>
      <c r="C1314" s="33" t="s">
        <v>27</v>
      </c>
      <c r="D1314" s="33" t="s">
        <v>15</v>
      </c>
      <c r="E1314" s="33" t="s">
        <v>24</v>
      </c>
      <c r="F1314" s="33">
        <v>70</v>
      </c>
      <c r="G1314" s="34">
        <v>591.36363640000002</v>
      </c>
    </row>
    <row r="1315" spans="1:7" ht="15.75" x14ac:dyDescent="0.25">
      <c r="A1315" s="38">
        <v>3639</v>
      </c>
      <c r="B1315" s="33">
        <v>2404</v>
      </c>
      <c r="C1315" s="33" t="s">
        <v>14</v>
      </c>
      <c r="D1315" s="33" t="s">
        <v>15</v>
      </c>
      <c r="E1315" s="33" t="s">
        <v>15</v>
      </c>
      <c r="F1315" s="33">
        <v>0</v>
      </c>
      <c r="G1315" s="38">
        <v>466.36363640000002</v>
      </c>
    </row>
    <row r="1316" spans="1:7" ht="15.75" x14ac:dyDescent="0.25">
      <c r="A1316" s="38">
        <v>3639</v>
      </c>
      <c r="B1316" s="33">
        <v>2404</v>
      </c>
      <c r="C1316" s="33" t="s">
        <v>14</v>
      </c>
      <c r="D1316" s="33" t="s">
        <v>15</v>
      </c>
      <c r="E1316" s="33" t="s">
        <v>15</v>
      </c>
      <c r="F1316" s="33">
        <v>14</v>
      </c>
      <c r="G1316" s="34">
        <v>500.90909090000002</v>
      </c>
    </row>
    <row r="1317" spans="1:7" ht="15.75" x14ac:dyDescent="0.25">
      <c r="A1317" s="38">
        <v>3639</v>
      </c>
      <c r="B1317" s="33">
        <v>2404</v>
      </c>
      <c r="C1317" s="33" t="s">
        <v>14</v>
      </c>
      <c r="D1317" s="33" t="s">
        <v>15</v>
      </c>
      <c r="E1317" s="33" t="s">
        <v>15</v>
      </c>
      <c r="F1317" s="33">
        <v>28</v>
      </c>
      <c r="G1317" s="34">
        <v>522.27272730000004</v>
      </c>
    </row>
    <row r="1318" spans="1:7" ht="15.75" x14ac:dyDescent="0.25">
      <c r="A1318" s="38">
        <v>3639</v>
      </c>
      <c r="B1318" s="33">
        <v>2404</v>
      </c>
      <c r="C1318" s="33" t="s">
        <v>14</v>
      </c>
      <c r="D1318" s="33" t="s">
        <v>15</v>
      </c>
      <c r="E1318" s="33" t="s">
        <v>15</v>
      </c>
      <c r="F1318" s="33">
        <v>42</v>
      </c>
      <c r="G1318" s="34">
        <v>547.27272730000004</v>
      </c>
    </row>
    <row r="1319" spans="1:7" ht="15.75" x14ac:dyDescent="0.25">
      <c r="A1319" s="38">
        <v>3639</v>
      </c>
      <c r="B1319" s="33">
        <v>2404</v>
      </c>
      <c r="C1319" s="33" t="s">
        <v>14</v>
      </c>
      <c r="D1319" s="33" t="s">
        <v>15</v>
      </c>
      <c r="E1319" s="33" t="s">
        <v>15</v>
      </c>
      <c r="F1319" s="33">
        <v>56</v>
      </c>
      <c r="G1319" s="34">
        <v>580</v>
      </c>
    </row>
    <row r="1320" spans="1:7" ht="15.75" x14ac:dyDescent="0.25">
      <c r="A1320" s="38">
        <v>3639</v>
      </c>
      <c r="B1320" s="33">
        <v>2404</v>
      </c>
      <c r="C1320" s="33" t="s">
        <v>14</v>
      </c>
      <c r="D1320" s="33" t="s">
        <v>15</v>
      </c>
      <c r="E1320" s="33" t="s">
        <v>15</v>
      </c>
      <c r="F1320" s="33">
        <v>70</v>
      </c>
      <c r="G1320" s="34">
        <v>619.09090909999998</v>
      </c>
    </row>
    <row r="1321" spans="1:7" ht="15.75" x14ac:dyDescent="0.25">
      <c r="A1321" s="38">
        <v>3642</v>
      </c>
      <c r="B1321" s="33">
        <v>2404</v>
      </c>
      <c r="C1321" s="33" t="s">
        <v>27</v>
      </c>
      <c r="D1321" s="33" t="s">
        <v>15</v>
      </c>
      <c r="E1321" s="33" t="s">
        <v>24</v>
      </c>
      <c r="F1321" s="33">
        <v>0</v>
      </c>
      <c r="G1321" s="38">
        <v>447.27272729999999</v>
      </c>
    </row>
    <row r="1322" spans="1:7" ht="15.75" x14ac:dyDescent="0.25">
      <c r="A1322" s="38">
        <v>3642</v>
      </c>
      <c r="B1322" s="33">
        <v>2404</v>
      </c>
      <c r="C1322" s="33" t="s">
        <v>27</v>
      </c>
      <c r="D1322" s="33" t="s">
        <v>15</v>
      </c>
      <c r="E1322" s="33" t="s">
        <v>24</v>
      </c>
      <c r="F1322" s="33">
        <v>14</v>
      </c>
      <c r="G1322" s="34">
        <v>461.81818179999999</v>
      </c>
    </row>
    <row r="1323" spans="1:7" ht="15.75" x14ac:dyDescent="0.25">
      <c r="A1323" s="38">
        <v>3642</v>
      </c>
      <c r="B1323" s="33">
        <v>2404</v>
      </c>
      <c r="C1323" s="33" t="s">
        <v>27</v>
      </c>
      <c r="D1323" s="33" t="s">
        <v>15</v>
      </c>
      <c r="E1323" s="33" t="s">
        <v>24</v>
      </c>
      <c r="F1323" s="33">
        <v>28</v>
      </c>
      <c r="G1323" s="34">
        <v>482.27272729999999</v>
      </c>
    </row>
    <row r="1324" spans="1:7" ht="15.75" x14ac:dyDescent="0.25">
      <c r="A1324" s="38">
        <v>3642</v>
      </c>
      <c r="B1324" s="33">
        <v>2404</v>
      </c>
      <c r="C1324" s="33" t="s">
        <v>27</v>
      </c>
      <c r="D1324" s="33" t="s">
        <v>15</v>
      </c>
      <c r="E1324" s="33" t="s">
        <v>24</v>
      </c>
      <c r="F1324" s="33">
        <v>42</v>
      </c>
      <c r="G1324" s="34">
        <v>511.81818179999999</v>
      </c>
    </row>
    <row r="1325" spans="1:7" ht="15.75" x14ac:dyDescent="0.25">
      <c r="A1325" s="38">
        <v>3642</v>
      </c>
      <c r="B1325" s="33">
        <v>2404</v>
      </c>
      <c r="C1325" s="33" t="s">
        <v>27</v>
      </c>
      <c r="D1325" s="33" t="s">
        <v>15</v>
      </c>
      <c r="E1325" s="33" t="s">
        <v>24</v>
      </c>
      <c r="F1325" s="33">
        <v>56</v>
      </c>
      <c r="G1325" s="34">
        <v>542.27272730000004</v>
      </c>
    </row>
    <row r="1326" spans="1:7" ht="15.75" x14ac:dyDescent="0.25">
      <c r="A1326" s="38">
        <v>3642</v>
      </c>
      <c r="B1326" s="33">
        <v>2404</v>
      </c>
      <c r="C1326" s="33" t="s">
        <v>27</v>
      </c>
      <c r="D1326" s="33" t="s">
        <v>15</v>
      </c>
      <c r="E1326" s="33" t="s">
        <v>24</v>
      </c>
      <c r="F1326" s="33">
        <v>70</v>
      </c>
      <c r="G1326" s="34">
        <v>576.81818180000005</v>
      </c>
    </row>
    <row r="1327" spans="1:7" ht="15.75" x14ac:dyDescent="0.25">
      <c r="A1327" s="38">
        <v>3649</v>
      </c>
      <c r="B1327" s="33">
        <v>2404</v>
      </c>
      <c r="C1327" s="33" t="s">
        <v>14</v>
      </c>
      <c r="D1327" s="33" t="s">
        <v>15</v>
      </c>
      <c r="E1327" s="33" t="s">
        <v>15</v>
      </c>
      <c r="F1327" s="33">
        <v>0</v>
      </c>
      <c r="G1327" s="38">
        <v>424.54545450000001</v>
      </c>
    </row>
    <row r="1328" spans="1:7" ht="15.75" x14ac:dyDescent="0.25">
      <c r="A1328" s="38">
        <v>3649</v>
      </c>
      <c r="B1328" s="33">
        <v>2404</v>
      </c>
      <c r="C1328" s="33" t="s">
        <v>14</v>
      </c>
      <c r="D1328" s="33" t="s">
        <v>15</v>
      </c>
      <c r="E1328" s="33" t="s">
        <v>15</v>
      </c>
      <c r="F1328" s="33">
        <v>14</v>
      </c>
      <c r="G1328" s="34">
        <v>467.27272729999999</v>
      </c>
    </row>
    <row r="1329" spans="1:7" ht="15.75" x14ac:dyDescent="0.25">
      <c r="A1329" s="38">
        <v>3649</v>
      </c>
      <c r="B1329" s="33">
        <v>2404</v>
      </c>
      <c r="C1329" s="33" t="s">
        <v>14</v>
      </c>
      <c r="D1329" s="33" t="s">
        <v>15</v>
      </c>
      <c r="E1329" s="33" t="s">
        <v>15</v>
      </c>
      <c r="F1329" s="33">
        <v>28</v>
      </c>
      <c r="G1329" s="34">
        <v>489.09090909999998</v>
      </c>
    </row>
    <row r="1330" spans="1:7" ht="15.75" x14ac:dyDescent="0.25">
      <c r="A1330" s="38">
        <v>3649</v>
      </c>
      <c r="B1330" s="33">
        <v>2404</v>
      </c>
      <c r="C1330" s="33" t="s">
        <v>14</v>
      </c>
      <c r="D1330" s="33" t="s">
        <v>15</v>
      </c>
      <c r="E1330" s="33" t="s">
        <v>15</v>
      </c>
      <c r="F1330" s="33">
        <v>42</v>
      </c>
      <c r="G1330" s="34">
        <v>509.09090909999998</v>
      </c>
    </row>
    <row r="1331" spans="1:7" ht="15.75" x14ac:dyDescent="0.25">
      <c r="A1331" s="38">
        <v>3649</v>
      </c>
      <c r="B1331" s="33">
        <v>2404</v>
      </c>
      <c r="C1331" s="33" t="s">
        <v>14</v>
      </c>
      <c r="D1331" s="33" t="s">
        <v>15</v>
      </c>
      <c r="E1331" s="33" t="s">
        <v>15</v>
      </c>
      <c r="F1331" s="33">
        <v>56</v>
      </c>
      <c r="G1331" s="34">
        <v>534.54545450000001</v>
      </c>
    </row>
    <row r="1332" spans="1:7" ht="15.75" x14ac:dyDescent="0.25">
      <c r="A1332" s="38">
        <v>3649</v>
      </c>
      <c r="B1332" s="33">
        <v>2404</v>
      </c>
      <c r="C1332" s="33" t="s">
        <v>14</v>
      </c>
      <c r="D1332" s="33" t="s">
        <v>15</v>
      </c>
      <c r="E1332" s="33" t="s">
        <v>15</v>
      </c>
      <c r="F1332" s="33">
        <v>70</v>
      </c>
      <c r="G1332" s="34">
        <v>575</v>
      </c>
    </row>
    <row r="1333" spans="1:7" ht="15.75" x14ac:dyDescent="0.25">
      <c r="A1333" s="38">
        <v>3651</v>
      </c>
      <c r="B1333" s="33">
        <v>2404</v>
      </c>
      <c r="C1333" s="33" t="s">
        <v>20</v>
      </c>
      <c r="D1333" s="33" t="s">
        <v>21</v>
      </c>
      <c r="E1333" s="33" t="s">
        <v>15</v>
      </c>
      <c r="F1333" s="33">
        <v>0</v>
      </c>
      <c r="G1333" s="38">
        <v>432.27272729999999</v>
      </c>
    </row>
    <row r="1334" spans="1:7" ht="15.75" x14ac:dyDescent="0.25">
      <c r="A1334" s="38">
        <v>3651</v>
      </c>
      <c r="B1334" s="33">
        <v>2404</v>
      </c>
      <c r="C1334" s="33" t="s">
        <v>20</v>
      </c>
      <c r="D1334" s="33" t="s">
        <v>21</v>
      </c>
      <c r="E1334" s="33" t="s">
        <v>15</v>
      </c>
      <c r="F1334" s="33">
        <v>14</v>
      </c>
      <c r="G1334" s="34">
        <v>434.54545450000001</v>
      </c>
    </row>
    <row r="1335" spans="1:7" ht="15.75" x14ac:dyDescent="0.25">
      <c r="A1335" s="38">
        <v>3651</v>
      </c>
      <c r="B1335" s="33">
        <v>2404</v>
      </c>
      <c r="C1335" s="33" t="s">
        <v>20</v>
      </c>
      <c r="D1335" s="33" t="s">
        <v>21</v>
      </c>
      <c r="E1335" s="33" t="s">
        <v>15</v>
      </c>
      <c r="F1335" s="33">
        <v>28</v>
      </c>
      <c r="G1335" s="34">
        <v>473.18181820000001</v>
      </c>
    </row>
    <row r="1336" spans="1:7" ht="15.75" x14ac:dyDescent="0.25">
      <c r="A1336" s="38">
        <v>3651</v>
      </c>
      <c r="B1336" s="33">
        <v>2404</v>
      </c>
      <c r="C1336" s="33" t="s">
        <v>20</v>
      </c>
      <c r="D1336" s="33" t="s">
        <v>21</v>
      </c>
      <c r="E1336" s="33" t="s">
        <v>15</v>
      </c>
      <c r="F1336" s="33">
        <v>42</v>
      </c>
      <c r="G1336" s="34">
        <v>503.18181820000001</v>
      </c>
    </row>
    <row r="1337" spans="1:7" ht="15.75" x14ac:dyDescent="0.25">
      <c r="A1337" s="38">
        <v>3651</v>
      </c>
      <c r="B1337" s="33">
        <v>2404</v>
      </c>
      <c r="C1337" s="33" t="s">
        <v>20</v>
      </c>
      <c r="D1337" s="33" t="s">
        <v>21</v>
      </c>
      <c r="E1337" s="33" t="s">
        <v>15</v>
      </c>
      <c r="F1337" s="33">
        <v>56</v>
      </c>
      <c r="G1337" s="34">
        <v>542.72727269999996</v>
      </c>
    </row>
    <row r="1338" spans="1:7" ht="15.75" x14ac:dyDescent="0.25">
      <c r="A1338" s="38">
        <v>3651</v>
      </c>
      <c r="B1338" s="33">
        <v>2404</v>
      </c>
      <c r="C1338" s="33" t="s">
        <v>20</v>
      </c>
      <c r="D1338" s="33" t="s">
        <v>21</v>
      </c>
      <c r="E1338" s="33" t="s">
        <v>15</v>
      </c>
      <c r="F1338" s="33">
        <v>70</v>
      </c>
      <c r="G1338" s="34">
        <v>569.54545450000001</v>
      </c>
    </row>
    <row r="1339" spans="1:7" ht="15.75" x14ac:dyDescent="0.25">
      <c r="A1339" s="38">
        <v>3653</v>
      </c>
      <c r="B1339" s="33">
        <v>2404</v>
      </c>
      <c r="C1339" s="33" t="s">
        <v>20</v>
      </c>
      <c r="D1339" s="33" t="s">
        <v>21</v>
      </c>
      <c r="E1339" s="33" t="s">
        <v>15</v>
      </c>
      <c r="F1339" s="33">
        <v>0</v>
      </c>
      <c r="G1339" s="38">
        <v>455</v>
      </c>
    </row>
    <row r="1340" spans="1:7" ht="15.75" x14ac:dyDescent="0.25">
      <c r="A1340" s="38">
        <v>3653</v>
      </c>
      <c r="B1340" s="33">
        <v>2404</v>
      </c>
      <c r="C1340" s="33" t="s">
        <v>20</v>
      </c>
      <c r="D1340" s="33" t="s">
        <v>21</v>
      </c>
      <c r="E1340" s="33" t="s">
        <v>15</v>
      </c>
      <c r="F1340" s="33">
        <v>14</v>
      </c>
      <c r="G1340" s="34">
        <v>477.72727270000001</v>
      </c>
    </row>
    <row r="1341" spans="1:7" ht="15.75" x14ac:dyDescent="0.25">
      <c r="A1341" s="38">
        <v>3653</v>
      </c>
      <c r="B1341" s="33">
        <v>2404</v>
      </c>
      <c r="C1341" s="33" t="s">
        <v>20</v>
      </c>
      <c r="D1341" s="33" t="s">
        <v>21</v>
      </c>
      <c r="E1341" s="33" t="s">
        <v>15</v>
      </c>
      <c r="F1341" s="33">
        <v>28</v>
      </c>
      <c r="G1341" s="34">
        <v>515</v>
      </c>
    </row>
    <row r="1342" spans="1:7" ht="15.75" x14ac:dyDescent="0.25">
      <c r="A1342" s="38">
        <v>3653</v>
      </c>
      <c r="B1342" s="33">
        <v>2404</v>
      </c>
      <c r="C1342" s="33" t="s">
        <v>20</v>
      </c>
      <c r="D1342" s="33" t="s">
        <v>21</v>
      </c>
      <c r="E1342" s="33" t="s">
        <v>15</v>
      </c>
      <c r="F1342" s="33">
        <v>42</v>
      </c>
      <c r="G1342" s="34">
        <v>551.81818180000005</v>
      </c>
    </row>
    <row r="1343" spans="1:7" ht="15.75" x14ac:dyDescent="0.25">
      <c r="A1343" s="38">
        <v>3653</v>
      </c>
      <c r="B1343" s="33">
        <v>2404</v>
      </c>
      <c r="C1343" s="33" t="s">
        <v>20</v>
      </c>
      <c r="D1343" s="33" t="s">
        <v>21</v>
      </c>
      <c r="E1343" s="33" t="s">
        <v>15</v>
      </c>
      <c r="F1343" s="33">
        <v>56</v>
      </c>
      <c r="G1343" s="34">
        <v>582.72727269999996</v>
      </c>
    </row>
    <row r="1344" spans="1:7" ht="15.75" x14ac:dyDescent="0.25">
      <c r="A1344" s="38">
        <v>3653</v>
      </c>
      <c r="B1344" s="33">
        <v>2404</v>
      </c>
      <c r="C1344" s="33" t="s">
        <v>20</v>
      </c>
      <c r="D1344" s="33" t="s">
        <v>21</v>
      </c>
      <c r="E1344" s="33" t="s">
        <v>15</v>
      </c>
      <c r="F1344" s="33">
        <v>70</v>
      </c>
      <c r="G1344" s="34">
        <v>623.63636359999998</v>
      </c>
    </row>
    <row r="1345" spans="1:7" ht="15.75" x14ac:dyDescent="0.25">
      <c r="A1345" s="38">
        <v>3655</v>
      </c>
      <c r="B1345" s="33">
        <v>2404</v>
      </c>
      <c r="C1345" s="33" t="s">
        <v>20</v>
      </c>
      <c r="D1345" s="33" t="s">
        <v>21</v>
      </c>
      <c r="E1345" s="33" t="s">
        <v>15</v>
      </c>
      <c r="F1345" s="33">
        <v>0</v>
      </c>
      <c r="G1345" s="38">
        <v>437.72727270000001</v>
      </c>
    </row>
    <row r="1346" spans="1:7" ht="15.75" x14ac:dyDescent="0.25">
      <c r="A1346" s="38">
        <v>3655</v>
      </c>
      <c r="B1346" s="33">
        <v>2404</v>
      </c>
      <c r="C1346" s="33" t="s">
        <v>20</v>
      </c>
      <c r="D1346" s="33" t="s">
        <v>21</v>
      </c>
      <c r="E1346" s="33" t="s">
        <v>15</v>
      </c>
      <c r="F1346" s="33">
        <v>14</v>
      </c>
      <c r="G1346" s="34">
        <v>450.90909090000002</v>
      </c>
    </row>
    <row r="1347" spans="1:7" ht="15.75" x14ac:dyDescent="0.25">
      <c r="A1347" s="38">
        <v>3655</v>
      </c>
      <c r="B1347" s="33">
        <v>2404</v>
      </c>
      <c r="C1347" s="33" t="s">
        <v>20</v>
      </c>
      <c r="D1347" s="33" t="s">
        <v>21</v>
      </c>
      <c r="E1347" s="33" t="s">
        <v>15</v>
      </c>
      <c r="F1347" s="33">
        <v>28</v>
      </c>
      <c r="G1347" s="34">
        <v>474.54545450000001</v>
      </c>
    </row>
    <row r="1348" spans="1:7" ht="15.75" x14ac:dyDescent="0.25">
      <c r="A1348" s="38">
        <v>3655</v>
      </c>
      <c r="B1348" s="33">
        <v>2404</v>
      </c>
      <c r="C1348" s="33" t="s">
        <v>20</v>
      </c>
      <c r="D1348" s="33" t="s">
        <v>21</v>
      </c>
      <c r="E1348" s="33" t="s">
        <v>15</v>
      </c>
      <c r="F1348" s="33">
        <v>42</v>
      </c>
      <c r="G1348" s="34">
        <v>507.72727270000001</v>
      </c>
    </row>
    <row r="1349" spans="1:7" ht="15.75" x14ac:dyDescent="0.25">
      <c r="A1349" s="38">
        <v>3655</v>
      </c>
      <c r="B1349" s="33">
        <v>2404</v>
      </c>
      <c r="C1349" s="33" t="s">
        <v>20</v>
      </c>
      <c r="D1349" s="33" t="s">
        <v>21</v>
      </c>
      <c r="E1349" s="33" t="s">
        <v>15</v>
      </c>
      <c r="F1349" s="33">
        <v>56</v>
      </c>
      <c r="G1349" s="34">
        <v>532.72727269999996</v>
      </c>
    </row>
    <row r="1350" spans="1:7" ht="15.75" x14ac:dyDescent="0.25">
      <c r="A1350" s="38">
        <v>3655</v>
      </c>
      <c r="B1350" s="33">
        <v>2404</v>
      </c>
      <c r="C1350" s="33" t="s">
        <v>20</v>
      </c>
      <c r="D1350" s="33" t="s">
        <v>21</v>
      </c>
      <c r="E1350" s="33" t="s">
        <v>15</v>
      </c>
      <c r="F1350" s="33">
        <v>70</v>
      </c>
      <c r="G1350" s="34">
        <v>577.72727269999996</v>
      </c>
    </row>
    <row r="1351" spans="1:7" ht="15.75" x14ac:dyDescent="0.25">
      <c r="A1351" s="38">
        <v>3660</v>
      </c>
      <c r="B1351" s="33">
        <v>2404</v>
      </c>
      <c r="C1351" s="33" t="s">
        <v>23</v>
      </c>
      <c r="D1351" s="33" t="s">
        <v>21</v>
      </c>
      <c r="E1351" s="33" t="s">
        <v>24</v>
      </c>
      <c r="F1351" s="33">
        <v>0</v>
      </c>
      <c r="G1351" s="38">
        <v>426.81818179999999</v>
      </c>
    </row>
    <row r="1352" spans="1:7" ht="15.75" x14ac:dyDescent="0.25">
      <c r="A1352" s="38">
        <v>3660</v>
      </c>
      <c r="B1352" s="33">
        <v>2404</v>
      </c>
      <c r="C1352" s="33" t="s">
        <v>23</v>
      </c>
      <c r="D1352" s="33" t="s">
        <v>21</v>
      </c>
      <c r="E1352" s="33" t="s">
        <v>24</v>
      </c>
      <c r="F1352" s="33">
        <v>14</v>
      </c>
      <c r="G1352" s="34">
        <v>384.54545450000001</v>
      </c>
    </row>
    <row r="1353" spans="1:7" ht="15.75" x14ac:dyDescent="0.25">
      <c r="A1353" s="38">
        <v>3660</v>
      </c>
      <c r="B1353" s="33">
        <v>2404</v>
      </c>
      <c r="C1353" s="33" t="s">
        <v>23</v>
      </c>
      <c r="D1353" s="33" t="s">
        <v>21</v>
      </c>
      <c r="E1353" s="33" t="s">
        <v>24</v>
      </c>
      <c r="F1353" s="33">
        <v>28</v>
      </c>
      <c r="G1353" s="34">
        <v>383.18181820000001</v>
      </c>
    </row>
    <row r="1354" spans="1:7" ht="15.75" x14ac:dyDescent="0.25">
      <c r="A1354" s="38">
        <v>3660</v>
      </c>
      <c r="B1354" s="33">
        <v>2404</v>
      </c>
      <c r="C1354" s="33" t="s">
        <v>23</v>
      </c>
      <c r="D1354" s="33" t="s">
        <v>21</v>
      </c>
      <c r="E1354" s="33" t="s">
        <v>24</v>
      </c>
      <c r="F1354" s="33">
        <v>42</v>
      </c>
      <c r="G1354" s="34">
        <v>418.63636359999998</v>
      </c>
    </row>
    <row r="1355" spans="1:7" ht="15.75" x14ac:dyDescent="0.25">
      <c r="A1355" s="38">
        <v>3660</v>
      </c>
      <c r="B1355" s="33">
        <v>2404</v>
      </c>
      <c r="C1355" s="33" t="s">
        <v>23</v>
      </c>
      <c r="D1355" s="33" t="s">
        <v>21</v>
      </c>
      <c r="E1355" s="33" t="s">
        <v>24</v>
      </c>
      <c r="F1355" s="33">
        <v>56</v>
      </c>
      <c r="G1355" s="34">
        <v>445.45454549999999</v>
      </c>
    </row>
    <row r="1356" spans="1:7" ht="15.75" x14ac:dyDescent="0.25">
      <c r="A1356" s="38">
        <v>3660</v>
      </c>
      <c r="B1356" s="33">
        <v>2404</v>
      </c>
      <c r="C1356" s="33" t="s">
        <v>23</v>
      </c>
      <c r="D1356" s="33" t="s">
        <v>21</v>
      </c>
      <c r="E1356" s="33" t="s">
        <v>24</v>
      </c>
      <c r="F1356" s="33">
        <v>70</v>
      </c>
      <c r="G1356" s="34">
        <v>480</v>
      </c>
    </row>
    <row r="1357" spans="1:7" ht="15.75" x14ac:dyDescent="0.25">
      <c r="A1357" s="38">
        <v>3662</v>
      </c>
      <c r="B1357" s="33">
        <v>2404</v>
      </c>
      <c r="C1357" s="33" t="s">
        <v>23</v>
      </c>
      <c r="D1357" s="33" t="s">
        <v>21</v>
      </c>
      <c r="E1357" s="33" t="s">
        <v>24</v>
      </c>
      <c r="F1357" s="33">
        <v>0</v>
      </c>
      <c r="G1357" s="38">
        <v>370</v>
      </c>
    </row>
    <row r="1358" spans="1:7" ht="15.75" x14ac:dyDescent="0.25">
      <c r="A1358" s="38">
        <v>3662</v>
      </c>
      <c r="B1358" s="33">
        <v>2404</v>
      </c>
      <c r="C1358" s="33" t="s">
        <v>23</v>
      </c>
      <c r="D1358" s="33" t="s">
        <v>21</v>
      </c>
      <c r="E1358" s="33" t="s">
        <v>24</v>
      </c>
      <c r="F1358" s="33">
        <v>14</v>
      </c>
      <c r="G1358" s="34">
        <v>385.45454549999999</v>
      </c>
    </row>
    <row r="1359" spans="1:7" ht="15.75" x14ac:dyDescent="0.25">
      <c r="A1359" s="38">
        <v>3662</v>
      </c>
      <c r="B1359" s="33">
        <v>2404</v>
      </c>
      <c r="C1359" s="33" t="s">
        <v>23</v>
      </c>
      <c r="D1359" s="33" t="s">
        <v>21</v>
      </c>
      <c r="E1359" s="33" t="s">
        <v>24</v>
      </c>
      <c r="F1359" s="33">
        <v>28</v>
      </c>
      <c r="G1359" s="34">
        <v>396.81818179999999</v>
      </c>
    </row>
    <row r="1360" spans="1:7" ht="15.75" x14ac:dyDescent="0.25">
      <c r="A1360" s="38">
        <v>3662</v>
      </c>
      <c r="B1360" s="33">
        <v>2404</v>
      </c>
      <c r="C1360" s="33" t="s">
        <v>23</v>
      </c>
      <c r="D1360" s="33" t="s">
        <v>21</v>
      </c>
      <c r="E1360" s="33" t="s">
        <v>24</v>
      </c>
      <c r="F1360" s="33">
        <v>42</v>
      </c>
      <c r="G1360" s="34">
        <v>422.72727270000001</v>
      </c>
    </row>
    <row r="1361" spans="1:7" ht="15.75" x14ac:dyDescent="0.25">
      <c r="A1361" s="38">
        <v>3662</v>
      </c>
      <c r="B1361" s="33">
        <v>2404</v>
      </c>
      <c r="C1361" s="33" t="s">
        <v>23</v>
      </c>
      <c r="D1361" s="33" t="s">
        <v>21</v>
      </c>
      <c r="E1361" s="33" t="s">
        <v>24</v>
      </c>
      <c r="F1361" s="33">
        <v>56</v>
      </c>
      <c r="G1361" s="34">
        <v>448.18181820000001</v>
      </c>
    </row>
    <row r="1362" spans="1:7" ht="15.75" x14ac:dyDescent="0.25">
      <c r="A1362" s="38">
        <v>3662</v>
      </c>
      <c r="B1362" s="33">
        <v>2404</v>
      </c>
      <c r="C1362" s="33" t="s">
        <v>23</v>
      </c>
      <c r="D1362" s="33" t="s">
        <v>21</v>
      </c>
      <c r="E1362" s="33" t="s">
        <v>24</v>
      </c>
      <c r="F1362" s="33">
        <v>70</v>
      </c>
      <c r="G1362" s="34">
        <v>489.09090909999998</v>
      </c>
    </row>
    <row r="1363" spans="1:7" ht="15.75" x14ac:dyDescent="0.25">
      <c r="A1363" s="38">
        <v>3677</v>
      </c>
      <c r="B1363" s="33">
        <v>2404</v>
      </c>
      <c r="C1363" s="33" t="s">
        <v>23</v>
      </c>
      <c r="D1363" s="33" t="s">
        <v>21</v>
      </c>
      <c r="E1363" s="33" t="s">
        <v>24</v>
      </c>
      <c r="F1363" s="33">
        <v>0</v>
      </c>
      <c r="G1363" s="38">
        <v>406.81818179999999</v>
      </c>
    </row>
    <row r="1364" spans="1:7" ht="15.75" x14ac:dyDescent="0.25">
      <c r="A1364" s="38">
        <v>3677</v>
      </c>
      <c r="B1364" s="33">
        <v>2404</v>
      </c>
      <c r="C1364" s="33" t="s">
        <v>23</v>
      </c>
      <c r="D1364" s="33" t="s">
        <v>21</v>
      </c>
      <c r="E1364" s="33" t="s">
        <v>24</v>
      </c>
      <c r="F1364" s="33">
        <v>14</v>
      </c>
      <c r="G1364" s="34">
        <v>434.09090909999998</v>
      </c>
    </row>
    <row r="1365" spans="1:7" ht="15.75" x14ac:dyDescent="0.25">
      <c r="A1365" s="38">
        <v>3677</v>
      </c>
      <c r="B1365" s="33">
        <v>2404</v>
      </c>
      <c r="C1365" s="33" t="s">
        <v>23</v>
      </c>
      <c r="D1365" s="33" t="s">
        <v>21</v>
      </c>
      <c r="E1365" s="33" t="s">
        <v>24</v>
      </c>
      <c r="F1365" s="33">
        <v>28</v>
      </c>
      <c r="G1365" s="34">
        <v>456.36363640000002</v>
      </c>
    </row>
    <row r="1366" spans="1:7" ht="15.75" x14ac:dyDescent="0.25">
      <c r="A1366" s="38">
        <v>3677</v>
      </c>
      <c r="B1366" s="33">
        <v>2404</v>
      </c>
      <c r="C1366" s="33" t="s">
        <v>23</v>
      </c>
      <c r="D1366" s="33" t="s">
        <v>21</v>
      </c>
      <c r="E1366" s="33" t="s">
        <v>24</v>
      </c>
      <c r="F1366" s="33">
        <v>42</v>
      </c>
      <c r="G1366" s="34">
        <v>475.90909090000002</v>
      </c>
    </row>
    <row r="1367" spans="1:7" ht="15.75" x14ac:dyDescent="0.25">
      <c r="A1367" s="38">
        <v>3677</v>
      </c>
      <c r="B1367" s="33">
        <v>2404</v>
      </c>
      <c r="C1367" s="33" t="s">
        <v>23</v>
      </c>
      <c r="D1367" s="33" t="s">
        <v>21</v>
      </c>
      <c r="E1367" s="33" t="s">
        <v>24</v>
      </c>
      <c r="F1367" s="33">
        <v>56</v>
      </c>
      <c r="G1367" s="34">
        <v>496.36363640000002</v>
      </c>
    </row>
    <row r="1368" spans="1:7" ht="15.75" x14ac:dyDescent="0.25">
      <c r="A1368" s="38">
        <v>3677</v>
      </c>
      <c r="B1368" s="33">
        <v>2404</v>
      </c>
      <c r="C1368" s="33" t="s">
        <v>23</v>
      </c>
      <c r="D1368" s="33" t="s">
        <v>21</v>
      </c>
      <c r="E1368" s="33" t="s">
        <v>24</v>
      </c>
      <c r="F1368" s="33">
        <v>70</v>
      </c>
      <c r="G1368" s="34">
        <v>514.54545450000001</v>
      </c>
    </row>
    <row r="1369" spans="1:7" ht="15.75" x14ac:dyDescent="0.25">
      <c r="A1369" s="38">
        <v>3678</v>
      </c>
      <c r="B1369" s="33">
        <v>2404</v>
      </c>
      <c r="C1369" s="33" t="s">
        <v>20</v>
      </c>
      <c r="D1369" s="33" t="s">
        <v>21</v>
      </c>
      <c r="E1369" s="33" t="s">
        <v>15</v>
      </c>
      <c r="F1369" s="33">
        <v>0</v>
      </c>
      <c r="G1369" s="38">
        <v>411.81818179999999</v>
      </c>
    </row>
    <row r="1370" spans="1:7" ht="15.75" x14ac:dyDescent="0.25">
      <c r="A1370" s="38">
        <v>3678</v>
      </c>
      <c r="B1370" s="33">
        <v>2404</v>
      </c>
      <c r="C1370" s="33" t="s">
        <v>20</v>
      </c>
      <c r="D1370" s="33" t="s">
        <v>21</v>
      </c>
      <c r="E1370" s="33" t="s">
        <v>15</v>
      </c>
      <c r="F1370" s="33">
        <v>14</v>
      </c>
      <c r="G1370" s="34">
        <v>416.81818179999999</v>
      </c>
    </row>
    <row r="1371" spans="1:7" ht="15.75" x14ac:dyDescent="0.25">
      <c r="A1371" s="38">
        <v>3678</v>
      </c>
      <c r="B1371" s="33">
        <v>2404</v>
      </c>
      <c r="C1371" s="33" t="s">
        <v>20</v>
      </c>
      <c r="D1371" s="33" t="s">
        <v>21</v>
      </c>
      <c r="E1371" s="33" t="s">
        <v>15</v>
      </c>
      <c r="F1371" s="33">
        <v>28</v>
      </c>
      <c r="G1371" s="34">
        <v>446.36363640000002</v>
      </c>
    </row>
    <row r="1372" spans="1:7" ht="15.75" x14ac:dyDescent="0.25">
      <c r="A1372" s="38">
        <v>3678</v>
      </c>
      <c r="B1372" s="33">
        <v>2404</v>
      </c>
      <c r="C1372" s="33" t="s">
        <v>20</v>
      </c>
      <c r="D1372" s="33" t="s">
        <v>21</v>
      </c>
      <c r="E1372" s="33" t="s">
        <v>15</v>
      </c>
      <c r="F1372" s="33">
        <v>42</v>
      </c>
      <c r="G1372" s="34">
        <v>470.90909090000002</v>
      </c>
    </row>
    <row r="1373" spans="1:7" ht="15.75" x14ac:dyDescent="0.25">
      <c r="A1373" s="38">
        <v>3678</v>
      </c>
      <c r="B1373" s="33">
        <v>2404</v>
      </c>
      <c r="C1373" s="33" t="s">
        <v>20</v>
      </c>
      <c r="D1373" s="33" t="s">
        <v>21</v>
      </c>
      <c r="E1373" s="33" t="s">
        <v>15</v>
      </c>
      <c r="F1373" s="33">
        <v>56</v>
      </c>
      <c r="G1373" s="34">
        <v>486.36363640000002</v>
      </c>
    </row>
    <row r="1374" spans="1:7" ht="15.75" x14ac:dyDescent="0.25">
      <c r="A1374" s="38">
        <v>3678</v>
      </c>
      <c r="B1374" s="33">
        <v>2404</v>
      </c>
      <c r="C1374" s="33" t="s">
        <v>20</v>
      </c>
      <c r="D1374" s="33" t="s">
        <v>21</v>
      </c>
      <c r="E1374" s="33" t="s">
        <v>15</v>
      </c>
      <c r="F1374" s="33">
        <v>70</v>
      </c>
      <c r="G1374" s="34">
        <v>516.36363640000002</v>
      </c>
    </row>
    <row r="1375" spans="1:7" ht="15.75" x14ac:dyDescent="0.25">
      <c r="A1375" s="38">
        <v>3683</v>
      </c>
      <c r="B1375" s="33">
        <v>2404</v>
      </c>
      <c r="C1375" s="33" t="s">
        <v>27</v>
      </c>
      <c r="D1375" s="33" t="s">
        <v>15</v>
      </c>
      <c r="E1375" s="33" t="s">
        <v>24</v>
      </c>
      <c r="F1375" s="33">
        <v>0</v>
      </c>
      <c r="G1375" s="38">
        <v>481.81818179999999</v>
      </c>
    </row>
    <row r="1376" spans="1:7" ht="15.75" x14ac:dyDescent="0.25">
      <c r="A1376" s="38">
        <v>3683</v>
      </c>
      <c r="B1376" s="33">
        <v>2404</v>
      </c>
      <c r="C1376" s="33" t="s">
        <v>27</v>
      </c>
      <c r="D1376" s="33" t="s">
        <v>15</v>
      </c>
      <c r="E1376" s="33" t="s">
        <v>24</v>
      </c>
      <c r="F1376" s="33">
        <v>14</v>
      </c>
      <c r="G1376" s="34">
        <v>515.45454549999999</v>
      </c>
    </row>
    <row r="1377" spans="1:7" ht="15.75" x14ac:dyDescent="0.25">
      <c r="A1377" s="38">
        <v>3683</v>
      </c>
      <c r="B1377" s="33">
        <v>2404</v>
      </c>
      <c r="C1377" s="33" t="s">
        <v>27</v>
      </c>
      <c r="D1377" s="33" t="s">
        <v>15</v>
      </c>
      <c r="E1377" s="33" t="s">
        <v>24</v>
      </c>
      <c r="F1377" s="33">
        <v>28</v>
      </c>
      <c r="G1377" s="34">
        <v>542.72727269999996</v>
      </c>
    </row>
    <row r="1378" spans="1:7" ht="15.75" x14ac:dyDescent="0.25">
      <c r="A1378" s="38">
        <v>3683</v>
      </c>
      <c r="B1378" s="33">
        <v>2404</v>
      </c>
      <c r="C1378" s="33" t="s">
        <v>27</v>
      </c>
      <c r="D1378" s="33" t="s">
        <v>15</v>
      </c>
      <c r="E1378" s="33" t="s">
        <v>24</v>
      </c>
      <c r="F1378" s="33">
        <v>42</v>
      </c>
      <c r="G1378" s="34">
        <v>576.36363640000002</v>
      </c>
    </row>
    <row r="1379" spans="1:7" ht="15.75" x14ac:dyDescent="0.25">
      <c r="A1379" s="38">
        <v>3683</v>
      </c>
      <c r="B1379" s="33">
        <v>2404</v>
      </c>
      <c r="C1379" s="33" t="s">
        <v>27</v>
      </c>
      <c r="D1379" s="33" t="s">
        <v>15</v>
      </c>
      <c r="E1379" s="33" t="s">
        <v>24</v>
      </c>
      <c r="F1379" s="33">
        <v>56</v>
      </c>
      <c r="G1379" s="34">
        <v>606.36363640000002</v>
      </c>
    </row>
    <row r="1380" spans="1:7" ht="15.75" x14ac:dyDescent="0.25">
      <c r="A1380" s="38">
        <v>3683</v>
      </c>
      <c r="B1380" s="33">
        <v>2404</v>
      </c>
      <c r="C1380" s="33" t="s">
        <v>27</v>
      </c>
      <c r="D1380" s="33" t="s">
        <v>15</v>
      </c>
      <c r="E1380" s="33" t="s">
        <v>24</v>
      </c>
      <c r="F1380" s="33">
        <v>70</v>
      </c>
      <c r="G1380" s="34">
        <v>643.63636359999998</v>
      </c>
    </row>
  </sheetData>
  <sortState xmlns:xlrd2="http://schemas.microsoft.com/office/spreadsheetml/2017/richdata2" ref="A2:G1380">
    <sortCondition ref="A2:A1380"/>
    <sortCondition ref="F2:F138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25E1-BB22-4C09-9273-67179412EE9D}">
  <dimension ref="A1:W230"/>
  <sheetViews>
    <sheetView tabSelected="1" workbookViewId="0">
      <selection activeCell="E7" sqref="E7"/>
    </sheetView>
  </sheetViews>
  <sheetFormatPr defaultRowHeight="15" x14ac:dyDescent="0.25"/>
  <sheetData>
    <row r="1" spans="1:23" ht="15.75" x14ac:dyDescent="0.25">
      <c r="A1" s="2" t="s">
        <v>0</v>
      </c>
      <c r="B1" s="2" t="s">
        <v>129</v>
      </c>
      <c r="C1" s="2" t="s">
        <v>8</v>
      </c>
      <c r="D1" s="2" t="s">
        <v>7</v>
      </c>
      <c r="E1" s="2" t="s">
        <v>48</v>
      </c>
      <c r="F1" s="2" t="s">
        <v>49</v>
      </c>
      <c r="G1" s="2" t="s">
        <v>50</v>
      </c>
      <c r="H1" s="2" t="s">
        <v>130</v>
      </c>
      <c r="I1" s="2" t="s">
        <v>131</v>
      </c>
      <c r="J1" s="2" t="s">
        <v>132</v>
      </c>
      <c r="K1" s="2" t="s">
        <v>133</v>
      </c>
      <c r="L1" s="2" t="s">
        <v>134</v>
      </c>
      <c r="M1" s="2" t="s">
        <v>135</v>
      </c>
      <c r="N1" s="2" t="s">
        <v>136</v>
      </c>
      <c r="O1" s="2" t="s">
        <v>137</v>
      </c>
      <c r="R1" s="2" t="s">
        <v>160</v>
      </c>
      <c r="U1" t="s">
        <v>135</v>
      </c>
    </row>
    <row r="2" spans="1:23" ht="15.75" x14ac:dyDescent="0.25">
      <c r="A2" s="2">
        <v>2505</v>
      </c>
      <c r="B2" s="2">
        <v>4</v>
      </c>
      <c r="C2" s="2">
        <v>2304</v>
      </c>
      <c r="D2" s="2" t="s">
        <v>16</v>
      </c>
      <c r="E2" s="2" t="s">
        <v>14</v>
      </c>
      <c r="F2" s="2" t="s">
        <v>15</v>
      </c>
      <c r="G2" s="2" t="s">
        <v>15</v>
      </c>
      <c r="H2" s="2">
        <v>91.644393579999999</v>
      </c>
      <c r="I2" s="2">
        <v>1.487012987</v>
      </c>
      <c r="J2" s="39">
        <v>14.125714289999999</v>
      </c>
      <c r="K2" s="39">
        <v>13.513071500000001</v>
      </c>
      <c r="L2" s="39">
        <v>0.61264278100000003</v>
      </c>
      <c r="M2" s="39">
        <v>0.105269932</v>
      </c>
      <c r="N2" s="39">
        <v>1.134405358</v>
      </c>
      <c r="O2" s="39">
        <v>0.35260762899999998</v>
      </c>
      <c r="Q2" t="s">
        <v>183</v>
      </c>
      <c r="R2" t="s">
        <v>16</v>
      </c>
      <c r="S2" t="s">
        <v>37</v>
      </c>
      <c r="U2" t="s">
        <v>183</v>
      </c>
      <c r="V2" t="s">
        <v>16</v>
      </c>
      <c r="W2" t="s">
        <v>37</v>
      </c>
    </row>
    <row r="3" spans="1:23" ht="15.75" x14ac:dyDescent="0.25">
      <c r="A3" s="2">
        <v>2510</v>
      </c>
      <c r="B3" s="2">
        <v>3</v>
      </c>
      <c r="C3" s="2">
        <v>2304</v>
      </c>
      <c r="D3" s="2" t="s">
        <v>16</v>
      </c>
      <c r="E3" s="2" t="s">
        <v>14</v>
      </c>
      <c r="F3" s="2" t="s">
        <v>15</v>
      </c>
      <c r="G3" s="2" t="s">
        <v>15</v>
      </c>
      <c r="H3" s="2">
        <v>94.577807590000006</v>
      </c>
      <c r="I3" s="2">
        <v>1.1688311689999999</v>
      </c>
      <c r="J3" s="39">
        <v>14.16901408</v>
      </c>
      <c r="K3" s="39">
        <v>13.566210890000001</v>
      </c>
      <c r="L3" s="39">
        <v>0.60280319599999999</v>
      </c>
      <c r="M3" s="39">
        <v>8.2492061000000005E-2</v>
      </c>
      <c r="N3" s="39">
        <v>1.143450954</v>
      </c>
      <c r="O3" s="39">
        <v>2.5380215000000001E-2</v>
      </c>
      <c r="Q3" t="s">
        <v>49</v>
      </c>
      <c r="U3" t="s">
        <v>49</v>
      </c>
    </row>
    <row r="4" spans="1:23" ht="15.75" x14ac:dyDescent="0.25">
      <c r="A4" s="2">
        <v>2517</v>
      </c>
      <c r="B4" s="2">
        <v>4</v>
      </c>
      <c r="C4" s="2">
        <v>2304</v>
      </c>
      <c r="D4" s="2" t="s">
        <v>16</v>
      </c>
      <c r="E4" s="2" t="s">
        <v>14</v>
      </c>
      <c r="F4" s="2" t="s">
        <v>15</v>
      </c>
      <c r="G4" s="2" t="s">
        <v>15</v>
      </c>
      <c r="H4" s="2">
        <v>105.8812806</v>
      </c>
      <c r="I4" s="2">
        <v>1.253246753</v>
      </c>
      <c r="J4" s="39">
        <v>15.807142860000001</v>
      </c>
      <c r="K4" s="39">
        <v>15.08914983</v>
      </c>
      <c r="L4" s="39">
        <v>0.71799302899999995</v>
      </c>
      <c r="M4" s="39">
        <v>7.9283571999999997E-2</v>
      </c>
      <c r="N4" s="39">
        <v>1.183653437</v>
      </c>
      <c r="O4" s="39">
        <v>6.9593316000000002E-2</v>
      </c>
      <c r="Q4" t="s">
        <v>15</v>
      </c>
      <c r="R4">
        <f>AVERAGE(J2:J56)</f>
        <v>12.865900264545454</v>
      </c>
      <c r="S4">
        <f>AVERAGE(J117:J164)</f>
        <v>15.673343505708331</v>
      </c>
      <c r="U4" t="s">
        <v>15</v>
      </c>
      <c r="V4">
        <f>1/AVERAGE(M2:M56)</f>
        <v>7.1774114967097189</v>
      </c>
      <c r="W4">
        <f>1/AVERAGE(M117:M164)</f>
        <v>7.3750737105391133</v>
      </c>
    </row>
    <row r="5" spans="1:23" ht="15.75" x14ac:dyDescent="0.25">
      <c r="A5" s="2">
        <v>2523</v>
      </c>
      <c r="B5" s="2">
        <v>3</v>
      </c>
      <c r="C5" s="2">
        <v>2304</v>
      </c>
      <c r="D5" s="2" t="s">
        <v>16</v>
      </c>
      <c r="E5" s="2" t="s">
        <v>14</v>
      </c>
      <c r="F5" s="2" t="s">
        <v>15</v>
      </c>
      <c r="G5" s="2" t="s">
        <v>15</v>
      </c>
      <c r="H5" s="2">
        <v>101.1619184</v>
      </c>
      <c r="I5" s="2">
        <v>1.6688311689999999</v>
      </c>
      <c r="J5" s="39">
        <v>11.91408451</v>
      </c>
      <c r="K5" s="39">
        <v>14.906776470000001</v>
      </c>
      <c r="L5" s="39">
        <v>-2.992691963</v>
      </c>
      <c r="M5" s="39">
        <v>0.14007212799999999</v>
      </c>
      <c r="N5" s="39">
        <v>1.1552063960000001</v>
      </c>
      <c r="O5" s="39">
        <v>0.51362477299999998</v>
      </c>
      <c r="Q5" t="s">
        <v>21</v>
      </c>
      <c r="R5">
        <f>AVERAGE(J57:J116)</f>
        <v>11.599216850983332</v>
      </c>
      <c r="S5">
        <f>AVERAGE(J166:J230)</f>
        <v>13.778603357492312</v>
      </c>
      <c r="U5" t="s">
        <v>21</v>
      </c>
      <c r="V5">
        <f>1/AVERAGE(M57:M116)</f>
        <v>6.6547571299314123</v>
      </c>
      <c r="W5">
        <f>1/AVERAGE(M166:M230)</f>
        <v>7.1837391296565745</v>
      </c>
    </row>
    <row r="6" spans="1:23" ht="15.75" x14ac:dyDescent="0.25">
      <c r="A6" s="2">
        <v>2534</v>
      </c>
      <c r="B6" s="2">
        <v>3</v>
      </c>
      <c r="C6" s="2">
        <v>2304</v>
      </c>
      <c r="D6" s="2" t="s">
        <v>16</v>
      </c>
      <c r="E6" s="2" t="s">
        <v>14</v>
      </c>
      <c r="F6" s="2" t="s">
        <v>15</v>
      </c>
      <c r="G6" s="2" t="s">
        <v>15</v>
      </c>
      <c r="H6" s="2">
        <v>95.548864469999998</v>
      </c>
      <c r="I6" s="2">
        <v>1.766233766</v>
      </c>
      <c r="J6" s="39">
        <v>11.76338028</v>
      </c>
      <c r="K6" s="39">
        <v>14.2906581</v>
      </c>
      <c r="L6" s="39">
        <v>-2.5272778140000001</v>
      </c>
      <c r="M6" s="39">
        <v>0.150146788</v>
      </c>
      <c r="N6" s="39">
        <v>1.137651183</v>
      </c>
      <c r="O6" s="39">
        <v>0.62858258300000003</v>
      </c>
    </row>
    <row r="7" spans="1:23" ht="15.75" x14ac:dyDescent="0.25">
      <c r="A7" s="2">
        <v>2548</v>
      </c>
      <c r="B7" s="2">
        <v>4</v>
      </c>
      <c r="C7" s="2">
        <v>2304</v>
      </c>
      <c r="D7" s="2" t="s">
        <v>16</v>
      </c>
      <c r="E7" s="2" t="s">
        <v>14</v>
      </c>
      <c r="F7" s="2" t="s">
        <v>15</v>
      </c>
      <c r="G7" s="2" t="s">
        <v>15</v>
      </c>
      <c r="H7" s="2">
        <v>101.673638</v>
      </c>
      <c r="I7" s="2">
        <v>1.3571428569999999</v>
      </c>
      <c r="J7" s="39">
        <v>16.49428571</v>
      </c>
      <c r="K7" s="39">
        <v>14.65835951</v>
      </c>
      <c r="L7" s="39">
        <v>1.835926202</v>
      </c>
      <c r="M7" s="39">
        <v>8.2279577000000007E-2</v>
      </c>
      <c r="N7" s="39">
        <v>1.1734013569999999</v>
      </c>
      <c r="O7" s="39">
        <v>0.1837415</v>
      </c>
    </row>
    <row r="8" spans="1:23" ht="15.75" x14ac:dyDescent="0.25">
      <c r="A8" s="2">
        <v>2555</v>
      </c>
      <c r="B8" s="2">
        <v>4</v>
      </c>
      <c r="C8" s="2">
        <v>2304</v>
      </c>
      <c r="D8" s="2" t="s">
        <v>16</v>
      </c>
      <c r="E8" s="2" t="s">
        <v>27</v>
      </c>
      <c r="F8" s="2" t="s">
        <v>15</v>
      </c>
      <c r="G8" s="2" t="s">
        <v>24</v>
      </c>
      <c r="H8" s="2">
        <v>92.625631130000002</v>
      </c>
      <c r="I8" s="2">
        <v>1.746753247</v>
      </c>
      <c r="J8" s="39">
        <v>14.185915489999999</v>
      </c>
      <c r="K8" s="39">
        <v>13.899169479999999</v>
      </c>
      <c r="L8" s="39">
        <v>0.28674601199999999</v>
      </c>
      <c r="M8" s="39">
        <v>0.12313292300000001</v>
      </c>
      <c r="N8" s="39">
        <v>1.137597279</v>
      </c>
      <c r="O8" s="39">
        <v>0.60915596800000005</v>
      </c>
    </row>
    <row r="9" spans="1:23" ht="15.75" x14ac:dyDescent="0.25">
      <c r="A9" s="2">
        <v>2558</v>
      </c>
      <c r="B9" s="2">
        <v>4</v>
      </c>
      <c r="C9" s="2">
        <v>2304</v>
      </c>
      <c r="D9" s="2" t="s">
        <v>16</v>
      </c>
      <c r="E9" s="2" t="s">
        <v>14</v>
      </c>
      <c r="F9" s="2" t="s">
        <v>15</v>
      </c>
      <c r="G9" s="2" t="s">
        <v>15</v>
      </c>
      <c r="H9" s="2">
        <v>92.776282760000001</v>
      </c>
      <c r="I9" s="2">
        <v>1.298701299</v>
      </c>
      <c r="J9" s="39">
        <v>14.00142857</v>
      </c>
      <c r="K9" s="39">
        <v>13.467653370000001</v>
      </c>
      <c r="L9" s="39">
        <v>0.53377520300000003</v>
      </c>
      <c r="M9" s="39">
        <v>9.2754913999999994E-2</v>
      </c>
      <c r="N9" s="39">
        <v>1.1373833280000001</v>
      </c>
      <c r="O9" s="39">
        <v>0.16131797</v>
      </c>
    </row>
    <row r="10" spans="1:23" ht="15.75" x14ac:dyDescent="0.25">
      <c r="A10" s="2">
        <v>2561</v>
      </c>
      <c r="B10" s="2">
        <v>3</v>
      </c>
      <c r="C10" s="2">
        <v>2304</v>
      </c>
      <c r="D10" s="2" t="s">
        <v>16</v>
      </c>
      <c r="E10" s="2" t="s">
        <v>27</v>
      </c>
      <c r="F10" s="2" t="s">
        <v>15</v>
      </c>
      <c r="G10" s="2" t="s">
        <v>24</v>
      </c>
      <c r="H10" s="2">
        <v>84.207352130000004</v>
      </c>
      <c r="I10" s="2">
        <v>1.8571428569999999</v>
      </c>
      <c r="J10" s="39">
        <v>10.812676059999999</v>
      </c>
      <c r="K10" s="39">
        <v>12.93923362</v>
      </c>
      <c r="L10" s="39">
        <v>-2.1265575669999999</v>
      </c>
      <c r="M10" s="39">
        <v>0.17175608000000001</v>
      </c>
      <c r="N10" s="39">
        <v>1.099831542</v>
      </c>
      <c r="O10" s="39">
        <v>0.75731131500000004</v>
      </c>
    </row>
    <row r="11" spans="1:23" ht="15.75" x14ac:dyDescent="0.25">
      <c r="A11" s="2">
        <v>2562</v>
      </c>
      <c r="B11" s="2">
        <v>4</v>
      </c>
      <c r="C11" s="2">
        <v>2304</v>
      </c>
      <c r="D11" s="2" t="s">
        <v>16</v>
      </c>
      <c r="E11" s="2" t="s">
        <v>14</v>
      </c>
      <c r="F11" s="2" t="s">
        <v>15</v>
      </c>
      <c r="G11" s="2" t="s">
        <v>15</v>
      </c>
      <c r="H11" s="2">
        <v>96.590953040000002</v>
      </c>
      <c r="I11" s="2">
        <v>1.5584415579999999</v>
      </c>
      <c r="J11" s="39">
        <v>14.52957746</v>
      </c>
      <c r="K11" s="39">
        <v>14.214220660000001</v>
      </c>
      <c r="L11" s="39">
        <v>0.31535680900000002</v>
      </c>
      <c r="M11" s="39">
        <v>0.107259937</v>
      </c>
      <c r="N11" s="39">
        <v>1.1508610720000001</v>
      </c>
      <c r="O11" s="39">
        <v>0.40758048600000002</v>
      </c>
    </row>
    <row r="12" spans="1:23" ht="15.75" x14ac:dyDescent="0.25">
      <c r="A12" s="2">
        <v>2565</v>
      </c>
      <c r="B12" s="2">
        <v>3</v>
      </c>
      <c r="C12" s="2">
        <v>2304</v>
      </c>
      <c r="D12" s="2" t="s">
        <v>16</v>
      </c>
      <c r="E12" s="2" t="s">
        <v>27</v>
      </c>
      <c r="F12" s="2" t="s">
        <v>15</v>
      </c>
      <c r="G12" s="2" t="s">
        <v>24</v>
      </c>
      <c r="H12" s="2">
        <v>96.219210720000007</v>
      </c>
      <c r="I12" s="2">
        <v>1.935064935</v>
      </c>
      <c r="J12" s="39">
        <v>16.432857139999999</v>
      </c>
      <c r="K12" s="39">
        <v>14.54576175</v>
      </c>
      <c r="L12" s="39">
        <v>1.887095389</v>
      </c>
      <c r="M12" s="39">
        <v>0.117755842</v>
      </c>
      <c r="N12" s="39">
        <v>1.156651211</v>
      </c>
      <c r="O12" s="39">
        <v>0.77841372399999997</v>
      </c>
    </row>
    <row r="13" spans="1:23" ht="15.75" x14ac:dyDescent="0.25">
      <c r="A13" s="2">
        <v>2568</v>
      </c>
      <c r="B13" s="2">
        <v>4</v>
      </c>
      <c r="C13" s="2">
        <v>2304</v>
      </c>
      <c r="D13" s="2" t="s">
        <v>16</v>
      </c>
      <c r="E13" s="2" t="s">
        <v>27</v>
      </c>
      <c r="F13" s="2" t="s">
        <v>15</v>
      </c>
      <c r="G13" s="2" t="s">
        <v>24</v>
      </c>
      <c r="H13" s="2">
        <v>94.577807590000006</v>
      </c>
      <c r="I13" s="2">
        <v>1.883116883</v>
      </c>
      <c r="J13" s="39">
        <v>15.804225349999999</v>
      </c>
      <c r="K13" s="39">
        <v>14.284689459999999</v>
      </c>
      <c r="L13" s="39">
        <v>1.5195358919999999</v>
      </c>
      <c r="M13" s="39">
        <v>0.119152748</v>
      </c>
      <c r="N13" s="39">
        <v>1.1493933119999999</v>
      </c>
      <c r="O13" s="39">
        <v>0.73372357099999996</v>
      </c>
    </row>
    <row r="14" spans="1:23" ht="15.75" x14ac:dyDescent="0.25">
      <c r="A14" s="2">
        <v>2569</v>
      </c>
      <c r="B14" s="2">
        <v>3</v>
      </c>
      <c r="C14" s="2">
        <v>2304</v>
      </c>
      <c r="D14" s="2" t="s">
        <v>16</v>
      </c>
      <c r="E14" s="2" t="s">
        <v>27</v>
      </c>
      <c r="F14" s="2" t="s">
        <v>15</v>
      </c>
      <c r="G14" s="2" t="s">
        <v>24</v>
      </c>
      <c r="H14" s="2">
        <v>91.190333100000004</v>
      </c>
      <c r="I14" s="2">
        <v>1.2597402600000001</v>
      </c>
      <c r="J14" s="39">
        <v>11.52535211</v>
      </c>
      <c r="K14" s="39">
        <v>13.22669911</v>
      </c>
      <c r="L14" s="39">
        <v>-1.7013469999999999</v>
      </c>
      <c r="M14" s="39">
        <v>0.109301672</v>
      </c>
      <c r="N14" s="39">
        <v>1.123579839</v>
      </c>
      <c r="O14" s="39">
        <v>0.136160421</v>
      </c>
    </row>
    <row r="15" spans="1:23" ht="15.75" x14ac:dyDescent="0.25">
      <c r="A15" s="2">
        <v>2571</v>
      </c>
      <c r="B15" s="2">
        <v>3</v>
      </c>
      <c r="C15" s="2">
        <v>2304</v>
      </c>
      <c r="D15" s="2" t="s">
        <v>16</v>
      </c>
      <c r="E15" s="2" t="s">
        <v>27</v>
      </c>
      <c r="F15" s="2" t="s">
        <v>15</v>
      </c>
      <c r="G15" s="2" t="s">
        <v>24</v>
      </c>
      <c r="H15" s="2">
        <v>102.33030479999999</v>
      </c>
      <c r="I15" s="2">
        <v>1.2207792209999999</v>
      </c>
      <c r="J15" s="39">
        <v>14.522535209999999</v>
      </c>
      <c r="K15" s="39">
        <v>14.60473657</v>
      </c>
      <c r="L15" s="39">
        <v>-8.2201362E-2</v>
      </c>
      <c r="M15" s="39">
        <v>8.4061026999999997E-2</v>
      </c>
      <c r="N15" s="39">
        <v>1.1682257170000001</v>
      </c>
      <c r="O15" s="39">
        <v>5.2553504000000001E-2</v>
      </c>
    </row>
    <row r="16" spans="1:23" ht="15.75" x14ac:dyDescent="0.25">
      <c r="A16" s="2">
        <v>2572</v>
      </c>
      <c r="B16" s="2">
        <v>3</v>
      </c>
      <c r="C16" s="2">
        <v>2304</v>
      </c>
      <c r="D16" s="2" t="s">
        <v>16</v>
      </c>
      <c r="E16" s="2" t="s">
        <v>14</v>
      </c>
      <c r="F16" s="2" t="s">
        <v>15</v>
      </c>
      <c r="G16" s="2" t="s">
        <v>15</v>
      </c>
      <c r="H16" s="2">
        <v>97.9992558</v>
      </c>
      <c r="I16" s="2">
        <v>1.636363636</v>
      </c>
      <c r="J16" s="39">
        <v>15.087323939999999</v>
      </c>
      <c r="K16" s="39">
        <v>14.47176441</v>
      </c>
      <c r="L16" s="39">
        <v>0.61555952999999997</v>
      </c>
      <c r="M16" s="39">
        <v>0.108459502</v>
      </c>
      <c r="N16" s="39">
        <v>1.1571550799999999</v>
      </c>
      <c r="O16" s="39">
        <v>0.47920855600000001</v>
      </c>
    </row>
    <row r="17" spans="1:15" ht="15.75" x14ac:dyDescent="0.25">
      <c r="A17" s="2">
        <v>2578</v>
      </c>
      <c r="B17" s="2">
        <v>3</v>
      </c>
      <c r="C17" s="2">
        <v>2304</v>
      </c>
      <c r="D17" s="2" t="s">
        <v>16</v>
      </c>
      <c r="E17" s="2" t="s">
        <v>27</v>
      </c>
      <c r="F17" s="2" t="s">
        <v>15</v>
      </c>
      <c r="G17" s="2" t="s">
        <v>24</v>
      </c>
      <c r="H17" s="2">
        <v>104.219521</v>
      </c>
      <c r="I17" s="2">
        <v>1.8311688310000001</v>
      </c>
      <c r="J17" s="39">
        <v>13.719718309999999</v>
      </c>
      <c r="K17" s="39">
        <v>15.45905526</v>
      </c>
      <c r="L17" s="39">
        <v>-1.739336947</v>
      </c>
      <c r="M17" s="39">
        <v>0.133469856</v>
      </c>
      <c r="N17" s="39">
        <v>1.1710326049999999</v>
      </c>
      <c r="O17" s="39">
        <v>0.66013622599999999</v>
      </c>
    </row>
    <row r="18" spans="1:15" ht="15.75" x14ac:dyDescent="0.25">
      <c r="A18" s="2">
        <v>2589</v>
      </c>
      <c r="B18" s="2">
        <v>4</v>
      </c>
      <c r="C18" s="2">
        <v>2304</v>
      </c>
      <c r="D18" s="2" t="s">
        <v>16</v>
      </c>
      <c r="E18" s="2" t="s">
        <v>14</v>
      </c>
      <c r="F18" s="2" t="s">
        <v>15</v>
      </c>
      <c r="G18" s="2" t="s">
        <v>15</v>
      </c>
      <c r="H18" s="2">
        <v>100.6493346</v>
      </c>
      <c r="I18" s="2">
        <v>1.512987013</v>
      </c>
      <c r="J18" s="39">
        <v>15.047142859999999</v>
      </c>
      <c r="K18" s="39">
        <v>14.684806590000001</v>
      </c>
      <c r="L18" s="39">
        <v>0.36233626800000002</v>
      </c>
      <c r="M18" s="39">
        <v>0.100549787</v>
      </c>
      <c r="N18" s="39">
        <v>1.1650388009999999</v>
      </c>
      <c r="O18" s="39">
        <v>0.34794821199999998</v>
      </c>
    </row>
    <row r="19" spans="1:15" ht="15.75" x14ac:dyDescent="0.25">
      <c r="A19" s="2">
        <v>2591</v>
      </c>
      <c r="B19" s="2">
        <v>3</v>
      </c>
      <c r="C19" s="2">
        <v>2304</v>
      </c>
      <c r="D19" s="2" t="s">
        <v>16</v>
      </c>
      <c r="E19" s="2" t="s">
        <v>27</v>
      </c>
      <c r="F19" s="2" t="s">
        <v>15</v>
      </c>
      <c r="G19" s="2" t="s">
        <v>24</v>
      </c>
      <c r="H19" s="2">
        <v>104.94310249999999</v>
      </c>
      <c r="I19" s="2">
        <v>1.980519481</v>
      </c>
      <c r="J19" s="39">
        <v>15.29014085</v>
      </c>
      <c r="K19" s="39">
        <v>15.701336619999999</v>
      </c>
      <c r="L19" s="39">
        <v>-0.41119577899999998</v>
      </c>
      <c r="M19" s="39">
        <v>0.12952918499999999</v>
      </c>
      <c r="N19" s="39">
        <v>1.178931972</v>
      </c>
      <c r="O19" s="39">
        <v>0.801587508</v>
      </c>
    </row>
    <row r="20" spans="1:15" ht="15.75" x14ac:dyDescent="0.25">
      <c r="A20" s="2">
        <v>2615</v>
      </c>
      <c r="B20" s="2">
        <v>4</v>
      </c>
      <c r="C20" s="2">
        <v>2304</v>
      </c>
      <c r="D20" s="2" t="s">
        <v>16</v>
      </c>
      <c r="E20" s="2" t="s">
        <v>14</v>
      </c>
      <c r="F20" s="2" t="s">
        <v>15</v>
      </c>
      <c r="G20" s="2" t="s">
        <v>15</v>
      </c>
      <c r="H20" s="2">
        <v>98.885240679999995</v>
      </c>
      <c r="I20" s="2">
        <v>1.480519481</v>
      </c>
      <c r="J20" s="39">
        <v>16.549295770000001</v>
      </c>
      <c r="K20" s="39">
        <v>14.427720450000001</v>
      </c>
      <c r="L20" s="39">
        <v>2.1215753249999998</v>
      </c>
      <c r="M20" s="39">
        <v>8.9461177000000003E-2</v>
      </c>
      <c r="N20" s="39">
        <v>1.1651524200000001</v>
      </c>
      <c r="O20" s="39">
        <v>0.31536705999999998</v>
      </c>
    </row>
    <row r="21" spans="1:15" ht="15.75" x14ac:dyDescent="0.25">
      <c r="A21" s="2">
        <v>2618</v>
      </c>
      <c r="B21" s="2">
        <v>4</v>
      </c>
      <c r="C21" s="2">
        <v>2304</v>
      </c>
      <c r="D21" s="2" t="s">
        <v>16</v>
      </c>
      <c r="E21" s="2" t="s">
        <v>14</v>
      </c>
      <c r="F21" s="2" t="s">
        <v>15</v>
      </c>
      <c r="G21" s="2" t="s">
        <v>15</v>
      </c>
      <c r="H21" s="2">
        <v>98.516403199999999</v>
      </c>
      <c r="I21" s="2">
        <v>1.766233766</v>
      </c>
      <c r="J21" s="39">
        <v>14.84225352</v>
      </c>
      <c r="K21" s="39">
        <v>14.668188369999999</v>
      </c>
      <c r="L21" s="39">
        <v>0.174065148</v>
      </c>
      <c r="M21" s="39">
        <v>0.119000377</v>
      </c>
      <c r="N21" s="39">
        <v>1.1578314510000001</v>
      </c>
      <c r="O21" s="39">
        <v>0.60840231499999997</v>
      </c>
    </row>
    <row r="22" spans="1:15" ht="15.75" x14ac:dyDescent="0.25">
      <c r="A22" s="2">
        <v>2629</v>
      </c>
      <c r="B22" s="2">
        <v>3</v>
      </c>
      <c r="C22" s="2">
        <v>2304</v>
      </c>
      <c r="D22" s="2" t="s">
        <v>16</v>
      </c>
      <c r="E22" s="2" t="s">
        <v>14</v>
      </c>
      <c r="F22" s="2" t="s">
        <v>15</v>
      </c>
      <c r="G22" s="2" t="s">
        <v>15</v>
      </c>
      <c r="H22" s="2">
        <v>105.01536900000001</v>
      </c>
      <c r="I22" s="2">
        <v>2.0584415580000002</v>
      </c>
      <c r="J22" s="39">
        <v>15.332394369999999</v>
      </c>
      <c r="K22" s="39">
        <v>15.78890986</v>
      </c>
      <c r="L22" s="39">
        <v>-0.45651549200000002</v>
      </c>
      <c r="M22" s="39">
        <v>0.13425440999999999</v>
      </c>
      <c r="N22" s="39">
        <v>1.179304489</v>
      </c>
      <c r="O22" s="39">
        <v>0.87913706899999999</v>
      </c>
    </row>
    <row r="23" spans="1:15" ht="15.75" x14ac:dyDescent="0.25">
      <c r="A23" s="2">
        <v>2630</v>
      </c>
      <c r="B23" s="2">
        <v>4</v>
      </c>
      <c r="C23" s="2">
        <v>2304</v>
      </c>
      <c r="D23" s="2" t="s">
        <v>16</v>
      </c>
      <c r="E23" s="2" t="s">
        <v>14</v>
      </c>
      <c r="F23" s="2" t="s">
        <v>15</v>
      </c>
      <c r="G23" s="2" t="s">
        <v>15</v>
      </c>
      <c r="H23" s="2">
        <v>88.832186739999997</v>
      </c>
      <c r="I23" s="2">
        <v>1.415584416</v>
      </c>
      <c r="J23" s="39">
        <v>17.29014085</v>
      </c>
      <c r="K23" s="39">
        <v>13.08345469</v>
      </c>
      <c r="L23" s="39">
        <v>4.2066861510000004</v>
      </c>
      <c r="M23" s="39">
        <v>8.1872346999999998E-2</v>
      </c>
      <c r="N23" s="39">
        <v>1.1373838979999999</v>
      </c>
      <c r="O23" s="39">
        <v>0.27820051800000001</v>
      </c>
    </row>
    <row r="24" spans="1:15" ht="15.75" x14ac:dyDescent="0.25">
      <c r="A24" s="2">
        <v>2635</v>
      </c>
      <c r="B24" s="2">
        <v>3</v>
      </c>
      <c r="C24" s="2">
        <v>2304</v>
      </c>
      <c r="D24" s="2" t="s">
        <v>16</v>
      </c>
      <c r="E24" s="2" t="s">
        <v>14</v>
      </c>
      <c r="F24" s="2" t="s">
        <v>15</v>
      </c>
      <c r="G24" s="2" t="s">
        <v>15</v>
      </c>
      <c r="H24" s="2">
        <v>90.203937289999999</v>
      </c>
      <c r="I24" s="2">
        <v>1.123376623</v>
      </c>
      <c r="J24" s="39">
        <v>11.59855072</v>
      </c>
      <c r="K24" s="39">
        <v>12.96404575</v>
      </c>
      <c r="L24" s="39">
        <v>-1.3654950210000001</v>
      </c>
      <c r="M24" s="39">
        <v>9.6854913000000001E-2</v>
      </c>
      <c r="N24" s="39">
        <v>1.1208570630000001</v>
      </c>
      <c r="O24" s="39">
        <v>2.5195600000000001E-3</v>
      </c>
    </row>
    <row r="25" spans="1:15" ht="15.75" x14ac:dyDescent="0.25">
      <c r="A25" s="2">
        <v>2638</v>
      </c>
      <c r="B25" s="2">
        <v>3</v>
      </c>
      <c r="C25" s="2">
        <v>2304</v>
      </c>
      <c r="D25" s="2" t="s">
        <v>16</v>
      </c>
      <c r="E25" s="2" t="s">
        <v>14</v>
      </c>
      <c r="F25" s="2" t="s">
        <v>15</v>
      </c>
      <c r="G25" s="2" t="s">
        <v>15</v>
      </c>
      <c r="H25" s="2">
        <v>85.603507289999996</v>
      </c>
      <c r="I25" s="2">
        <v>1.3896103900000001</v>
      </c>
      <c r="J25" s="39">
        <v>11.884507040000001</v>
      </c>
      <c r="K25" s="39">
        <v>12.6465756</v>
      </c>
      <c r="L25" s="39">
        <v>-0.76206855799999995</v>
      </c>
      <c r="M25" s="39">
        <v>0.116926212</v>
      </c>
      <c r="N25" s="39">
        <v>1.107956926</v>
      </c>
      <c r="O25" s="39">
        <v>0.28165346400000002</v>
      </c>
    </row>
    <row r="26" spans="1:15" ht="15.75" x14ac:dyDescent="0.25">
      <c r="A26" s="2">
        <v>2645</v>
      </c>
      <c r="B26" s="2">
        <v>4</v>
      </c>
      <c r="C26" s="2">
        <v>2304</v>
      </c>
      <c r="D26" s="2" t="s">
        <v>16</v>
      </c>
      <c r="E26" s="2" t="s">
        <v>14</v>
      </c>
      <c r="F26" s="2" t="s">
        <v>15</v>
      </c>
      <c r="G26" s="2" t="s">
        <v>15</v>
      </c>
      <c r="H26" s="2">
        <v>98.885240679999995</v>
      </c>
      <c r="I26" s="2">
        <v>1.798701299</v>
      </c>
      <c r="J26" s="39">
        <v>18.170422540000001</v>
      </c>
      <c r="K26" s="39">
        <v>14.74776999</v>
      </c>
      <c r="L26" s="39">
        <v>3.4226525400000001</v>
      </c>
      <c r="M26" s="39">
        <v>9.8990615000000004E-2</v>
      </c>
      <c r="N26" s="39">
        <v>1.171043595</v>
      </c>
      <c r="O26" s="39">
        <v>0.62765770399999998</v>
      </c>
    </row>
    <row r="27" spans="1:15" ht="15.75" x14ac:dyDescent="0.25">
      <c r="A27" s="2">
        <v>2662</v>
      </c>
      <c r="B27" s="2">
        <v>4</v>
      </c>
      <c r="C27" s="2">
        <v>2304</v>
      </c>
      <c r="D27" s="2" t="s">
        <v>16</v>
      </c>
      <c r="E27" s="2" t="s">
        <v>14</v>
      </c>
      <c r="F27" s="2" t="s">
        <v>15</v>
      </c>
      <c r="G27" s="2" t="s">
        <v>15</v>
      </c>
      <c r="H27" s="2">
        <v>90.887207119999999</v>
      </c>
      <c r="I27" s="2">
        <v>1.4675324679999999</v>
      </c>
      <c r="J27" s="39">
        <v>13.34084507</v>
      </c>
      <c r="K27" s="39">
        <v>13.397147370000001</v>
      </c>
      <c r="L27" s="39">
        <v>-5.6302302999999998E-2</v>
      </c>
      <c r="M27" s="39">
        <v>0.110002962</v>
      </c>
      <c r="N27" s="39">
        <v>1.1292588690000001</v>
      </c>
      <c r="O27" s="39">
        <v>0.33827359899999998</v>
      </c>
    </row>
    <row r="28" spans="1:15" ht="15.75" x14ac:dyDescent="0.25">
      <c r="A28" s="2">
        <v>2663</v>
      </c>
      <c r="B28" s="2">
        <v>4</v>
      </c>
      <c r="C28" s="2">
        <v>2304</v>
      </c>
      <c r="D28" s="2" t="s">
        <v>16</v>
      </c>
      <c r="E28" s="2" t="s">
        <v>14</v>
      </c>
      <c r="F28" s="2" t="s">
        <v>15</v>
      </c>
      <c r="G28" s="2" t="s">
        <v>15</v>
      </c>
      <c r="H28" s="2">
        <v>89.0612998</v>
      </c>
      <c r="I28" s="2">
        <v>1.805194805</v>
      </c>
      <c r="J28" s="39">
        <v>14.32253521</v>
      </c>
      <c r="K28" s="39">
        <v>13.504499859999999</v>
      </c>
      <c r="L28" s="39">
        <v>0.81803535100000002</v>
      </c>
      <c r="M28" s="39">
        <v>0.12603877599999999</v>
      </c>
      <c r="N28" s="39">
        <v>1.127293831</v>
      </c>
      <c r="O28" s="39">
        <v>0.67790097400000005</v>
      </c>
    </row>
    <row r="29" spans="1:15" ht="15.75" x14ac:dyDescent="0.25">
      <c r="A29" s="2">
        <v>2674</v>
      </c>
      <c r="B29" s="2">
        <v>3</v>
      </c>
      <c r="C29" s="2">
        <v>2304</v>
      </c>
      <c r="D29" s="2" t="s">
        <v>16</v>
      </c>
      <c r="E29" s="2" t="s">
        <v>14</v>
      </c>
      <c r="F29" s="2" t="s">
        <v>15</v>
      </c>
      <c r="G29" s="2" t="s">
        <v>15</v>
      </c>
      <c r="H29" s="2">
        <v>94.278352589999997</v>
      </c>
      <c r="I29" s="2">
        <v>1.564935065</v>
      </c>
      <c r="J29" s="39">
        <v>13.905714290000001</v>
      </c>
      <c r="K29" s="39">
        <v>13.92654325</v>
      </c>
      <c r="L29" s="39">
        <v>-2.0828965000000001E-2</v>
      </c>
      <c r="M29" s="39">
        <v>0.112538992</v>
      </c>
      <c r="N29" s="39">
        <v>1.1415867740000001</v>
      </c>
      <c r="O29" s="39">
        <v>0.42334829099999999</v>
      </c>
    </row>
    <row r="30" spans="1:15" ht="15.75" x14ac:dyDescent="0.25">
      <c r="A30" s="2">
        <v>2676</v>
      </c>
      <c r="B30" s="2">
        <v>4</v>
      </c>
      <c r="C30" s="2">
        <v>2304</v>
      </c>
      <c r="D30" s="2" t="s">
        <v>16</v>
      </c>
      <c r="E30" s="2" t="s">
        <v>14</v>
      </c>
      <c r="F30" s="2" t="s">
        <v>15</v>
      </c>
      <c r="G30" s="2" t="s">
        <v>15</v>
      </c>
      <c r="H30" s="2">
        <v>88.679335230000007</v>
      </c>
      <c r="I30" s="2">
        <v>1.8441558440000001</v>
      </c>
      <c r="J30" s="39">
        <v>13.97605634</v>
      </c>
      <c r="K30" s="39">
        <v>13.495096070000001</v>
      </c>
      <c r="L30" s="39">
        <v>0.48096027099999999</v>
      </c>
      <c r="M30" s="39">
        <v>0.13195108799999999</v>
      </c>
      <c r="N30" s="39">
        <v>1.124877374</v>
      </c>
      <c r="O30" s="39">
        <v>0.71927847</v>
      </c>
    </row>
    <row r="31" spans="1:15" ht="15.75" x14ac:dyDescent="0.25">
      <c r="A31" s="40">
        <v>3501</v>
      </c>
      <c r="B31" s="40">
        <v>4</v>
      </c>
      <c r="C31" s="40">
        <v>2404</v>
      </c>
      <c r="D31" s="2" t="s">
        <v>16</v>
      </c>
      <c r="E31" s="40" t="s">
        <v>14</v>
      </c>
      <c r="F31" s="39" t="s">
        <v>15</v>
      </c>
      <c r="G31" s="39" t="s">
        <v>15</v>
      </c>
      <c r="H31" s="39">
        <v>106.7505872</v>
      </c>
      <c r="I31" s="39">
        <v>1.701298701</v>
      </c>
      <c r="J31" s="2">
        <v>10.291314079999999</v>
      </c>
      <c r="K31" s="39">
        <v>11.3923618</v>
      </c>
      <c r="L31" s="39">
        <v>-1.1010477160000001</v>
      </c>
      <c r="M31" s="39">
        <v>0.165314039</v>
      </c>
      <c r="N31" s="39">
        <v>1.6354251529999999</v>
      </c>
      <c r="O31" s="39">
        <v>6.5873549000000003E-2</v>
      </c>
    </row>
    <row r="32" spans="1:15" ht="15.75" x14ac:dyDescent="0.25">
      <c r="A32" s="40">
        <v>3503</v>
      </c>
      <c r="B32" s="40">
        <v>3</v>
      </c>
      <c r="C32" s="40">
        <v>2404</v>
      </c>
      <c r="D32" s="2" t="s">
        <v>16</v>
      </c>
      <c r="E32" s="40" t="s">
        <v>14</v>
      </c>
      <c r="F32" s="39" t="s">
        <v>15</v>
      </c>
      <c r="G32" s="39" t="s">
        <v>15</v>
      </c>
      <c r="H32" s="39">
        <v>115.5432344</v>
      </c>
      <c r="I32" s="39">
        <v>1.62987013</v>
      </c>
      <c r="J32" s="2">
        <v>12.565448569999999</v>
      </c>
      <c r="K32" s="39">
        <v>12.215324580000001</v>
      </c>
      <c r="L32" s="39">
        <v>0.35012398900000002</v>
      </c>
      <c r="M32" s="39">
        <v>0.129710461</v>
      </c>
      <c r="N32" s="39">
        <v>1.9207450189999999</v>
      </c>
      <c r="O32" s="39">
        <v>-0.29087488900000003</v>
      </c>
    </row>
    <row r="33" spans="1:15" ht="15.75" x14ac:dyDescent="0.25">
      <c r="A33" s="40">
        <v>3507</v>
      </c>
      <c r="B33" s="40">
        <v>3</v>
      </c>
      <c r="C33" s="40">
        <v>2404</v>
      </c>
      <c r="D33" s="2" t="s">
        <v>16</v>
      </c>
      <c r="E33" s="40" t="s">
        <v>14</v>
      </c>
      <c r="F33" s="39" t="s">
        <v>15</v>
      </c>
      <c r="G33" s="39" t="s">
        <v>15</v>
      </c>
      <c r="H33" s="39">
        <v>113.2059383</v>
      </c>
      <c r="I33" s="39">
        <v>1.9545454550000001</v>
      </c>
      <c r="J33" s="2">
        <v>10.738810559999999</v>
      </c>
      <c r="K33" s="39">
        <v>12.54494407</v>
      </c>
      <c r="L33" s="39">
        <v>-1.806133505</v>
      </c>
      <c r="M33" s="39">
        <v>0.18200763</v>
      </c>
      <c r="N33" s="39">
        <v>1.621448</v>
      </c>
      <c r="O33" s="39">
        <v>0.33309745499999999</v>
      </c>
    </row>
    <row r="34" spans="1:15" ht="15.75" x14ac:dyDescent="0.25">
      <c r="A34" s="40">
        <v>3508</v>
      </c>
      <c r="B34" s="40">
        <v>3</v>
      </c>
      <c r="C34" s="40">
        <v>2404</v>
      </c>
      <c r="D34" s="2" t="s">
        <v>16</v>
      </c>
      <c r="E34" s="40" t="s">
        <v>14</v>
      </c>
      <c r="F34" s="39" t="s">
        <v>15</v>
      </c>
      <c r="G34" s="39" t="s">
        <v>15</v>
      </c>
      <c r="H34" s="39">
        <v>109.2817696</v>
      </c>
      <c r="I34" s="39">
        <v>1.701298701</v>
      </c>
      <c r="J34" s="2">
        <v>11.09570282</v>
      </c>
      <c r="K34" s="39">
        <v>11.666159800000001</v>
      </c>
      <c r="L34" s="39">
        <v>-0.57045698499999997</v>
      </c>
      <c r="M34" s="39">
        <v>0.153329512</v>
      </c>
      <c r="N34" s="39">
        <v>1.7449368409999999</v>
      </c>
      <c r="O34" s="39">
        <v>-4.3638139999999999E-2</v>
      </c>
    </row>
    <row r="35" spans="1:15" ht="15.75" x14ac:dyDescent="0.25">
      <c r="A35" s="40">
        <v>3511</v>
      </c>
      <c r="B35" s="40">
        <v>4</v>
      </c>
      <c r="C35" s="40">
        <v>2404</v>
      </c>
      <c r="D35" s="2" t="s">
        <v>16</v>
      </c>
      <c r="E35" s="40" t="s">
        <v>14</v>
      </c>
      <c r="F35" s="39" t="s">
        <v>15</v>
      </c>
      <c r="G35" s="39" t="s">
        <v>15</v>
      </c>
      <c r="H35" s="39">
        <v>122.0455728</v>
      </c>
      <c r="I35" s="39">
        <v>2.019480519</v>
      </c>
      <c r="J35" s="2">
        <v>13.305561969999999</v>
      </c>
      <c r="K35" s="39">
        <v>13.6176163</v>
      </c>
      <c r="L35" s="39">
        <v>-0.31205432700000002</v>
      </c>
      <c r="M35" s="39">
        <v>0.15177716799999999</v>
      </c>
      <c r="N35" s="39">
        <v>1.959572651</v>
      </c>
      <c r="O35" s="39">
        <v>5.9907869000000002E-2</v>
      </c>
    </row>
    <row r="36" spans="1:15" ht="15.75" x14ac:dyDescent="0.25">
      <c r="A36" s="40">
        <v>3514</v>
      </c>
      <c r="B36" s="40">
        <v>3</v>
      </c>
      <c r="C36" s="40">
        <v>2404</v>
      </c>
      <c r="D36" s="2" t="s">
        <v>16</v>
      </c>
      <c r="E36" s="40" t="s">
        <v>14</v>
      </c>
      <c r="F36" s="39" t="s">
        <v>15</v>
      </c>
      <c r="G36" s="39" t="s">
        <v>15</v>
      </c>
      <c r="H36" s="39">
        <v>110.0680404</v>
      </c>
      <c r="I36" s="39">
        <v>1.7857142859999999</v>
      </c>
      <c r="J36" s="2">
        <v>10.89681549</v>
      </c>
      <c r="K36" s="39">
        <v>11.90264636</v>
      </c>
      <c r="L36" s="39">
        <v>-1.0058308629999999</v>
      </c>
      <c r="M36" s="39">
        <v>0.163874876</v>
      </c>
      <c r="N36" s="39">
        <v>1.6969040259999999</v>
      </c>
      <c r="O36" s="39">
        <v>8.8810260000000002E-2</v>
      </c>
    </row>
    <row r="37" spans="1:15" ht="15.75" x14ac:dyDescent="0.25">
      <c r="A37" s="40">
        <v>3521</v>
      </c>
      <c r="B37" s="40">
        <v>4</v>
      </c>
      <c r="C37" s="40">
        <v>2404</v>
      </c>
      <c r="D37" s="2" t="s">
        <v>16</v>
      </c>
      <c r="E37" s="40" t="s">
        <v>14</v>
      </c>
      <c r="F37" s="39" t="s">
        <v>15</v>
      </c>
      <c r="G37" s="39" t="s">
        <v>15</v>
      </c>
      <c r="H37" s="39">
        <v>117.0072131</v>
      </c>
      <c r="I37" s="39">
        <v>2.0259740260000001</v>
      </c>
      <c r="J37" s="2">
        <v>11.9354493</v>
      </c>
      <c r="K37" s="39">
        <v>13.08426583</v>
      </c>
      <c r="L37" s="39">
        <v>-1.1488165299999999</v>
      </c>
      <c r="M37" s="39">
        <v>0.16974426100000001</v>
      </c>
      <c r="N37" s="39">
        <v>1.783830507</v>
      </c>
      <c r="O37" s="39">
        <v>0.242143519</v>
      </c>
    </row>
    <row r="38" spans="1:15" ht="15.75" x14ac:dyDescent="0.25">
      <c r="A38" s="40">
        <v>3522</v>
      </c>
      <c r="B38" s="40">
        <v>4</v>
      </c>
      <c r="C38" s="40">
        <v>2404</v>
      </c>
      <c r="D38" s="2" t="s">
        <v>16</v>
      </c>
      <c r="E38" s="40" t="s">
        <v>14</v>
      </c>
      <c r="F38" s="39" t="s">
        <v>15</v>
      </c>
      <c r="G38" s="39" t="s">
        <v>15</v>
      </c>
      <c r="H38" s="39">
        <v>114.05055160000001</v>
      </c>
      <c r="I38" s="39">
        <v>1.4090909089999999</v>
      </c>
      <c r="J38" s="2">
        <v>11.3454169</v>
      </c>
      <c r="K38" s="39">
        <v>11.657798619999999</v>
      </c>
      <c r="L38" s="39">
        <v>-0.312381723</v>
      </c>
      <c r="M38" s="39">
        <v>0.12419913</v>
      </c>
      <c r="N38" s="39">
        <v>1.7198258399999999</v>
      </c>
      <c r="O38" s="39">
        <v>-0.31073493099999999</v>
      </c>
    </row>
    <row r="39" spans="1:15" ht="15.75" x14ac:dyDescent="0.25">
      <c r="A39" s="40">
        <v>3538</v>
      </c>
      <c r="B39" s="40">
        <v>4</v>
      </c>
      <c r="C39" s="40">
        <v>2404</v>
      </c>
      <c r="D39" s="2" t="s">
        <v>16</v>
      </c>
      <c r="E39" s="40" t="s">
        <v>14</v>
      </c>
      <c r="F39" s="39" t="s">
        <v>15</v>
      </c>
      <c r="G39" s="39" t="s">
        <v>15</v>
      </c>
      <c r="H39" s="39">
        <v>112.73203669999999</v>
      </c>
      <c r="I39" s="39">
        <v>2.4220779220000002</v>
      </c>
      <c r="J39" s="2">
        <v>12.72907286</v>
      </c>
      <c r="K39" s="39">
        <v>13.332402650000001</v>
      </c>
      <c r="L39" s="39">
        <v>-0.60332979399999997</v>
      </c>
      <c r="M39" s="39">
        <v>0.19027921</v>
      </c>
      <c r="N39" s="39">
        <v>1.992380257</v>
      </c>
      <c r="O39" s="39">
        <v>0.42969766500000001</v>
      </c>
    </row>
    <row r="40" spans="1:15" ht="15.75" x14ac:dyDescent="0.25">
      <c r="A40" s="40">
        <v>3542</v>
      </c>
      <c r="B40" s="40">
        <v>3</v>
      </c>
      <c r="C40" s="40">
        <v>2404</v>
      </c>
      <c r="D40" s="2" t="s">
        <v>16</v>
      </c>
      <c r="E40" s="40" t="s">
        <v>14</v>
      </c>
      <c r="F40" s="39" t="s">
        <v>15</v>
      </c>
      <c r="G40" s="39" t="s">
        <v>15</v>
      </c>
      <c r="H40" s="39">
        <v>112.4044311</v>
      </c>
      <c r="I40" s="39">
        <v>1.2727272730000001</v>
      </c>
      <c r="J40" s="2">
        <v>9.8118535710000003</v>
      </c>
      <c r="K40" s="39">
        <v>11.23511094</v>
      </c>
      <c r="L40" s="39">
        <v>-1.4232573719999999</v>
      </c>
      <c r="M40" s="39">
        <v>0.12971323500000001</v>
      </c>
      <c r="N40" s="39">
        <v>1.46385755</v>
      </c>
      <c r="O40" s="39">
        <v>-0.19113027699999999</v>
      </c>
    </row>
    <row r="41" spans="1:15" ht="15.75" x14ac:dyDescent="0.25">
      <c r="A41" s="40">
        <v>3545</v>
      </c>
      <c r="B41" s="40">
        <v>4</v>
      </c>
      <c r="C41" s="40">
        <v>2404</v>
      </c>
      <c r="D41" s="2" t="s">
        <v>16</v>
      </c>
      <c r="E41" s="40" t="s">
        <v>27</v>
      </c>
      <c r="F41" s="39" t="s">
        <v>15</v>
      </c>
      <c r="G41" s="39" t="s">
        <v>24</v>
      </c>
      <c r="H41" s="39">
        <v>120.11609780000001</v>
      </c>
      <c r="I41" s="39">
        <v>1.7857142859999999</v>
      </c>
      <c r="J41" s="2">
        <v>10.869192249999999</v>
      </c>
      <c r="K41" s="39">
        <v>12.98954472</v>
      </c>
      <c r="L41" s="39">
        <v>-2.1203524699999998</v>
      </c>
      <c r="M41" s="39">
        <v>0.164291352</v>
      </c>
      <c r="N41" s="39">
        <v>1.5427402210000001</v>
      </c>
      <c r="O41" s="39">
        <v>0.24297406499999999</v>
      </c>
    </row>
    <row r="42" spans="1:15" ht="15.75" x14ac:dyDescent="0.25">
      <c r="A42" s="40">
        <v>3558</v>
      </c>
      <c r="B42" s="40">
        <v>3</v>
      </c>
      <c r="C42" s="40">
        <v>2404</v>
      </c>
      <c r="D42" s="2" t="s">
        <v>16</v>
      </c>
      <c r="E42" s="40" t="s">
        <v>14</v>
      </c>
      <c r="F42" s="39" t="s">
        <v>15</v>
      </c>
      <c r="G42" s="39" t="s">
        <v>15</v>
      </c>
      <c r="H42" s="39">
        <v>109.9769747</v>
      </c>
      <c r="I42" s="39">
        <v>1.3571428569999999</v>
      </c>
      <c r="J42" s="2">
        <v>11.930343179999999</v>
      </c>
      <c r="K42" s="39">
        <v>11.123968639999999</v>
      </c>
      <c r="L42" s="39">
        <v>0.806374543</v>
      </c>
      <c r="M42" s="39">
        <v>0.11375555900000001</v>
      </c>
      <c r="N42" s="39">
        <v>1.8872256430000001</v>
      </c>
      <c r="O42" s="39">
        <v>-0.53008278600000003</v>
      </c>
    </row>
    <row r="43" spans="1:15" ht="15.75" x14ac:dyDescent="0.25">
      <c r="A43" s="40">
        <v>3568</v>
      </c>
      <c r="B43" s="40">
        <v>3</v>
      </c>
      <c r="C43" s="40">
        <v>2404</v>
      </c>
      <c r="D43" s="2" t="s">
        <v>16</v>
      </c>
      <c r="E43" s="40" t="s">
        <v>27</v>
      </c>
      <c r="F43" s="39" t="s">
        <v>15</v>
      </c>
      <c r="G43" s="39" t="s">
        <v>24</v>
      </c>
      <c r="H43" s="39">
        <v>111.1475354</v>
      </c>
      <c r="I43" s="39">
        <v>1.8506493509999999</v>
      </c>
      <c r="J43" s="2">
        <v>10.729546149999999</v>
      </c>
      <c r="K43" s="39">
        <v>12.1359043</v>
      </c>
      <c r="L43" s="39">
        <v>-1.406358142</v>
      </c>
      <c r="M43" s="39">
        <v>0.17248160600000001</v>
      </c>
      <c r="N43" s="39">
        <v>1.650300793</v>
      </c>
      <c r="O43" s="39">
        <v>0.20034855700000001</v>
      </c>
    </row>
    <row r="44" spans="1:15" ht="15.75" x14ac:dyDescent="0.25">
      <c r="A44" s="40">
        <v>3575</v>
      </c>
      <c r="B44" s="40">
        <v>3</v>
      </c>
      <c r="C44" s="40">
        <v>2404</v>
      </c>
      <c r="D44" s="2" t="s">
        <v>16</v>
      </c>
      <c r="E44" s="40" t="s">
        <v>27</v>
      </c>
      <c r="F44" s="39" t="s">
        <v>15</v>
      </c>
      <c r="G44" s="39" t="s">
        <v>24</v>
      </c>
      <c r="H44" s="39">
        <v>110.7956648</v>
      </c>
      <c r="I44" s="39">
        <v>1.6493506490000001</v>
      </c>
      <c r="J44" s="2">
        <v>11.57375227</v>
      </c>
      <c r="K44" s="39">
        <v>11.736726669999999</v>
      </c>
      <c r="L44" s="39">
        <v>-0.16297439799999999</v>
      </c>
      <c r="M44" s="39">
        <v>0.14250785799999999</v>
      </c>
      <c r="N44" s="39">
        <v>1.8098772000000001</v>
      </c>
      <c r="O44" s="39">
        <v>-0.16052655099999999</v>
      </c>
    </row>
    <row r="45" spans="1:15" ht="15.75" x14ac:dyDescent="0.25">
      <c r="A45" s="40">
        <v>3586</v>
      </c>
      <c r="B45" s="40">
        <v>4</v>
      </c>
      <c r="C45" s="40">
        <v>2404</v>
      </c>
      <c r="D45" s="2" t="s">
        <v>16</v>
      </c>
      <c r="E45" s="40" t="s">
        <v>27</v>
      </c>
      <c r="F45" s="39" t="s">
        <v>15</v>
      </c>
      <c r="G45" s="39" t="s">
        <v>24</v>
      </c>
      <c r="H45" s="39">
        <v>124.03056290000001</v>
      </c>
      <c r="I45" s="39">
        <v>2.2792207790000001</v>
      </c>
      <c r="J45" s="2">
        <v>13.297827460000001</v>
      </c>
      <c r="K45" s="39">
        <v>14.298288530000001</v>
      </c>
      <c r="L45" s="39">
        <v>-1.000461061</v>
      </c>
      <c r="M45" s="39">
        <v>0.171397981</v>
      </c>
      <c r="N45" s="39">
        <v>1.92870122</v>
      </c>
      <c r="O45" s="39">
        <v>0.35051956000000001</v>
      </c>
    </row>
    <row r="46" spans="1:15" ht="15.75" x14ac:dyDescent="0.25">
      <c r="A46" s="40">
        <v>3587</v>
      </c>
      <c r="B46" s="40">
        <v>4</v>
      </c>
      <c r="C46" s="40">
        <v>2404</v>
      </c>
      <c r="D46" s="2" t="s">
        <v>16</v>
      </c>
      <c r="E46" s="40" t="s">
        <v>27</v>
      </c>
      <c r="F46" s="39" t="s">
        <v>15</v>
      </c>
      <c r="G46" s="39" t="s">
        <v>24</v>
      </c>
      <c r="H46" s="39">
        <v>111.0567657</v>
      </c>
      <c r="I46" s="39">
        <v>2.0779220779999998</v>
      </c>
      <c r="J46" s="2">
        <v>10.55642813</v>
      </c>
      <c r="K46" s="39">
        <v>12.533797099999999</v>
      </c>
      <c r="L46" s="39">
        <v>-1.9773689720000001</v>
      </c>
      <c r="M46" s="39">
        <v>0.196839504</v>
      </c>
      <c r="N46" s="39">
        <v>1.619994916</v>
      </c>
      <c r="O46" s="39">
        <v>0.457927162</v>
      </c>
    </row>
    <row r="47" spans="1:15" ht="15.75" x14ac:dyDescent="0.25">
      <c r="A47" s="40">
        <v>3588</v>
      </c>
      <c r="B47" s="40">
        <v>3</v>
      </c>
      <c r="C47" s="40">
        <v>2404</v>
      </c>
      <c r="D47" s="2" t="s">
        <v>16</v>
      </c>
      <c r="E47" s="40" t="s">
        <v>27</v>
      </c>
      <c r="F47" s="39" t="s">
        <v>15</v>
      </c>
      <c r="G47" s="39" t="s">
        <v>24</v>
      </c>
      <c r="H47" s="39">
        <v>107.8296174</v>
      </c>
      <c r="I47" s="39">
        <v>1.987012987</v>
      </c>
      <c r="J47" s="2">
        <v>9.5787449999999996</v>
      </c>
      <c r="K47" s="39">
        <v>12.02163193</v>
      </c>
      <c r="L47" s="39">
        <v>-2.442886927</v>
      </c>
      <c r="M47" s="39">
        <v>0.20743980400000001</v>
      </c>
      <c r="N47" s="39">
        <v>1.489126213</v>
      </c>
      <c r="O47" s="39">
        <v>0.49788677399999998</v>
      </c>
    </row>
    <row r="48" spans="1:15" ht="15.75" x14ac:dyDescent="0.25">
      <c r="A48" s="40">
        <v>3591</v>
      </c>
      <c r="B48" s="40">
        <v>3</v>
      </c>
      <c r="C48" s="40">
        <v>2404</v>
      </c>
      <c r="D48" s="2" t="s">
        <v>16</v>
      </c>
      <c r="E48" s="40" t="s">
        <v>14</v>
      </c>
      <c r="F48" s="39" t="s">
        <v>15</v>
      </c>
      <c r="G48" s="39" t="s">
        <v>15</v>
      </c>
      <c r="H48" s="39">
        <v>102.8866414</v>
      </c>
      <c r="I48" s="39">
        <v>2.1623376620000001</v>
      </c>
      <c r="J48" s="2">
        <v>10.14694714</v>
      </c>
      <c r="K48" s="39">
        <v>11.80147041</v>
      </c>
      <c r="L48" s="39">
        <v>-1.654523264</v>
      </c>
      <c r="M48" s="39">
        <v>0.213102289</v>
      </c>
      <c r="N48" s="39">
        <v>1.666370057</v>
      </c>
      <c r="O48" s="39">
        <v>0.49596760600000001</v>
      </c>
    </row>
    <row r="49" spans="1:15" ht="15.75" x14ac:dyDescent="0.25">
      <c r="A49" s="40">
        <v>3598</v>
      </c>
      <c r="B49" s="40">
        <v>4</v>
      </c>
      <c r="C49" s="40">
        <v>2404</v>
      </c>
      <c r="D49" s="2" t="s">
        <v>16</v>
      </c>
      <c r="E49" s="40" t="s">
        <v>27</v>
      </c>
      <c r="F49" s="39" t="s">
        <v>15</v>
      </c>
      <c r="G49" s="39" t="s">
        <v>24</v>
      </c>
      <c r="H49" s="39">
        <v>114.43275629999999</v>
      </c>
      <c r="I49" s="39">
        <v>2.2077922079999999</v>
      </c>
      <c r="J49" s="2">
        <v>11.680210560000001</v>
      </c>
      <c r="K49" s="39">
        <v>13.13195593</v>
      </c>
      <c r="L49" s="39">
        <v>-1.4517453650000001</v>
      </c>
      <c r="M49" s="39">
        <v>0.18901989799999999</v>
      </c>
      <c r="N49" s="39">
        <v>1.7753675950000001</v>
      </c>
      <c r="O49" s="39">
        <v>0.43242461199999999</v>
      </c>
    </row>
    <row r="50" spans="1:15" ht="15.75" x14ac:dyDescent="0.25">
      <c r="A50" s="40">
        <v>3602</v>
      </c>
      <c r="B50" s="40">
        <v>3</v>
      </c>
      <c r="C50" s="40">
        <v>2404</v>
      </c>
      <c r="D50" s="2" t="s">
        <v>16</v>
      </c>
      <c r="E50" s="40" t="s">
        <v>27</v>
      </c>
      <c r="F50" s="39" t="s">
        <v>15</v>
      </c>
      <c r="G50" s="39" t="s">
        <v>24</v>
      </c>
      <c r="H50" s="39">
        <v>100.86619020000001</v>
      </c>
      <c r="I50" s="39">
        <v>1.7857142859999999</v>
      </c>
      <c r="J50" s="2">
        <v>9.6796092859999998</v>
      </c>
      <c r="K50" s="39">
        <v>10.90728223</v>
      </c>
      <c r="L50" s="39">
        <v>-1.227672941</v>
      </c>
      <c r="M50" s="39">
        <v>0.184482063</v>
      </c>
      <c r="N50" s="39">
        <v>1.610905499</v>
      </c>
      <c r="O50" s="39">
        <v>0.17480878699999999</v>
      </c>
    </row>
    <row r="51" spans="1:15" ht="15.75" x14ac:dyDescent="0.25">
      <c r="A51" s="40">
        <v>3629</v>
      </c>
      <c r="B51" s="40">
        <v>3</v>
      </c>
      <c r="C51" s="40">
        <v>2404</v>
      </c>
      <c r="D51" s="2" t="s">
        <v>16</v>
      </c>
      <c r="E51" s="40" t="s">
        <v>27</v>
      </c>
      <c r="F51" s="39" t="s">
        <v>15</v>
      </c>
      <c r="G51" s="39" t="s">
        <v>24</v>
      </c>
      <c r="H51" s="39">
        <v>105.6102164</v>
      </c>
      <c r="I51" s="39">
        <v>2.0649350649999998</v>
      </c>
      <c r="J51" s="2">
        <v>9.9012739439999997</v>
      </c>
      <c r="K51" s="39">
        <v>11.92134607</v>
      </c>
      <c r="L51" s="39">
        <v>-2.020072125</v>
      </c>
      <c r="M51" s="39">
        <v>0.20855246299999999</v>
      </c>
      <c r="N51" s="39">
        <v>1.5810333169999999</v>
      </c>
      <c r="O51" s="39">
        <v>0.48390174800000002</v>
      </c>
    </row>
    <row r="52" spans="1:15" ht="15.75" x14ac:dyDescent="0.25">
      <c r="A52" s="40">
        <v>3636</v>
      </c>
      <c r="B52" s="40">
        <v>4</v>
      </c>
      <c r="C52" s="40">
        <v>2404</v>
      </c>
      <c r="D52" s="2" t="s">
        <v>16</v>
      </c>
      <c r="E52" s="40" t="s">
        <v>27</v>
      </c>
      <c r="F52" s="39" t="s">
        <v>15</v>
      </c>
      <c r="G52" s="39" t="s">
        <v>24</v>
      </c>
      <c r="H52" s="39">
        <v>110.62527110000001</v>
      </c>
      <c r="I52" s="39">
        <v>1.415584416</v>
      </c>
      <c r="J52" s="2">
        <v>11.366284289999999</v>
      </c>
      <c r="K52" s="39">
        <v>11.298934920000001</v>
      </c>
      <c r="L52" s="39">
        <v>6.7349364999999994E-2</v>
      </c>
      <c r="M52" s="39">
        <v>0.12454240799999999</v>
      </c>
      <c r="N52" s="39">
        <v>1.774472396</v>
      </c>
      <c r="O52" s="39">
        <v>-0.35888798100000002</v>
      </c>
    </row>
    <row r="53" spans="1:15" ht="15.75" x14ac:dyDescent="0.25">
      <c r="A53" s="40">
        <v>3639</v>
      </c>
      <c r="B53" s="40">
        <v>3</v>
      </c>
      <c r="C53" s="40">
        <v>2404</v>
      </c>
      <c r="D53" s="2" t="s">
        <v>16</v>
      </c>
      <c r="E53" s="40" t="s">
        <v>14</v>
      </c>
      <c r="F53" s="39" t="s">
        <v>15</v>
      </c>
      <c r="G53" s="39" t="s">
        <v>15</v>
      </c>
      <c r="H53" s="39">
        <v>108.5393512</v>
      </c>
      <c r="I53" s="39">
        <v>2.1818181820000002</v>
      </c>
      <c r="J53" s="2">
        <v>9.7576330989999995</v>
      </c>
      <c r="K53" s="39">
        <v>12.44787071</v>
      </c>
      <c r="L53" s="39">
        <v>-2.6902376069999998</v>
      </c>
      <c r="M53" s="39">
        <v>0.22360116999999999</v>
      </c>
      <c r="N53" s="39">
        <v>1.511301665</v>
      </c>
      <c r="O53" s="39">
        <v>0.67051651700000003</v>
      </c>
    </row>
    <row r="54" spans="1:15" ht="15.75" x14ac:dyDescent="0.25">
      <c r="A54" s="40">
        <v>3642</v>
      </c>
      <c r="B54" s="40">
        <v>4</v>
      </c>
      <c r="C54" s="40">
        <v>2404</v>
      </c>
      <c r="D54" s="2" t="s">
        <v>16</v>
      </c>
      <c r="E54" s="40" t="s">
        <v>27</v>
      </c>
      <c r="F54" s="39" t="s">
        <v>15</v>
      </c>
      <c r="G54" s="39" t="s">
        <v>24</v>
      </c>
      <c r="H54" s="39">
        <v>103.1193641</v>
      </c>
      <c r="I54" s="39">
        <v>1.8506493509999999</v>
      </c>
      <c r="J54" s="2">
        <v>11.94981338</v>
      </c>
      <c r="K54" s="39">
        <v>11.267497000000001</v>
      </c>
      <c r="L54" s="39">
        <v>0.68231637899999997</v>
      </c>
      <c r="M54" s="39">
        <v>0.15486847300000001</v>
      </c>
      <c r="N54" s="39">
        <v>1.9925525159999999</v>
      </c>
      <c r="O54" s="39">
        <v>-0.141903165</v>
      </c>
    </row>
    <row r="55" spans="1:15" ht="15.75" x14ac:dyDescent="0.25">
      <c r="A55" s="40">
        <v>3649</v>
      </c>
      <c r="B55" s="40">
        <v>4</v>
      </c>
      <c r="C55" s="40">
        <v>2404</v>
      </c>
      <c r="D55" s="2" t="s">
        <v>16</v>
      </c>
      <c r="E55" s="40" t="s">
        <v>14</v>
      </c>
      <c r="F55" s="39" t="s">
        <v>15</v>
      </c>
      <c r="G55" s="39" t="s">
        <v>15</v>
      </c>
      <c r="H55" s="39">
        <v>102.537228</v>
      </c>
      <c r="I55" s="39">
        <v>2.1493506490000001</v>
      </c>
      <c r="J55" s="2">
        <v>10.88932836</v>
      </c>
      <c r="K55" s="39">
        <v>11.74037657</v>
      </c>
      <c r="L55" s="39">
        <v>-0.85104820800000003</v>
      </c>
      <c r="M55" s="39">
        <v>0.197381379</v>
      </c>
      <c r="N55" s="39">
        <v>1.8072923329999999</v>
      </c>
      <c r="O55" s="39">
        <v>0.34205831599999997</v>
      </c>
    </row>
    <row r="56" spans="1:15" ht="15.75" x14ac:dyDescent="0.25">
      <c r="A56" s="40">
        <v>3683</v>
      </c>
      <c r="B56" s="40">
        <v>4</v>
      </c>
      <c r="C56" s="40">
        <v>2404</v>
      </c>
      <c r="D56" s="2" t="s">
        <v>16</v>
      </c>
      <c r="E56" s="40" t="s">
        <v>27</v>
      </c>
      <c r="F56" s="39" t="s">
        <v>15</v>
      </c>
      <c r="G56" s="39" t="s">
        <v>24</v>
      </c>
      <c r="H56" s="39">
        <v>111.8048793</v>
      </c>
      <c r="I56" s="39">
        <v>2.3116883119999998</v>
      </c>
      <c r="J56" s="2">
        <v>12.55690313</v>
      </c>
      <c r="K56" s="39">
        <v>13.034080810000001</v>
      </c>
      <c r="L56" s="39">
        <v>-0.47717768399999999</v>
      </c>
      <c r="M56" s="39">
        <v>0.18409700900000001</v>
      </c>
      <c r="N56" s="39">
        <v>1.974659758</v>
      </c>
      <c r="O56" s="39">
        <v>0.33702855300000001</v>
      </c>
    </row>
    <row r="57" spans="1:15" ht="15.75" x14ac:dyDescent="0.25">
      <c r="A57" s="2">
        <v>2502</v>
      </c>
      <c r="B57" s="2">
        <v>3</v>
      </c>
      <c r="C57" s="2">
        <v>2304</v>
      </c>
      <c r="D57" s="2" t="s">
        <v>16</v>
      </c>
      <c r="E57" s="2" t="s">
        <v>20</v>
      </c>
      <c r="F57" s="2" t="s">
        <v>21</v>
      </c>
      <c r="G57" s="2" t="s">
        <v>15</v>
      </c>
      <c r="H57" s="2">
        <v>93.002107469999999</v>
      </c>
      <c r="I57" s="2">
        <v>1.883116883</v>
      </c>
      <c r="J57" s="39">
        <v>13.33478261</v>
      </c>
      <c r="K57" s="39">
        <v>14.08422889</v>
      </c>
      <c r="L57" s="39">
        <v>-0.74944628300000005</v>
      </c>
      <c r="M57" s="39">
        <v>0.14121841600000001</v>
      </c>
      <c r="N57" s="39">
        <v>1.135644986</v>
      </c>
      <c r="O57" s="39">
        <v>0.74747189700000005</v>
      </c>
    </row>
    <row r="58" spans="1:15" ht="15.75" x14ac:dyDescent="0.25">
      <c r="A58" s="2">
        <v>2512</v>
      </c>
      <c r="B58" s="2">
        <v>4</v>
      </c>
      <c r="C58" s="2">
        <v>2304</v>
      </c>
      <c r="D58" s="2" t="s">
        <v>16</v>
      </c>
      <c r="E58" s="2" t="s">
        <v>20</v>
      </c>
      <c r="F58" s="2" t="s">
        <v>21</v>
      </c>
      <c r="G58" s="2" t="s">
        <v>15</v>
      </c>
      <c r="H58" s="2">
        <v>92.248644029999994</v>
      </c>
      <c r="I58" s="2">
        <v>1.7727272730000001</v>
      </c>
      <c r="J58" s="39">
        <v>14.94714286</v>
      </c>
      <c r="K58" s="39">
        <v>13.877335670000001</v>
      </c>
      <c r="L58" s="39">
        <v>1.0698071819999999</v>
      </c>
      <c r="M58" s="39">
        <v>0.11859974099999999</v>
      </c>
      <c r="N58" s="39">
        <v>1.1392213090000001</v>
      </c>
      <c r="O58" s="39">
        <v>0.63350596400000003</v>
      </c>
    </row>
    <row r="59" spans="1:15" ht="15.75" x14ac:dyDescent="0.25">
      <c r="A59" s="2">
        <v>2514</v>
      </c>
      <c r="B59" s="2">
        <v>4</v>
      </c>
      <c r="C59" s="2">
        <v>2304</v>
      </c>
      <c r="D59" s="2" t="s">
        <v>16</v>
      </c>
      <c r="E59" s="2" t="s">
        <v>20</v>
      </c>
      <c r="F59" s="2" t="s">
        <v>21</v>
      </c>
      <c r="G59" s="2" t="s">
        <v>15</v>
      </c>
      <c r="H59" s="2">
        <v>83.116100189999997</v>
      </c>
      <c r="I59" s="2">
        <v>1.811688312</v>
      </c>
      <c r="J59" s="39">
        <v>13.18309859</v>
      </c>
      <c r="K59" s="39">
        <v>12.75468319</v>
      </c>
      <c r="L59" s="39">
        <v>0.428415404</v>
      </c>
      <c r="M59" s="39">
        <v>0.13742507500000001</v>
      </c>
      <c r="N59" s="39">
        <v>1.1051391639999999</v>
      </c>
      <c r="O59" s="39">
        <v>0.70654914800000002</v>
      </c>
    </row>
    <row r="60" spans="1:15" ht="15.75" x14ac:dyDescent="0.25">
      <c r="A60" s="2">
        <v>2520</v>
      </c>
      <c r="B60" s="2">
        <v>3</v>
      </c>
      <c r="C60" s="2">
        <v>2304</v>
      </c>
      <c r="D60" s="2" t="s">
        <v>16</v>
      </c>
      <c r="E60" s="2" t="s">
        <v>20</v>
      </c>
      <c r="F60" s="2" t="s">
        <v>21</v>
      </c>
      <c r="G60" s="2" t="s">
        <v>15</v>
      </c>
      <c r="H60" s="2">
        <v>91.341770159999996</v>
      </c>
      <c r="I60" s="2">
        <v>2.3506493509999999</v>
      </c>
      <c r="J60" s="39">
        <v>14.78873239</v>
      </c>
      <c r="K60" s="39">
        <v>14.34327766</v>
      </c>
      <c r="L60" s="39">
        <v>0.44545473200000002</v>
      </c>
      <c r="M60" s="39">
        <v>0.15894866999999999</v>
      </c>
      <c r="N60" s="39">
        <v>1.135897817</v>
      </c>
      <c r="O60" s="39">
        <v>1.2147515339999999</v>
      </c>
    </row>
    <row r="61" spans="1:15" ht="15.75" x14ac:dyDescent="0.25">
      <c r="A61" s="2">
        <v>2526</v>
      </c>
      <c r="B61" s="2">
        <v>3</v>
      </c>
      <c r="C61" s="2">
        <v>2304</v>
      </c>
      <c r="D61" s="2" t="s">
        <v>16</v>
      </c>
      <c r="E61" s="2" t="s">
        <v>23</v>
      </c>
      <c r="F61" s="2" t="s">
        <v>21</v>
      </c>
      <c r="G61" s="2" t="s">
        <v>24</v>
      </c>
      <c r="H61" s="2">
        <v>93.453209729999998</v>
      </c>
      <c r="I61" s="2">
        <v>2.0259740260000001</v>
      </c>
      <c r="J61" s="39">
        <v>13.214084509999999</v>
      </c>
      <c r="K61" s="39">
        <v>14.285313840000001</v>
      </c>
      <c r="L61" s="39">
        <v>-1.0712293289999999</v>
      </c>
      <c r="M61" s="39">
        <v>0.153319288</v>
      </c>
      <c r="N61" s="39">
        <v>1.136573209</v>
      </c>
      <c r="O61" s="39">
        <v>0.88940081699999995</v>
      </c>
    </row>
    <row r="62" spans="1:15" ht="15.75" x14ac:dyDescent="0.25">
      <c r="A62" s="2">
        <v>2537</v>
      </c>
      <c r="B62" s="2">
        <v>3</v>
      </c>
      <c r="C62" s="2">
        <v>2304</v>
      </c>
      <c r="D62" s="2" t="s">
        <v>16</v>
      </c>
      <c r="E62" s="2" t="s">
        <v>23</v>
      </c>
      <c r="F62" s="2" t="s">
        <v>21</v>
      </c>
      <c r="G62" s="2" t="s">
        <v>24</v>
      </c>
      <c r="H62" s="2">
        <v>86.298741019999994</v>
      </c>
      <c r="I62" s="2">
        <v>1.1753246749999999</v>
      </c>
      <c r="J62" s="39">
        <v>11.549295770000001</v>
      </c>
      <c r="K62" s="39">
        <v>12.51947966</v>
      </c>
      <c r="L62" s="39">
        <v>-0.97018388899999997</v>
      </c>
      <c r="M62" s="39">
        <v>0.101765917</v>
      </c>
      <c r="N62" s="39">
        <v>1.108845326</v>
      </c>
      <c r="O62" s="39">
        <v>6.6479348999999993E-2</v>
      </c>
    </row>
    <row r="63" spans="1:15" ht="15.75" x14ac:dyDescent="0.25">
      <c r="A63" s="2">
        <v>2553</v>
      </c>
      <c r="B63" s="2">
        <v>3</v>
      </c>
      <c r="C63" s="2">
        <v>2304</v>
      </c>
      <c r="D63" s="2" t="s">
        <v>16</v>
      </c>
      <c r="E63" s="2" t="s">
        <v>20</v>
      </c>
      <c r="F63" s="2" t="s">
        <v>21</v>
      </c>
      <c r="G63" s="2" t="s">
        <v>15</v>
      </c>
      <c r="H63" s="2">
        <v>90.431884999999994</v>
      </c>
      <c r="I63" s="2">
        <v>1.5259740260000001</v>
      </c>
      <c r="J63" s="39">
        <v>13.384507040000001</v>
      </c>
      <c r="K63" s="39">
        <v>13.398005899999999</v>
      </c>
      <c r="L63" s="39">
        <v>-1.3498860999999999E-2</v>
      </c>
      <c r="M63" s="39">
        <v>0.114010477</v>
      </c>
      <c r="N63" s="39">
        <v>1.12803791</v>
      </c>
      <c r="O63" s="39">
        <v>0.39793611600000001</v>
      </c>
    </row>
    <row r="64" spans="1:15" ht="15.75" x14ac:dyDescent="0.25">
      <c r="A64" s="2">
        <v>2554</v>
      </c>
      <c r="B64" s="2">
        <v>3</v>
      </c>
      <c r="C64" s="2">
        <v>2304</v>
      </c>
      <c r="D64" s="2" t="s">
        <v>16</v>
      </c>
      <c r="E64" s="2" t="s">
        <v>23</v>
      </c>
      <c r="F64" s="2" t="s">
        <v>21</v>
      </c>
      <c r="G64" s="2" t="s">
        <v>24</v>
      </c>
      <c r="H64" s="2">
        <v>96.516642770000004</v>
      </c>
      <c r="I64" s="2">
        <v>1.5779220780000001</v>
      </c>
      <c r="J64" s="39">
        <v>13.418309860000001</v>
      </c>
      <c r="K64" s="39">
        <v>14.22436177</v>
      </c>
      <c r="L64" s="39">
        <v>-0.80605191499999995</v>
      </c>
      <c r="M64" s="39">
        <v>0.117594697</v>
      </c>
      <c r="N64" s="39">
        <v>1.1465975660000001</v>
      </c>
      <c r="O64" s="39">
        <v>0.43132451199999999</v>
      </c>
    </row>
    <row r="65" spans="1:15" ht="15.75" x14ac:dyDescent="0.25">
      <c r="A65" s="2">
        <v>2557</v>
      </c>
      <c r="B65" s="2">
        <v>3</v>
      </c>
      <c r="C65" s="2">
        <v>2304</v>
      </c>
      <c r="D65" s="2" t="s">
        <v>16</v>
      </c>
      <c r="E65" s="2" t="s">
        <v>23</v>
      </c>
      <c r="F65" s="2" t="s">
        <v>21</v>
      </c>
      <c r="G65" s="2" t="s">
        <v>24</v>
      </c>
      <c r="H65" s="2">
        <v>92.248644029999994</v>
      </c>
      <c r="I65" s="2">
        <v>1.5584415579999999</v>
      </c>
      <c r="J65" s="39">
        <v>12.48428571</v>
      </c>
      <c r="K65" s="39">
        <v>13.6617921</v>
      </c>
      <c r="L65" s="39">
        <v>-1.1775063889999999</v>
      </c>
      <c r="M65" s="39">
        <v>0.124832257</v>
      </c>
      <c r="N65" s="39">
        <v>1.1302712859999999</v>
      </c>
      <c r="O65" s="39">
        <v>0.42817027299999999</v>
      </c>
    </row>
    <row r="66" spans="1:15" ht="15.75" x14ac:dyDescent="0.25">
      <c r="A66" s="2">
        <v>2564</v>
      </c>
      <c r="B66" s="2">
        <v>3</v>
      </c>
      <c r="C66" s="2">
        <v>2304</v>
      </c>
      <c r="D66" s="2" t="s">
        <v>16</v>
      </c>
      <c r="E66" s="2" t="s">
        <v>20</v>
      </c>
      <c r="F66" s="2" t="s">
        <v>21</v>
      </c>
      <c r="G66" s="2" t="s">
        <v>15</v>
      </c>
      <c r="H66" s="2">
        <v>97.258891000000006</v>
      </c>
      <c r="I66" s="2">
        <v>1.733766234</v>
      </c>
      <c r="J66" s="39">
        <v>13.68714286</v>
      </c>
      <c r="K66" s="39">
        <v>14.47554955</v>
      </c>
      <c r="L66" s="39">
        <v>-0.78840669799999996</v>
      </c>
      <c r="M66" s="39">
        <v>0.12667115800000001</v>
      </c>
      <c r="N66" s="39">
        <v>1.149823517</v>
      </c>
      <c r="O66" s="39">
        <v>0.583942717</v>
      </c>
    </row>
    <row r="67" spans="1:15" ht="15.75" x14ac:dyDescent="0.25">
      <c r="A67" s="2">
        <v>2566</v>
      </c>
      <c r="B67" s="2">
        <v>3</v>
      </c>
      <c r="C67" s="2">
        <v>2304</v>
      </c>
      <c r="D67" s="2" t="s">
        <v>16</v>
      </c>
      <c r="E67" s="2" t="s">
        <v>20</v>
      </c>
      <c r="F67" s="2" t="s">
        <v>21</v>
      </c>
      <c r="G67" s="2" t="s">
        <v>15</v>
      </c>
      <c r="H67" s="2">
        <v>94.577807590000006</v>
      </c>
      <c r="I67" s="2">
        <v>1.6428571430000001</v>
      </c>
      <c r="J67" s="39">
        <v>14.215492960000001</v>
      </c>
      <c r="K67" s="39">
        <v>14.0430194</v>
      </c>
      <c r="L67" s="39">
        <v>0.172473562</v>
      </c>
      <c r="M67" s="39">
        <v>0.11556807400000001</v>
      </c>
      <c r="N67" s="39">
        <v>1.1436198580000001</v>
      </c>
      <c r="O67" s="39">
        <v>0.499237284</v>
      </c>
    </row>
    <row r="68" spans="1:15" ht="15.75" x14ac:dyDescent="0.25">
      <c r="A68" s="2">
        <v>2575</v>
      </c>
      <c r="B68" s="2">
        <v>3</v>
      </c>
      <c r="C68" s="2">
        <v>2304</v>
      </c>
      <c r="D68" s="2" t="s">
        <v>16</v>
      </c>
      <c r="E68" s="2" t="s">
        <v>20</v>
      </c>
      <c r="F68" s="2" t="s">
        <v>21</v>
      </c>
      <c r="G68" s="2" t="s">
        <v>15</v>
      </c>
      <c r="H68" s="2">
        <v>89.899707930000005</v>
      </c>
      <c r="I68" s="2">
        <v>1.5324675320000001</v>
      </c>
      <c r="J68" s="39">
        <v>11.52394366</v>
      </c>
      <c r="K68" s="39">
        <v>13.33683396</v>
      </c>
      <c r="L68" s="39">
        <v>-1.8128902979999999</v>
      </c>
      <c r="M68" s="39">
        <v>0.13298117200000001</v>
      </c>
      <c r="N68" s="39">
        <v>1.119664126</v>
      </c>
      <c r="O68" s="39">
        <v>0.41280340599999998</v>
      </c>
    </row>
    <row r="69" spans="1:15" ht="15.75" x14ac:dyDescent="0.25">
      <c r="A69" s="2">
        <v>2579</v>
      </c>
      <c r="B69" s="2">
        <v>4</v>
      </c>
      <c r="C69" s="2">
        <v>2304</v>
      </c>
      <c r="D69" s="2" t="s">
        <v>16</v>
      </c>
      <c r="E69" s="2" t="s">
        <v>20</v>
      </c>
      <c r="F69" s="2" t="s">
        <v>21</v>
      </c>
      <c r="G69" s="2" t="s">
        <v>15</v>
      </c>
      <c r="H69" s="2">
        <v>93.302923120000003</v>
      </c>
      <c r="I69" s="2">
        <v>1.4675324679999999</v>
      </c>
      <c r="J69" s="39">
        <v>14.42816901</v>
      </c>
      <c r="K69" s="39">
        <v>13.70447476</v>
      </c>
      <c r="L69" s="39">
        <v>0.72369425200000004</v>
      </c>
      <c r="M69" s="39">
        <v>0.10171300799999999</v>
      </c>
      <c r="N69" s="39">
        <v>1.1405298230000001</v>
      </c>
      <c r="O69" s="39">
        <v>0.32700264400000001</v>
      </c>
    </row>
    <row r="70" spans="1:15" ht="15.75" x14ac:dyDescent="0.25">
      <c r="A70" s="2">
        <v>2581</v>
      </c>
      <c r="B70" s="2">
        <v>3</v>
      </c>
      <c r="C70" s="2">
        <v>2304</v>
      </c>
      <c r="D70" s="2" t="s">
        <v>16</v>
      </c>
      <c r="E70" s="2" t="s">
        <v>23</v>
      </c>
      <c r="F70" s="2" t="s">
        <v>21</v>
      </c>
      <c r="G70" s="2" t="s">
        <v>24</v>
      </c>
      <c r="H70" s="2">
        <v>94.652621940000003</v>
      </c>
      <c r="I70" s="2">
        <v>1.487012987</v>
      </c>
      <c r="J70" s="39">
        <v>13.01549296</v>
      </c>
      <c r="K70" s="39">
        <v>13.89577832</v>
      </c>
      <c r="L70" s="39">
        <v>-0.88028535900000004</v>
      </c>
      <c r="M70" s="39">
        <v>0.114249456</v>
      </c>
      <c r="N70" s="39">
        <v>1.1394857460000001</v>
      </c>
      <c r="O70" s="39">
        <v>0.34752724099999999</v>
      </c>
    </row>
    <row r="71" spans="1:15" ht="15.75" x14ac:dyDescent="0.25">
      <c r="A71" s="2">
        <v>2590</v>
      </c>
      <c r="B71" s="2">
        <v>4</v>
      </c>
      <c r="C71" s="2">
        <v>2304</v>
      </c>
      <c r="D71" s="2" t="s">
        <v>16</v>
      </c>
      <c r="E71" s="2" t="s">
        <v>20</v>
      </c>
      <c r="F71" s="2" t="s">
        <v>21</v>
      </c>
      <c r="G71" s="2" t="s">
        <v>15</v>
      </c>
      <c r="H71" s="2">
        <v>92.324082469999993</v>
      </c>
      <c r="I71" s="2">
        <v>1.318181818</v>
      </c>
      <c r="J71" s="39">
        <v>13.70985915</v>
      </c>
      <c r="K71" s="39">
        <v>13.42971932</v>
      </c>
      <c r="L71" s="39">
        <v>0.280139837</v>
      </c>
      <c r="M71" s="39">
        <v>9.6148458000000006E-2</v>
      </c>
      <c r="N71" s="39">
        <v>1.1349535980000001</v>
      </c>
      <c r="O71" s="39">
        <v>0.18322822</v>
      </c>
    </row>
    <row r="72" spans="1:15" ht="15.75" x14ac:dyDescent="0.25">
      <c r="A72" s="2">
        <v>2592</v>
      </c>
      <c r="B72" s="2">
        <v>3</v>
      </c>
      <c r="C72" s="2">
        <v>2304</v>
      </c>
      <c r="D72" s="2" t="s">
        <v>16</v>
      </c>
      <c r="E72" s="2" t="s">
        <v>20</v>
      </c>
      <c r="F72" s="2" t="s">
        <v>21</v>
      </c>
      <c r="G72" s="2" t="s">
        <v>15</v>
      </c>
      <c r="H72" s="2">
        <v>92.776282760000001</v>
      </c>
      <c r="I72" s="2">
        <v>1.9545454550000001</v>
      </c>
      <c r="J72" s="39">
        <v>14.601408449999999</v>
      </c>
      <c r="K72" s="39">
        <v>14.127347329999999</v>
      </c>
      <c r="L72" s="39">
        <v>0.47406112099999997</v>
      </c>
      <c r="M72" s="39">
        <v>0.133860063</v>
      </c>
      <c r="N72" s="39">
        <v>1.1395636549999999</v>
      </c>
      <c r="O72" s="39">
        <v>0.81498179900000001</v>
      </c>
    </row>
    <row r="73" spans="1:15" ht="15.75" x14ac:dyDescent="0.25">
      <c r="A73" s="2">
        <v>2593</v>
      </c>
      <c r="B73" s="2">
        <v>3</v>
      </c>
      <c r="C73" s="2">
        <v>2304</v>
      </c>
      <c r="D73" s="2" t="s">
        <v>16</v>
      </c>
      <c r="E73" s="2" t="s">
        <v>20</v>
      </c>
      <c r="F73" s="2" t="s">
        <v>21</v>
      </c>
      <c r="G73" s="2" t="s">
        <v>15</v>
      </c>
      <c r="H73" s="2">
        <v>95.623424650000004</v>
      </c>
      <c r="I73" s="2">
        <v>1.5324675320000001</v>
      </c>
      <c r="J73" s="39">
        <v>12.57971014</v>
      </c>
      <c r="K73" s="39">
        <v>14.0650052</v>
      </c>
      <c r="L73" s="39">
        <v>-1.4852950549999999</v>
      </c>
      <c r="M73" s="39">
        <v>0.121820576</v>
      </c>
      <c r="N73" s="39">
        <v>1.140843643</v>
      </c>
      <c r="O73" s="39">
        <v>0.391623889</v>
      </c>
    </row>
    <row r="74" spans="1:15" ht="15.75" x14ac:dyDescent="0.25">
      <c r="A74" s="2">
        <v>2595</v>
      </c>
      <c r="B74" s="2">
        <v>4</v>
      </c>
      <c r="C74" s="2">
        <v>2304</v>
      </c>
      <c r="D74" s="2" t="s">
        <v>16</v>
      </c>
      <c r="E74" s="2" t="s">
        <v>20</v>
      </c>
      <c r="F74" s="2" t="s">
        <v>21</v>
      </c>
      <c r="G74" s="2" t="s">
        <v>15</v>
      </c>
      <c r="H74" s="2">
        <v>87.530130389999997</v>
      </c>
      <c r="I74" s="2">
        <v>1.480519481</v>
      </c>
      <c r="J74" s="39">
        <v>15.33521127</v>
      </c>
      <c r="K74" s="39">
        <v>12.983123320000001</v>
      </c>
      <c r="L74" s="39">
        <v>2.352087949</v>
      </c>
      <c r="M74" s="39">
        <v>9.6543794000000002E-2</v>
      </c>
      <c r="N74" s="39">
        <v>1.1263344529999999</v>
      </c>
      <c r="O74" s="39">
        <v>0.35418502800000001</v>
      </c>
    </row>
    <row r="75" spans="1:15" ht="15.75" x14ac:dyDescent="0.25">
      <c r="A75" s="2">
        <v>2598</v>
      </c>
      <c r="B75" s="2">
        <v>4</v>
      </c>
      <c r="C75" s="2">
        <v>2304</v>
      </c>
      <c r="D75" s="2" t="s">
        <v>16</v>
      </c>
      <c r="E75" s="2" t="s">
        <v>20</v>
      </c>
      <c r="F75" s="2" t="s">
        <v>21</v>
      </c>
      <c r="G75" s="2" t="s">
        <v>15</v>
      </c>
      <c r="H75" s="2">
        <v>82.098501819999996</v>
      </c>
      <c r="I75" s="2">
        <v>1.2207792209999999</v>
      </c>
      <c r="J75" s="39">
        <v>12.233802819999999</v>
      </c>
      <c r="K75" s="39">
        <v>12.0308466</v>
      </c>
      <c r="L75" s="39">
        <v>0.20295621999999999</v>
      </c>
      <c r="M75" s="39">
        <v>9.9787387000000005E-2</v>
      </c>
      <c r="N75" s="39">
        <v>1.0986061</v>
      </c>
      <c r="O75" s="39">
        <v>0.122173121</v>
      </c>
    </row>
    <row r="76" spans="1:15" ht="15.75" x14ac:dyDescent="0.25">
      <c r="A76" s="2">
        <v>2609</v>
      </c>
      <c r="B76" s="2">
        <v>3</v>
      </c>
      <c r="C76" s="2">
        <v>2304</v>
      </c>
      <c r="D76" s="2" t="s">
        <v>16</v>
      </c>
      <c r="E76" s="2" t="s">
        <v>20</v>
      </c>
      <c r="F76" s="2" t="s">
        <v>21</v>
      </c>
      <c r="G76" s="2" t="s">
        <v>15</v>
      </c>
      <c r="H76" s="2">
        <v>95.325067439999998</v>
      </c>
      <c r="I76" s="2">
        <v>1.9610389610000001</v>
      </c>
      <c r="J76" s="39">
        <v>14.28169014</v>
      </c>
      <c r="K76" s="39">
        <v>14.45813534</v>
      </c>
      <c r="L76" s="39">
        <v>-0.176445198</v>
      </c>
      <c r="M76" s="39">
        <v>0.137311407</v>
      </c>
      <c r="N76" s="39">
        <v>1.146124616</v>
      </c>
      <c r="O76" s="39">
        <v>0.81491434500000004</v>
      </c>
    </row>
    <row r="77" spans="1:15" ht="15.75" x14ac:dyDescent="0.25">
      <c r="A77" s="2">
        <v>2620</v>
      </c>
      <c r="B77" s="2">
        <v>3</v>
      </c>
      <c r="C77" s="2">
        <v>2304</v>
      </c>
      <c r="D77" s="2" t="s">
        <v>16</v>
      </c>
      <c r="E77" s="2" t="s">
        <v>20</v>
      </c>
      <c r="F77" s="2" t="s">
        <v>21</v>
      </c>
      <c r="G77" s="2" t="s">
        <v>15</v>
      </c>
      <c r="H77" s="2">
        <v>95.995935430000003</v>
      </c>
      <c r="I77" s="2">
        <v>1.512987013</v>
      </c>
      <c r="J77" s="39">
        <v>12.239436619999999</v>
      </c>
      <c r="K77" s="39">
        <v>14.09280115</v>
      </c>
      <c r="L77" s="39">
        <v>-1.8533645329999999</v>
      </c>
      <c r="M77" s="39">
        <v>0.12361574</v>
      </c>
      <c r="N77" s="39">
        <v>1.1407357970000001</v>
      </c>
      <c r="O77" s="39">
        <v>0.372251216</v>
      </c>
    </row>
    <row r="78" spans="1:15" ht="15.75" x14ac:dyDescent="0.25">
      <c r="A78" s="2">
        <v>2624</v>
      </c>
      <c r="B78" s="2">
        <v>4</v>
      </c>
      <c r="C78" s="2">
        <v>2304</v>
      </c>
      <c r="D78" s="2" t="s">
        <v>16</v>
      </c>
      <c r="E78" s="2" t="s">
        <v>20</v>
      </c>
      <c r="F78" s="2" t="s">
        <v>21</v>
      </c>
      <c r="G78" s="2" t="s">
        <v>15</v>
      </c>
      <c r="H78" s="2">
        <v>89.747464539999996</v>
      </c>
      <c r="I78" s="2">
        <v>1.512987013</v>
      </c>
      <c r="J78" s="39">
        <v>13.364788730000001</v>
      </c>
      <c r="K78" s="39">
        <v>13.29787069</v>
      </c>
      <c r="L78" s="39">
        <v>6.6918046999999994E-2</v>
      </c>
      <c r="M78" s="39">
        <v>0.113206953</v>
      </c>
      <c r="N78" s="39">
        <v>1.12589246</v>
      </c>
      <c r="O78" s="39">
        <v>0.38709455300000001</v>
      </c>
    </row>
    <row r="79" spans="1:15" ht="15.75" x14ac:dyDescent="0.25">
      <c r="A79" s="2">
        <v>2626</v>
      </c>
      <c r="B79" s="2">
        <v>4</v>
      </c>
      <c r="C79" s="2">
        <v>2304</v>
      </c>
      <c r="D79" s="2" t="s">
        <v>16</v>
      </c>
      <c r="E79" s="2" t="s">
        <v>20</v>
      </c>
      <c r="F79" s="2" t="s">
        <v>21</v>
      </c>
      <c r="G79" s="2" t="s">
        <v>15</v>
      </c>
      <c r="H79" s="2">
        <v>90.659641339999993</v>
      </c>
      <c r="I79" s="2">
        <v>1.311688312</v>
      </c>
      <c r="J79" s="39">
        <v>13.916901409999999</v>
      </c>
      <c r="K79" s="39">
        <v>13.21143749</v>
      </c>
      <c r="L79" s="39">
        <v>0.70546391399999997</v>
      </c>
      <c r="M79" s="39">
        <v>9.4251462999999994E-2</v>
      </c>
      <c r="N79" s="39">
        <v>1.1306627330000001</v>
      </c>
      <c r="O79" s="39">
        <v>0.18102557899999999</v>
      </c>
    </row>
    <row r="80" spans="1:15" ht="15.75" x14ac:dyDescent="0.25">
      <c r="A80" s="2">
        <v>2634</v>
      </c>
      <c r="B80" s="2">
        <v>3</v>
      </c>
      <c r="C80" s="2">
        <v>2304</v>
      </c>
      <c r="D80" s="2" t="s">
        <v>16</v>
      </c>
      <c r="E80" s="2" t="s">
        <v>20</v>
      </c>
      <c r="F80" s="2" t="s">
        <v>21</v>
      </c>
      <c r="G80" s="2" t="s">
        <v>15</v>
      </c>
      <c r="H80" s="2">
        <v>85.371344590000007</v>
      </c>
      <c r="I80" s="2">
        <v>1.3896103900000001</v>
      </c>
      <c r="J80" s="39">
        <v>11.4</v>
      </c>
      <c r="K80" s="39">
        <v>12.61703986</v>
      </c>
      <c r="L80" s="39">
        <v>-1.2170398609999999</v>
      </c>
      <c r="M80" s="39">
        <v>0.121895648</v>
      </c>
      <c r="N80" s="39">
        <v>1.105492774</v>
      </c>
      <c r="O80" s="39">
        <v>0.28411761600000002</v>
      </c>
    </row>
    <row r="81" spans="1:15" ht="15.75" x14ac:dyDescent="0.25">
      <c r="A81" s="2">
        <v>2656</v>
      </c>
      <c r="B81" s="2">
        <v>4</v>
      </c>
      <c r="C81" s="2">
        <v>2304</v>
      </c>
      <c r="D81" s="2" t="s">
        <v>16</v>
      </c>
      <c r="E81" s="2" t="s">
        <v>20</v>
      </c>
      <c r="F81" s="2" t="s">
        <v>21</v>
      </c>
      <c r="G81" s="2" t="s">
        <v>15</v>
      </c>
      <c r="H81" s="2">
        <v>80.366747570000001</v>
      </c>
      <c r="I81" s="2">
        <v>1.4090909089999999</v>
      </c>
      <c r="J81" s="39">
        <v>12.22957746</v>
      </c>
      <c r="K81" s="39">
        <v>11.999949900000001</v>
      </c>
      <c r="L81" s="39">
        <v>0.22962756600000001</v>
      </c>
      <c r="M81" s="39">
        <v>0.115219918</v>
      </c>
      <c r="N81" s="39">
        <v>1.0933435300000001</v>
      </c>
      <c r="O81" s="39">
        <v>0.31574737899999999</v>
      </c>
    </row>
    <row r="82" spans="1:15" ht="15.75" x14ac:dyDescent="0.25">
      <c r="A82" s="2">
        <v>2670</v>
      </c>
      <c r="B82" s="2">
        <v>4</v>
      </c>
      <c r="C82" s="2">
        <v>2304</v>
      </c>
      <c r="D82" s="2" t="s">
        <v>16</v>
      </c>
      <c r="E82" s="2" t="s">
        <v>23</v>
      </c>
      <c r="F82" s="2" t="s">
        <v>21</v>
      </c>
      <c r="G82" s="2" t="s">
        <v>24</v>
      </c>
      <c r="H82" s="2">
        <v>96.070379740000007</v>
      </c>
      <c r="I82" s="2">
        <v>1.551948052</v>
      </c>
      <c r="J82" s="39">
        <v>14.384507040000001</v>
      </c>
      <c r="K82" s="39">
        <v>14.141461700000001</v>
      </c>
      <c r="L82" s="39">
        <v>0.243045344</v>
      </c>
      <c r="M82" s="39">
        <v>0.10789024899999999</v>
      </c>
      <c r="N82" s="39">
        <v>1.148756549</v>
      </c>
      <c r="O82" s="39">
        <v>0.40319150300000001</v>
      </c>
    </row>
    <row r="83" spans="1:15" ht="15.75" x14ac:dyDescent="0.25">
      <c r="A83" s="2">
        <v>2671</v>
      </c>
      <c r="B83" s="2">
        <v>4</v>
      </c>
      <c r="C83" s="2">
        <v>2304</v>
      </c>
      <c r="D83" s="2" t="s">
        <v>16</v>
      </c>
      <c r="E83" s="2" t="s">
        <v>20</v>
      </c>
      <c r="F83" s="2" t="s">
        <v>21</v>
      </c>
      <c r="G83" s="2" t="s">
        <v>15</v>
      </c>
      <c r="H83" s="2">
        <v>91.493123580000002</v>
      </c>
      <c r="I83" s="2">
        <v>1.2402597399999999</v>
      </c>
      <c r="J83" s="39">
        <v>12.457142859999999</v>
      </c>
      <c r="K83" s="39">
        <v>13.24562525</v>
      </c>
      <c r="L83" s="39">
        <v>-0.78848238900000001</v>
      </c>
      <c r="M83" s="39">
        <v>9.9562134999999996E-2</v>
      </c>
      <c r="N83" s="39">
        <v>1.127883422</v>
      </c>
      <c r="O83" s="39">
        <v>0.112376319</v>
      </c>
    </row>
    <row r="84" spans="1:15" ht="15.75" x14ac:dyDescent="0.25">
      <c r="A84" s="2">
        <v>2697</v>
      </c>
      <c r="B84" s="2">
        <v>4</v>
      </c>
      <c r="C84" s="2">
        <v>2304</v>
      </c>
      <c r="D84" s="2" t="s">
        <v>16</v>
      </c>
      <c r="E84" s="2" t="s">
        <v>20</v>
      </c>
      <c r="F84" s="2" t="s">
        <v>21</v>
      </c>
      <c r="G84" s="2" t="s">
        <v>15</v>
      </c>
      <c r="H84" s="2">
        <v>73.553824599999999</v>
      </c>
      <c r="I84" s="2">
        <v>1.5584415579999999</v>
      </c>
      <c r="J84" s="39">
        <v>11.38169014</v>
      </c>
      <c r="K84" s="39">
        <v>11.28343718</v>
      </c>
      <c r="L84" s="39">
        <v>9.8252964999999998E-2</v>
      </c>
      <c r="M84" s="39">
        <v>0.13692531899999999</v>
      </c>
      <c r="N84" s="39">
        <v>1.0696191509999999</v>
      </c>
      <c r="O84" s="39">
        <v>0.48882240799999999</v>
      </c>
    </row>
    <row r="85" spans="1:15" ht="15.75" x14ac:dyDescent="0.25">
      <c r="A85" s="40">
        <v>3504</v>
      </c>
      <c r="B85" s="40">
        <v>4</v>
      </c>
      <c r="C85" s="40">
        <v>2404</v>
      </c>
      <c r="D85" s="2" t="s">
        <v>16</v>
      </c>
      <c r="E85" s="40" t="s">
        <v>20</v>
      </c>
      <c r="F85" s="39" t="s">
        <v>21</v>
      </c>
      <c r="G85" s="39" t="s">
        <v>15</v>
      </c>
      <c r="H85" s="39">
        <v>98.572496119999997</v>
      </c>
      <c r="I85" s="39">
        <v>1.7727272730000001</v>
      </c>
      <c r="J85" s="2">
        <v>10.031655629999999</v>
      </c>
      <c r="K85" s="39">
        <v>10.635875540000001</v>
      </c>
      <c r="L85" s="39">
        <v>-0.60421990800000003</v>
      </c>
      <c r="M85" s="39">
        <v>0.17671333</v>
      </c>
      <c r="N85" s="39">
        <v>1.7093120740000001</v>
      </c>
      <c r="O85" s="39">
        <v>6.3415199000000005E-2</v>
      </c>
    </row>
    <row r="86" spans="1:15" ht="15.75" x14ac:dyDescent="0.25">
      <c r="A86" s="40">
        <v>3505</v>
      </c>
      <c r="B86" s="40">
        <v>3</v>
      </c>
      <c r="C86" s="40">
        <v>2404</v>
      </c>
      <c r="D86" s="2" t="s">
        <v>16</v>
      </c>
      <c r="E86" s="40" t="s">
        <v>20</v>
      </c>
      <c r="F86" s="39" t="s">
        <v>21</v>
      </c>
      <c r="G86" s="39" t="s">
        <v>15</v>
      </c>
      <c r="H86" s="39">
        <v>101.3813322</v>
      </c>
      <c r="I86" s="39">
        <v>1.7792207790000001</v>
      </c>
      <c r="J86" s="2">
        <v>7.1993950819999997</v>
      </c>
      <c r="K86" s="39">
        <v>10.951356240000001</v>
      </c>
      <c r="L86" s="39">
        <v>-3.7519611570000002</v>
      </c>
      <c r="M86" s="39">
        <v>0.24713476000000001</v>
      </c>
      <c r="N86" s="39">
        <v>1.149778427</v>
      </c>
      <c r="O86" s="39">
        <v>0.62944235299999995</v>
      </c>
    </row>
    <row r="87" spans="1:15" ht="15.75" x14ac:dyDescent="0.25">
      <c r="A87" s="40">
        <v>3509</v>
      </c>
      <c r="B87" s="40">
        <v>3</v>
      </c>
      <c r="C87" s="40">
        <v>2404</v>
      </c>
      <c r="D87" s="2" t="s">
        <v>16</v>
      </c>
      <c r="E87" s="40" t="s">
        <v>20</v>
      </c>
      <c r="F87" s="39" t="s">
        <v>21</v>
      </c>
      <c r="G87" s="39" t="s">
        <v>15</v>
      </c>
      <c r="H87" s="39">
        <v>100.5379157</v>
      </c>
      <c r="I87" s="39">
        <v>1.694805195</v>
      </c>
      <c r="J87" s="2">
        <v>9.5092607139999998</v>
      </c>
      <c r="K87" s="39">
        <v>10.70868823</v>
      </c>
      <c r="L87" s="39">
        <v>-1.1994275109999999</v>
      </c>
      <c r="M87" s="39">
        <v>0.17822680900000001</v>
      </c>
      <c r="N87" s="39">
        <v>1.5846305599999999</v>
      </c>
      <c r="O87" s="39">
        <v>0.11017463500000001</v>
      </c>
    </row>
    <row r="88" spans="1:15" ht="15.75" x14ac:dyDescent="0.25">
      <c r="A88" s="40">
        <v>3517</v>
      </c>
      <c r="B88" s="40">
        <v>3</v>
      </c>
      <c r="C88" s="40">
        <v>2404</v>
      </c>
      <c r="D88" s="2" t="s">
        <v>16</v>
      </c>
      <c r="E88" s="40" t="s">
        <v>20</v>
      </c>
      <c r="F88" s="39" t="s">
        <v>21</v>
      </c>
      <c r="G88" s="39" t="s">
        <v>15</v>
      </c>
      <c r="H88" s="39">
        <v>103.2705399</v>
      </c>
      <c r="I88" s="39">
        <v>1.935064935</v>
      </c>
      <c r="J88" s="2">
        <v>10.12999437</v>
      </c>
      <c r="K88" s="39">
        <v>11.43528534</v>
      </c>
      <c r="L88" s="39">
        <v>-1.3052909770000001</v>
      </c>
      <c r="M88" s="39">
        <v>0.19102329800000001</v>
      </c>
      <c r="N88" s="39">
        <v>1.657573357</v>
      </c>
      <c r="O88" s="39">
        <v>0.27749157800000002</v>
      </c>
    </row>
    <row r="89" spans="1:15" ht="15.75" x14ac:dyDescent="0.25">
      <c r="A89" s="40">
        <v>3523</v>
      </c>
      <c r="B89" s="40">
        <v>4</v>
      </c>
      <c r="C89" s="40">
        <v>2404</v>
      </c>
      <c r="D89" s="2" t="s">
        <v>16</v>
      </c>
      <c r="E89" s="40" t="s">
        <v>20</v>
      </c>
      <c r="F89" s="39" t="s">
        <v>21</v>
      </c>
      <c r="G89" s="39" t="s">
        <v>15</v>
      </c>
      <c r="H89" s="39">
        <v>116.33745089999999</v>
      </c>
      <c r="I89" s="39">
        <v>1.7207792209999999</v>
      </c>
      <c r="J89" s="2">
        <v>11.162314289999999</v>
      </c>
      <c r="K89" s="39">
        <v>12.464319529999999</v>
      </c>
      <c r="L89" s="39">
        <v>-1.3020052419999999</v>
      </c>
      <c r="M89" s="39">
        <v>0.154159718</v>
      </c>
      <c r="N89" s="39">
        <v>1.652409773</v>
      </c>
      <c r="O89" s="39">
        <v>6.8369447999999999E-2</v>
      </c>
    </row>
    <row r="90" spans="1:15" ht="15.75" x14ac:dyDescent="0.25">
      <c r="A90" s="40">
        <v>3534</v>
      </c>
      <c r="B90" s="40">
        <v>4</v>
      </c>
      <c r="C90" s="40">
        <v>2404</v>
      </c>
      <c r="D90" s="2" t="s">
        <v>16</v>
      </c>
      <c r="E90" s="40" t="s">
        <v>20</v>
      </c>
      <c r="F90" s="39" t="s">
        <v>21</v>
      </c>
      <c r="G90" s="39" t="s">
        <v>15</v>
      </c>
      <c r="H90" s="39">
        <v>106.8195698</v>
      </c>
      <c r="I90" s="39">
        <v>1.4025974029999999</v>
      </c>
      <c r="J90" s="2">
        <v>9.796882836</v>
      </c>
      <c r="K90" s="39">
        <v>10.863974430000001</v>
      </c>
      <c r="L90" s="39">
        <v>-1.067091593</v>
      </c>
      <c r="M90" s="39">
        <v>0.143167722</v>
      </c>
      <c r="N90" s="39">
        <v>1.5439996410000001</v>
      </c>
      <c r="O90" s="39">
        <v>-0.14140223900000001</v>
      </c>
    </row>
    <row r="91" spans="1:15" ht="15.75" x14ac:dyDescent="0.25">
      <c r="A91" s="40">
        <v>3546</v>
      </c>
      <c r="B91" s="40">
        <v>3</v>
      </c>
      <c r="C91" s="40">
        <v>2404</v>
      </c>
      <c r="D91" s="2" t="s">
        <v>16</v>
      </c>
      <c r="E91" s="40" t="s">
        <v>23</v>
      </c>
      <c r="F91" s="39" t="s">
        <v>21</v>
      </c>
      <c r="G91" s="39" t="s">
        <v>24</v>
      </c>
      <c r="H91" s="39">
        <v>101.3813322</v>
      </c>
      <c r="I91" s="39">
        <v>1.811688312</v>
      </c>
      <c r="J91" s="2">
        <v>10.87582183</v>
      </c>
      <c r="K91" s="39">
        <v>11.00960072</v>
      </c>
      <c r="L91" s="39">
        <v>-0.13377888800000001</v>
      </c>
      <c r="M91" s="39">
        <v>0.16657944</v>
      </c>
      <c r="N91" s="39">
        <v>1.8219762930000001</v>
      </c>
      <c r="O91" s="39">
        <v>-1.0287981999999999E-2</v>
      </c>
    </row>
    <row r="92" spans="1:15" ht="15.75" x14ac:dyDescent="0.25">
      <c r="A92" s="40">
        <v>3553</v>
      </c>
      <c r="B92" s="40">
        <v>3</v>
      </c>
      <c r="C92" s="40">
        <v>2404</v>
      </c>
      <c r="D92" s="2" t="s">
        <v>16</v>
      </c>
      <c r="E92" s="40" t="s">
        <v>23</v>
      </c>
      <c r="F92" s="39" t="s">
        <v>21</v>
      </c>
      <c r="G92" s="39" t="s">
        <v>24</v>
      </c>
      <c r="H92" s="39">
        <v>107.5200531</v>
      </c>
      <c r="I92" s="39">
        <v>2.1753246750000002</v>
      </c>
      <c r="J92" s="2">
        <v>10.859247890000001</v>
      </c>
      <c r="K92" s="39">
        <v>12.325964340000001</v>
      </c>
      <c r="L92" s="39">
        <v>-1.4667164500000001</v>
      </c>
      <c r="M92" s="39">
        <v>0.20032001299999999</v>
      </c>
      <c r="N92" s="39">
        <v>1.727847296</v>
      </c>
      <c r="O92" s="39">
        <v>0.44747737900000001</v>
      </c>
    </row>
    <row r="93" spans="1:15" ht="15.75" x14ac:dyDescent="0.25">
      <c r="A93" s="40">
        <v>3554</v>
      </c>
      <c r="B93" s="40">
        <v>4</v>
      </c>
      <c r="C93" s="40">
        <v>2404</v>
      </c>
      <c r="D93" s="2" t="s">
        <v>16</v>
      </c>
      <c r="E93" s="40" t="s">
        <v>20</v>
      </c>
      <c r="F93" s="39" t="s">
        <v>21</v>
      </c>
      <c r="G93" s="39" t="s">
        <v>15</v>
      </c>
      <c r="H93" s="39">
        <v>109.63525420000001</v>
      </c>
      <c r="I93" s="39">
        <v>2.12987013</v>
      </c>
      <c r="J93" s="2">
        <v>11.53988451</v>
      </c>
      <c r="K93" s="39">
        <v>12.473223369999999</v>
      </c>
      <c r="L93" s="39">
        <v>-0.93333886300000002</v>
      </c>
      <c r="M93" s="39">
        <v>0.18456598299999999</v>
      </c>
      <c r="N93" s="39">
        <v>1.820905311</v>
      </c>
      <c r="O93" s="39">
        <v>0.308964819</v>
      </c>
    </row>
    <row r="94" spans="1:15" ht="15.75" x14ac:dyDescent="0.25">
      <c r="A94" s="40">
        <v>3557</v>
      </c>
      <c r="B94" s="40">
        <v>4</v>
      </c>
      <c r="C94" s="40">
        <v>2404</v>
      </c>
      <c r="D94" s="2" t="s">
        <v>16</v>
      </c>
      <c r="E94" s="40" t="s">
        <v>23</v>
      </c>
      <c r="F94" s="39" t="s">
        <v>21</v>
      </c>
      <c r="G94" s="39" t="s">
        <v>24</v>
      </c>
      <c r="H94" s="39">
        <v>104.8014118</v>
      </c>
      <c r="I94" s="39">
        <v>2.2142857139999998</v>
      </c>
      <c r="J94" s="2">
        <v>11.463644370000001</v>
      </c>
      <c r="K94" s="39">
        <v>12.101782289999999</v>
      </c>
      <c r="L94" s="39">
        <v>-0.63813792300000005</v>
      </c>
      <c r="M94" s="39">
        <v>0.19315722299999999</v>
      </c>
      <c r="N94" s="39">
        <v>1.8786997839999999</v>
      </c>
      <c r="O94" s="39">
        <v>0.33558592999999998</v>
      </c>
    </row>
    <row r="95" spans="1:15" ht="15.75" x14ac:dyDescent="0.25">
      <c r="A95" s="40">
        <v>3559</v>
      </c>
      <c r="B95" s="40">
        <v>4</v>
      </c>
      <c r="C95" s="40">
        <v>2404</v>
      </c>
      <c r="D95" s="2" t="s">
        <v>16</v>
      </c>
      <c r="E95" s="40" t="s">
        <v>20</v>
      </c>
      <c r="F95" s="39" t="s">
        <v>21</v>
      </c>
      <c r="G95" s="39" t="s">
        <v>15</v>
      </c>
      <c r="H95" s="39">
        <v>103.31704070000001</v>
      </c>
      <c r="I95" s="39">
        <v>1.6753246749999999</v>
      </c>
      <c r="J95" s="2">
        <v>10.34656056</v>
      </c>
      <c r="K95" s="39">
        <v>10.974359489999999</v>
      </c>
      <c r="L95" s="39">
        <v>-0.62779892800000003</v>
      </c>
      <c r="M95" s="39">
        <v>0.16192092699999999</v>
      </c>
      <c r="N95" s="39">
        <v>1.6964802489999999</v>
      </c>
      <c r="O95" s="39">
        <v>-2.1155574E-2</v>
      </c>
    </row>
    <row r="96" spans="1:15" ht="15.75" x14ac:dyDescent="0.25">
      <c r="A96" s="40">
        <v>3570</v>
      </c>
      <c r="B96" s="40">
        <v>4</v>
      </c>
      <c r="C96" s="40">
        <v>2404</v>
      </c>
      <c r="D96" s="2" t="s">
        <v>16</v>
      </c>
      <c r="E96" s="40" t="s">
        <v>23</v>
      </c>
      <c r="F96" s="39" t="s">
        <v>21</v>
      </c>
      <c r="G96" s="39" t="s">
        <v>24</v>
      </c>
      <c r="H96" s="39">
        <v>98.584303809999994</v>
      </c>
      <c r="I96" s="39">
        <v>1.116883117</v>
      </c>
      <c r="J96" s="2">
        <v>8.1864232389999998</v>
      </c>
      <c r="K96" s="39">
        <v>9.4606142729999991</v>
      </c>
      <c r="L96" s="39">
        <v>-1.2741910329999999</v>
      </c>
      <c r="M96" s="39">
        <v>0.136431148</v>
      </c>
      <c r="N96" s="39">
        <v>1.371754557</v>
      </c>
      <c r="O96" s="39">
        <v>-0.25487144</v>
      </c>
    </row>
    <row r="97" spans="1:15" ht="15.75" x14ac:dyDescent="0.25">
      <c r="A97" s="40">
        <v>3571</v>
      </c>
      <c r="B97" s="40">
        <v>4</v>
      </c>
      <c r="C97" s="40">
        <v>2404</v>
      </c>
      <c r="D97" s="2" t="s">
        <v>16</v>
      </c>
      <c r="E97" s="40" t="s">
        <v>20</v>
      </c>
      <c r="F97" s="39" t="s">
        <v>21</v>
      </c>
      <c r="G97" s="39" t="s">
        <v>15</v>
      </c>
      <c r="H97" s="39">
        <v>108.0014697</v>
      </c>
      <c r="I97" s="39">
        <v>2.1103896099999999</v>
      </c>
      <c r="J97" s="2">
        <v>9.3189760560000003</v>
      </c>
      <c r="K97" s="39">
        <v>12.261550209999999</v>
      </c>
      <c r="L97" s="39">
        <v>-2.9425741520000002</v>
      </c>
      <c r="M97" s="39">
        <v>0.22646153399999999</v>
      </c>
      <c r="N97" s="39">
        <v>1.4390797719999999</v>
      </c>
      <c r="O97" s="39">
        <v>0.67130983799999999</v>
      </c>
    </row>
    <row r="98" spans="1:15" ht="15.75" x14ac:dyDescent="0.25">
      <c r="A98" s="40">
        <v>3580</v>
      </c>
      <c r="B98" s="40">
        <v>3</v>
      </c>
      <c r="C98" s="40">
        <v>2404</v>
      </c>
      <c r="D98" s="2" t="s">
        <v>16</v>
      </c>
      <c r="E98" s="40" t="s">
        <v>20</v>
      </c>
      <c r="F98" s="39" t="s">
        <v>21</v>
      </c>
      <c r="G98" s="39" t="s">
        <v>15</v>
      </c>
      <c r="H98" s="39">
        <v>97.721098069999996</v>
      </c>
      <c r="I98" s="39">
        <v>2.0324675320000001</v>
      </c>
      <c r="J98" s="2">
        <v>10.629389550000001</v>
      </c>
      <c r="K98" s="39">
        <v>11.00973566</v>
      </c>
      <c r="L98" s="39">
        <v>-0.38034610600000002</v>
      </c>
      <c r="M98" s="39">
        <v>0.19121206600000001</v>
      </c>
      <c r="N98" s="39">
        <v>1.83123649</v>
      </c>
      <c r="O98" s="39">
        <v>0.201231042</v>
      </c>
    </row>
    <row r="99" spans="1:15" ht="15.75" x14ac:dyDescent="0.25">
      <c r="A99" s="40">
        <v>3581</v>
      </c>
      <c r="B99" s="40">
        <v>4</v>
      </c>
      <c r="C99" s="40">
        <v>2404</v>
      </c>
      <c r="D99" s="2" t="s">
        <v>16</v>
      </c>
      <c r="E99" s="40" t="s">
        <v>20</v>
      </c>
      <c r="F99" s="39" t="s">
        <v>21</v>
      </c>
      <c r="G99" s="39" t="s">
        <v>15</v>
      </c>
      <c r="H99" s="39">
        <v>107.4282733</v>
      </c>
      <c r="I99" s="39">
        <v>2.0584415580000002</v>
      </c>
      <c r="J99" s="2">
        <v>11.81390704</v>
      </c>
      <c r="K99" s="39">
        <v>12.106356379999999</v>
      </c>
      <c r="L99" s="39">
        <v>-0.292449342</v>
      </c>
      <c r="M99" s="39">
        <v>0.174238848</v>
      </c>
      <c r="N99" s="39">
        <v>1.903759188</v>
      </c>
      <c r="O99" s="39">
        <v>0.15468237000000001</v>
      </c>
    </row>
    <row r="100" spans="1:15" ht="15.75" x14ac:dyDescent="0.25">
      <c r="A100" s="40">
        <v>3584</v>
      </c>
      <c r="B100" s="40">
        <v>3</v>
      </c>
      <c r="C100" s="40">
        <v>2404</v>
      </c>
      <c r="D100" s="2" t="s">
        <v>16</v>
      </c>
      <c r="E100" s="40" t="s">
        <v>20</v>
      </c>
      <c r="F100" s="39" t="s">
        <v>21</v>
      </c>
      <c r="G100" s="39" t="s">
        <v>15</v>
      </c>
      <c r="H100" s="39">
        <v>111.61234330000001</v>
      </c>
      <c r="I100" s="39">
        <v>1.9740259739999999</v>
      </c>
      <c r="J100" s="2">
        <v>11.078610940000001</v>
      </c>
      <c r="K100" s="39">
        <v>12.40751159</v>
      </c>
      <c r="L100" s="39">
        <v>-1.3289006539999999</v>
      </c>
      <c r="M100" s="39">
        <v>0.17818352700000001</v>
      </c>
      <c r="N100" s="39">
        <v>1.707226049</v>
      </c>
      <c r="O100" s="39">
        <v>0.26679992499999999</v>
      </c>
    </row>
    <row r="101" spans="1:15" ht="15.75" x14ac:dyDescent="0.25">
      <c r="A101" s="40">
        <v>3593</v>
      </c>
      <c r="B101" s="40">
        <v>4</v>
      </c>
      <c r="C101" s="40">
        <v>2404</v>
      </c>
      <c r="D101" s="2" t="s">
        <v>16</v>
      </c>
      <c r="E101" s="40" t="s">
        <v>23</v>
      </c>
      <c r="F101" s="39" t="s">
        <v>21</v>
      </c>
      <c r="G101" s="39" t="s">
        <v>24</v>
      </c>
      <c r="H101" s="39">
        <v>97.436749419999998</v>
      </c>
      <c r="I101" s="39">
        <v>1.6103896099999999</v>
      </c>
      <c r="J101" s="2">
        <v>8.6283950699999998</v>
      </c>
      <c r="K101" s="39">
        <v>10.22179942</v>
      </c>
      <c r="L101" s="39">
        <v>-1.593404348</v>
      </c>
      <c r="M101" s="39">
        <v>0.186638372</v>
      </c>
      <c r="N101" s="39">
        <v>1.4695943929999999</v>
      </c>
      <c r="O101" s="39">
        <v>0.140795217</v>
      </c>
    </row>
    <row r="102" spans="1:15" ht="15.75" x14ac:dyDescent="0.25">
      <c r="A102" s="40">
        <v>3599</v>
      </c>
      <c r="B102" s="40">
        <v>3</v>
      </c>
      <c r="C102" s="40">
        <v>2404</v>
      </c>
      <c r="D102" s="2" t="s">
        <v>16</v>
      </c>
      <c r="E102" s="40" t="s">
        <v>20</v>
      </c>
      <c r="F102" s="39" t="s">
        <v>21</v>
      </c>
      <c r="G102" s="39" t="s">
        <v>15</v>
      </c>
      <c r="H102" s="39">
        <v>100.87790769999999</v>
      </c>
      <c r="I102" s="39">
        <v>1.7792207790000001</v>
      </c>
      <c r="J102" s="2">
        <v>9.9277922539999999</v>
      </c>
      <c r="K102" s="39">
        <v>10.89690081</v>
      </c>
      <c r="L102" s="39">
        <v>-0.96910856000000001</v>
      </c>
      <c r="M102" s="39">
        <v>0.17921615699999999</v>
      </c>
      <c r="N102" s="39">
        <v>1.6561093849999999</v>
      </c>
      <c r="O102" s="39">
        <v>0.123111394</v>
      </c>
    </row>
    <row r="103" spans="1:15" ht="15.75" x14ac:dyDescent="0.25">
      <c r="A103" s="40">
        <v>3603</v>
      </c>
      <c r="B103" s="40">
        <v>4</v>
      </c>
      <c r="C103" s="40">
        <v>2404</v>
      </c>
      <c r="D103" s="2" t="s">
        <v>16</v>
      </c>
      <c r="E103" s="40" t="s">
        <v>20</v>
      </c>
      <c r="F103" s="39" t="s">
        <v>21</v>
      </c>
      <c r="G103" s="39" t="s">
        <v>15</v>
      </c>
      <c r="H103" s="39">
        <v>107.1642605</v>
      </c>
      <c r="I103" s="39">
        <v>2.0714285710000002</v>
      </c>
      <c r="J103" s="2">
        <v>10.87029718</v>
      </c>
      <c r="K103" s="39">
        <v>12.101095920000001</v>
      </c>
      <c r="L103" s="39">
        <v>-1.230798735</v>
      </c>
      <c r="M103" s="39">
        <v>0.190558596</v>
      </c>
      <c r="N103" s="39">
        <v>1.7351475110000001</v>
      </c>
      <c r="O103" s="39">
        <v>0.33628106099999999</v>
      </c>
    </row>
    <row r="104" spans="1:15" ht="15.75" x14ac:dyDescent="0.25">
      <c r="A104" s="40">
        <v>3607</v>
      </c>
      <c r="B104" s="40">
        <v>4</v>
      </c>
      <c r="C104" s="40">
        <v>2404</v>
      </c>
      <c r="D104" s="2" t="s">
        <v>16</v>
      </c>
      <c r="E104" s="40" t="s">
        <v>20</v>
      </c>
      <c r="F104" s="39" t="s">
        <v>21</v>
      </c>
      <c r="G104" s="39" t="s">
        <v>15</v>
      </c>
      <c r="H104" s="39">
        <v>110.3979432</v>
      </c>
      <c r="I104" s="39">
        <v>1.9220779219999999</v>
      </c>
      <c r="J104" s="2">
        <v>11.419447180000001</v>
      </c>
      <c r="K104" s="39">
        <v>12.182958770000001</v>
      </c>
      <c r="L104" s="39">
        <v>-0.76351158200000002</v>
      </c>
      <c r="M104" s="39">
        <v>0.168316197</v>
      </c>
      <c r="N104" s="39">
        <v>1.7875662450000001</v>
      </c>
      <c r="O104" s="39">
        <v>0.134511677</v>
      </c>
    </row>
    <row r="105" spans="1:15" ht="15.75" x14ac:dyDescent="0.25">
      <c r="A105" s="40">
        <v>3608</v>
      </c>
      <c r="B105" s="40">
        <v>3</v>
      </c>
      <c r="C105" s="40">
        <v>2404</v>
      </c>
      <c r="D105" s="2" t="s">
        <v>16</v>
      </c>
      <c r="E105" s="40" t="s">
        <v>20</v>
      </c>
      <c r="F105" s="39" t="s">
        <v>21</v>
      </c>
      <c r="G105" s="39" t="s">
        <v>15</v>
      </c>
      <c r="H105" s="39">
        <v>107.3249897</v>
      </c>
      <c r="I105" s="39">
        <v>2.0779220779999998</v>
      </c>
      <c r="J105" s="2">
        <v>12.200632390000001</v>
      </c>
      <c r="K105" s="39">
        <v>12.13013089</v>
      </c>
      <c r="L105" s="39">
        <v>7.0501502999999993E-2</v>
      </c>
      <c r="M105" s="39">
        <v>0.17031265400000001</v>
      </c>
      <c r="N105" s="39">
        <v>1.9760007799999999</v>
      </c>
      <c r="O105" s="39">
        <v>0.10192129799999999</v>
      </c>
    </row>
    <row r="106" spans="1:15" ht="15.75" x14ac:dyDescent="0.25">
      <c r="A106" s="40">
        <v>3609</v>
      </c>
      <c r="B106" s="40">
        <v>3</v>
      </c>
      <c r="C106" s="40">
        <v>2404</v>
      </c>
      <c r="D106" s="2" t="s">
        <v>16</v>
      </c>
      <c r="E106" s="40" t="s">
        <v>20</v>
      </c>
      <c r="F106" s="39" t="s">
        <v>21</v>
      </c>
      <c r="G106" s="39" t="s">
        <v>15</v>
      </c>
      <c r="H106" s="39">
        <v>109.0991769</v>
      </c>
      <c r="I106" s="39">
        <v>1.876623377</v>
      </c>
      <c r="J106" s="2">
        <v>11.0017838</v>
      </c>
      <c r="K106" s="39">
        <v>11.96092893</v>
      </c>
      <c r="L106" s="39">
        <v>-0.95914513099999998</v>
      </c>
      <c r="M106" s="39">
        <v>0.17057446400000001</v>
      </c>
      <c r="N106" s="39">
        <v>1.7304743659999999</v>
      </c>
      <c r="O106" s="39">
        <v>0.146149011</v>
      </c>
    </row>
    <row r="107" spans="1:15" ht="15.75" x14ac:dyDescent="0.25">
      <c r="A107" s="40">
        <v>3610</v>
      </c>
      <c r="B107" s="40">
        <v>4</v>
      </c>
      <c r="C107" s="40">
        <v>2404</v>
      </c>
      <c r="D107" s="2" t="s">
        <v>16</v>
      </c>
      <c r="E107" s="40" t="s">
        <v>23</v>
      </c>
      <c r="F107" s="39" t="s">
        <v>21</v>
      </c>
      <c r="G107" s="39" t="s">
        <v>24</v>
      </c>
      <c r="H107" s="39">
        <v>101.1238706</v>
      </c>
      <c r="I107" s="39">
        <v>1.3506493509999999</v>
      </c>
      <c r="J107" s="2">
        <v>9.5510112679999999</v>
      </c>
      <c r="K107" s="39">
        <v>10.15467947</v>
      </c>
      <c r="L107" s="39">
        <v>-0.60366820200000004</v>
      </c>
      <c r="M107" s="39">
        <v>0.141414277</v>
      </c>
      <c r="N107" s="39">
        <v>1.5835686609999999</v>
      </c>
      <c r="O107" s="39">
        <v>-0.23291930999999999</v>
      </c>
    </row>
    <row r="108" spans="1:15" ht="15.75" x14ac:dyDescent="0.25">
      <c r="A108" s="40">
        <v>3617</v>
      </c>
      <c r="B108" s="40">
        <v>3</v>
      </c>
      <c r="C108" s="40">
        <v>2404</v>
      </c>
      <c r="D108" s="2" t="s">
        <v>16</v>
      </c>
      <c r="E108" s="40" t="s">
        <v>20</v>
      </c>
      <c r="F108" s="39" t="s">
        <v>21</v>
      </c>
      <c r="G108" s="39" t="s">
        <v>15</v>
      </c>
      <c r="H108" s="39">
        <v>91.617171130000003</v>
      </c>
      <c r="I108" s="39">
        <v>1.3896103900000001</v>
      </c>
      <c r="J108" s="2">
        <v>9.0350091549999991</v>
      </c>
      <c r="K108" s="39">
        <v>9.1962331670000008</v>
      </c>
      <c r="L108" s="39">
        <v>-0.161224012</v>
      </c>
      <c r="M108" s="39">
        <v>0.15380287600000001</v>
      </c>
      <c r="N108" s="39">
        <v>1.6303022540000001</v>
      </c>
      <c r="O108" s="39">
        <v>-0.240691865</v>
      </c>
    </row>
    <row r="109" spans="1:15" ht="15.75" x14ac:dyDescent="0.25">
      <c r="A109" s="40">
        <v>3623</v>
      </c>
      <c r="B109" s="40">
        <v>3</v>
      </c>
      <c r="C109" s="40">
        <v>2404</v>
      </c>
      <c r="D109" s="2" t="s">
        <v>16</v>
      </c>
      <c r="E109" s="40" t="s">
        <v>20</v>
      </c>
      <c r="F109" s="39" t="s">
        <v>21</v>
      </c>
      <c r="G109" s="39" t="s">
        <v>15</v>
      </c>
      <c r="H109" s="39">
        <v>108.87079249999999</v>
      </c>
      <c r="I109" s="39">
        <v>1.980519481</v>
      </c>
      <c r="J109" s="2">
        <v>11.47027394</v>
      </c>
      <c r="K109" s="39">
        <v>12.122606940000001</v>
      </c>
      <c r="L109" s="39">
        <v>-0.65233299199999994</v>
      </c>
      <c r="M109" s="39">
        <v>0.17266540399999999</v>
      </c>
      <c r="N109" s="39">
        <v>1.8195223270000001</v>
      </c>
      <c r="O109" s="39">
        <v>0.160997153</v>
      </c>
    </row>
    <row r="110" spans="1:15" ht="15.75" x14ac:dyDescent="0.25">
      <c r="A110" s="40">
        <v>3651</v>
      </c>
      <c r="B110" s="40">
        <v>4</v>
      </c>
      <c r="C110" s="40">
        <v>2404</v>
      </c>
      <c r="D110" s="2" t="s">
        <v>16</v>
      </c>
      <c r="E110" s="40" t="s">
        <v>20</v>
      </c>
      <c r="F110" s="39" t="s">
        <v>21</v>
      </c>
      <c r="G110" s="39" t="s">
        <v>15</v>
      </c>
      <c r="H110" s="39">
        <v>101.40472699999999</v>
      </c>
      <c r="I110" s="39">
        <v>1.9610389610000001</v>
      </c>
      <c r="J110" s="2">
        <v>9.2162176060000007</v>
      </c>
      <c r="K110" s="39">
        <v>11.28005594</v>
      </c>
      <c r="L110" s="39">
        <v>-2.0638383390000001</v>
      </c>
      <c r="M110" s="39">
        <v>0.212781321</v>
      </c>
      <c r="N110" s="39">
        <v>1.518187078</v>
      </c>
      <c r="O110" s="39">
        <v>0.442851883</v>
      </c>
    </row>
    <row r="111" spans="1:15" ht="15.75" x14ac:dyDescent="0.25">
      <c r="A111" s="40">
        <v>3653</v>
      </c>
      <c r="B111" s="40">
        <v>4</v>
      </c>
      <c r="C111" s="40">
        <v>2404</v>
      </c>
      <c r="D111" s="2" t="s">
        <v>16</v>
      </c>
      <c r="E111" s="40" t="s">
        <v>20</v>
      </c>
      <c r="F111" s="39" t="s">
        <v>21</v>
      </c>
      <c r="G111" s="39" t="s">
        <v>15</v>
      </c>
      <c r="H111" s="39">
        <v>107.7837748</v>
      </c>
      <c r="I111" s="39">
        <v>2.4090909090000001</v>
      </c>
      <c r="J111" s="2">
        <v>11.56419296</v>
      </c>
      <c r="K111" s="39">
        <v>12.773851369999999</v>
      </c>
      <c r="L111" s="39">
        <v>-1.209658414</v>
      </c>
      <c r="M111" s="39">
        <v>0.20832330600000001</v>
      </c>
      <c r="N111" s="39">
        <v>1.8528258230000001</v>
      </c>
      <c r="O111" s="39">
        <v>0.55626508600000002</v>
      </c>
    </row>
    <row r="112" spans="1:15" ht="15.75" x14ac:dyDescent="0.25">
      <c r="A112" s="40">
        <v>3655</v>
      </c>
      <c r="B112" s="40">
        <v>3</v>
      </c>
      <c r="C112" s="40">
        <v>2404</v>
      </c>
      <c r="D112" s="2" t="s">
        <v>16</v>
      </c>
      <c r="E112" s="40" t="s">
        <v>20</v>
      </c>
      <c r="F112" s="39" t="s">
        <v>21</v>
      </c>
      <c r="G112" s="39" t="s">
        <v>15</v>
      </c>
      <c r="H112" s="39">
        <v>102.070725</v>
      </c>
      <c r="I112" s="39">
        <v>2</v>
      </c>
      <c r="J112" s="2">
        <v>10.995154230000001</v>
      </c>
      <c r="K112" s="39">
        <v>11.421990320000001</v>
      </c>
      <c r="L112" s="39">
        <v>-0.426836098</v>
      </c>
      <c r="M112" s="39">
        <v>0.18189831300000001</v>
      </c>
      <c r="N112" s="39">
        <v>1.83356444</v>
      </c>
      <c r="O112" s="39">
        <v>0.16643556000000001</v>
      </c>
    </row>
    <row r="113" spans="1:15" ht="15.75" x14ac:dyDescent="0.25">
      <c r="A113" s="40">
        <v>3660</v>
      </c>
      <c r="B113" s="40">
        <v>3</v>
      </c>
      <c r="C113" s="40">
        <v>2404</v>
      </c>
      <c r="D113" s="2" t="s">
        <v>16</v>
      </c>
      <c r="E113" s="40" t="s">
        <v>23</v>
      </c>
      <c r="F113" s="39" t="s">
        <v>21</v>
      </c>
      <c r="G113" s="39" t="s">
        <v>24</v>
      </c>
      <c r="H113" s="39">
        <v>90.477451549999998</v>
      </c>
      <c r="I113" s="39">
        <v>0.75974025999999995</v>
      </c>
      <c r="J113" s="2">
        <v>7.0654031249999996</v>
      </c>
      <c r="K113" s="39">
        <v>7.9430067790000001</v>
      </c>
      <c r="L113" s="39">
        <v>-0.87760365399999996</v>
      </c>
      <c r="M113" s="39">
        <v>0.107529641</v>
      </c>
      <c r="N113" s="39">
        <v>1.2870929259999999</v>
      </c>
      <c r="O113" s="39">
        <v>-0.52735266700000005</v>
      </c>
    </row>
    <row r="114" spans="1:15" ht="15.75" x14ac:dyDescent="0.25">
      <c r="A114" s="40">
        <v>3662</v>
      </c>
      <c r="B114" s="40">
        <v>3</v>
      </c>
      <c r="C114" s="40">
        <v>2404</v>
      </c>
      <c r="D114" s="2" t="s">
        <v>16</v>
      </c>
      <c r="E114" s="40" t="s">
        <v>23</v>
      </c>
      <c r="F114" s="39" t="s">
        <v>21</v>
      </c>
      <c r="G114" s="39" t="s">
        <v>24</v>
      </c>
      <c r="H114" s="39">
        <v>89.771829260000004</v>
      </c>
      <c r="I114" s="39">
        <v>1.701298701</v>
      </c>
      <c r="J114" s="2">
        <v>9.5228932840000002</v>
      </c>
      <c r="K114" s="39">
        <v>9.5557695509999991</v>
      </c>
      <c r="L114" s="39">
        <v>-3.2876267000000001E-2</v>
      </c>
      <c r="M114" s="39">
        <v>0.17865355099999999</v>
      </c>
      <c r="N114" s="39">
        <v>1.746891862</v>
      </c>
      <c r="O114" s="39">
        <v>-4.5593160000000001E-2</v>
      </c>
    </row>
    <row r="115" spans="1:15" ht="15.75" x14ac:dyDescent="0.25">
      <c r="A115" s="40">
        <v>3677</v>
      </c>
      <c r="B115" s="40">
        <v>4</v>
      </c>
      <c r="C115" s="40">
        <v>2404</v>
      </c>
      <c r="D115" s="2" t="s">
        <v>16</v>
      </c>
      <c r="E115" s="40" t="s">
        <v>23</v>
      </c>
      <c r="F115" s="39" t="s">
        <v>21</v>
      </c>
      <c r="G115" s="39" t="s">
        <v>24</v>
      </c>
      <c r="H115" s="39">
        <v>96.962219070000003</v>
      </c>
      <c r="I115" s="39">
        <v>1.5389610389999999</v>
      </c>
      <c r="J115" s="2">
        <v>8.7687211269999992</v>
      </c>
      <c r="K115" s="39">
        <v>10.04233161</v>
      </c>
      <c r="L115" s="39">
        <v>-1.2736104859999999</v>
      </c>
      <c r="M115" s="39">
        <v>0.17550575700000001</v>
      </c>
      <c r="N115" s="39">
        <v>1.50229364</v>
      </c>
      <c r="O115" s="39">
        <v>3.6667399000000003E-2</v>
      </c>
    </row>
    <row r="116" spans="1:15" ht="15.75" x14ac:dyDescent="0.25">
      <c r="A116" s="40">
        <v>3678</v>
      </c>
      <c r="B116" s="40">
        <v>3</v>
      </c>
      <c r="C116" s="40">
        <v>2404</v>
      </c>
      <c r="D116" s="2" t="s">
        <v>16</v>
      </c>
      <c r="E116" s="40" t="s">
        <v>23</v>
      </c>
      <c r="F116" s="39" t="s">
        <v>21</v>
      </c>
      <c r="G116" s="39" t="s">
        <v>24</v>
      </c>
      <c r="H116" s="39">
        <v>96.034648869999998</v>
      </c>
      <c r="I116" s="39">
        <v>1.493506494</v>
      </c>
      <c r="J116" s="2">
        <v>9.4836105629999992</v>
      </c>
      <c r="K116" s="39">
        <v>9.8604540729999997</v>
      </c>
      <c r="L116" s="39">
        <v>-0.37684350900000002</v>
      </c>
      <c r="M116" s="39">
        <v>0.15748290000000001</v>
      </c>
      <c r="N116" s="39">
        <v>1.6467691659999999</v>
      </c>
      <c r="O116" s="39">
        <v>-0.15326267299999999</v>
      </c>
    </row>
    <row r="117" spans="1:15" ht="15.75" x14ac:dyDescent="0.25">
      <c r="A117" s="42">
        <v>2002</v>
      </c>
      <c r="B117" s="2">
        <v>1</v>
      </c>
      <c r="C117" s="2">
        <v>2209</v>
      </c>
      <c r="D117" s="2" t="s">
        <v>37</v>
      </c>
      <c r="E117" s="2" t="s">
        <v>14</v>
      </c>
      <c r="F117" s="42" t="s">
        <v>15</v>
      </c>
      <c r="G117" s="2" t="s">
        <v>15</v>
      </c>
      <c r="H117" s="2">
        <v>82.490380689999995</v>
      </c>
      <c r="I117" s="2">
        <v>1.8441558440000001</v>
      </c>
      <c r="J117" s="2">
        <v>14.29552239</v>
      </c>
      <c r="K117" s="39">
        <v>12.72552054</v>
      </c>
      <c r="L117" s="39">
        <v>1.5700018520000001</v>
      </c>
      <c r="M117" s="39">
        <v>0.12900233999999999</v>
      </c>
      <c r="N117" s="39">
        <v>1.8522368870000001</v>
      </c>
      <c r="O117" s="39">
        <v>-8.0810429999999996E-3</v>
      </c>
    </row>
    <row r="118" spans="1:15" ht="15.75" x14ac:dyDescent="0.25">
      <c r="A118" s="42">
        <v>2105</v>
      </c>
      <c r="B118" s="2">
        <v>1</v>
      </c>
      <c r="C118" s="2">
        <v>2209</v>
      </c>
      <c r="D118" s="2" t="s">
        <v>37</v>
      </c>
      <c r="E118" s="2" t="s">
        <v>14</v>
      </c>
      <c r="F118" s="42" t="s">
        <v>15</v>
      </c>
      <c r="G118" s="2" t="s">
        <v>15</v>
      </c>
      <c r="H118" s="2">
        <v>93.453209729999998</v>
      </c>
      <c r="I118" s="2">
        <v>1.584415584</v>
      </c>
      <c r="J118" s="2">
        <v>16.388059699999999</v>
      </c>
      <c r="K118" s="39">
        <v>14.55422313</v>
      </c>
      <c r="L118" s="39">
        <v>1.8338365679999999</v>
      </c>
      <c r="M118" s="39">
        <v>9.6681096999999994E-2</v>
      </c>
      <c r="N118" s="39">
        <v>1.9570295660000001</v>
      </c>
      <c r="O118" s="39">
        <v>-0.37261398200000001</v>
      </c>
    </row>
    <row r="119" spans="1:15" ht="15.75" x14ac:dyDescent="0.25">
      <c r="A119" s="42">
        <v>2107</v>
      </c>
      <c r="B119" s="2">
        <v>2</v>
      </c>
      <c r="C119" s="2">
        <v>2209</v>
      </c>
      <c r="D119" s="2" t="s">
        <v>37</v>
      </c>
      <c r="E119" s="2" t="s">
        <v>27</v>
      </c>
      <c r="F119" s="42" t="s">
        <v>15</v>
      </c>
      <c r="G119" s="2" t="s">
        <v>24</v>
      </c>
      <c r="H119" s="2">
        <v>94.428119659999993</v>
      </c>
      <c r="I119" s="2">
        <v>1.8506493509999999</v>
      </c>
      <c r="J119" s="2">
        <v>13.672727269999999</v>
      </c>
      <c r="K119" s="39">
        <v>14.91065637</v>
      </c>
      <c r="L119" s="39">
        <v>-1.2379290940000001</v>
      </c>
      <c r="M119" s="39">
        <v>0.13535334299999999</v>
      </c>
      <c r="N119" s="39">
        <v>1.918939454</v>
      </c>
      <c r="O119" s="39">
        <v>-6.8290104000000004E-2</v>
      </c>
    </row>
    <row r="120" spans="1:15" ht="15.75" x14ac:dyDescent="0.25">
      <c r="A120" s="42">
        <v>2108</v>
      </c>
      <c r="B120" s="2">
        <v>2</v>
      </c>
      <c r="C120" s="2">
        <v>2209</v>
      </c>
      <c r="D120" s="2" t="s">
        <v>37</v>
      </c>
      <c r="E120" s="2" t="s">
        <v>27</v>
      </c>
      <c r="F120" s="42" t="s">
        <v>15</v>
      </c>
      <c r="G120" s="2" t="s">
        <v>24</v>
      </c>
      <c r="H120" s="2">
        <v>93.828574470000007</v>
      </c>
      <c r="I120" s="2">
        <v>2.383116883</v>
      </c>
      <c r="J120" s="2">
        <v>13.09090909</v>
      </c>
      <c r="K120" s="39">
        <v>15.15780483</v>
      </c>
      <c r="L120" s="39">
        <v>-2.0668957369999998</v>
      </c>
      <c r="M120" s="39">
        <v>0.182043651</v>
      </c>
      <c r="N120" s="39">
        <v>1.905571474</v>
      </c>
      <c r="O120" s="39">
        <v>0.47754540899999998</v>
      </c>
    </row>
    <row r="121" spans="1:15" ht="15.75" x14ac:dyDescent="0.25">
      <c r="A121" s="42">
        <v>2122</v>
      </c>
      <c r="B121" s="2">
        <v>2</v>
      </c>
      <c r="C121" s="2">
        <v>2209</v>
      </c>
      <c r="D121" s="2" t="s">
        <v>37</v>
      </c>
      <c r="E121" s="2" t="s">
        <v>14</v>
      </c>
      <c r="F121" s="42" t="s">
        <v>15</v>
      </c>
      <c r="G121" s="2" t="s">
        <v>15</v>
      </c>
      <c r="H121" s="2">
        <v>91.568768989999995</v>
      </c>
      <c r="I121" s="2">
        <v>2.0779220779999998</v>
      </c>
      <c r="J121" s="2">
        <v>12.66515152</v>
      </c>
      <c r="K121" s="39">
        <v>14.54054882</v>
      </c>
      <c r="L121" s="39">
        <v>-1.8753973079999999</v>
      </c>
      <c r="M121" s="39">
        <v>0.16406610499999999</v>
      </c>
      <c r="N121" s="39">
        <v>1.884061448</v>
      </c>
      <c r="O121" s="39">
        <v>0.19386063000000001</v>
      </c>
    </row>
    <row r="122" spans="1:15" ht="15.75" x14ac:dyDescent="0.25">
      <c r="A122" s="42">
        <v>2126</v>
      </c>
      <c r="B122" s="2">
        <v>2</v>
      </c>
      <c r="C122" s="2">
        <v>2209</v>
      </c>
      <c r="D122" s="2" t="s">
        <v>37</v>
      </c>
      <c r="E122" s="2" t="s">
        <v>14</v>
      </c>
      <c r="F122" s="42" t="s">
        <v>15</v>
      </c>
      <c r="G122" s="2" t="s">
        <v>15</v>
      </c>
      <c r="H122" s="2">
        <v>94.802191550000003</v>
      </c>
      <c r="I122" s="2">
        <v>2.6753246750000002</v>
      </c>
      <c r="J122" s="2">
        <v>13.45820896</v>
      </c>
      <c r="K122" s="39">
        <v>15.531400590000001</v>
      </c>
      <c r="L122" s="39">
        <v>-2.0731916309999998</v>
      </c>
      <c r="M122" s="39">
        <v>0.198787572</v>
      </c>
      <c r="N122" s="39">
        <v>1.9178432480000001</v>
      </c>
      <c r="O122" s="39">
        <v>0.75748142699999998</v>
      </c>
    </row>
    <row r="123" spans="1:15" ht="15.75" x14ac:dyDescent="0.25">
      <c r="A123" s="42">
        <v>2131</v>
      </c>
      <c r="B123" s="2">
        <v>1</v>
      </c>
      <c r="C123" s="2">
        <v>2209</v>
      </c>
      <c r="D123" s="2" t="s">
        <v>37</v>
      </c>
      <c r="E123" s="2" t="s">
        <v>27</v>
      </c>
      <c r="F123" s="42" t="s">
        <v>15</v>
      </c>
      <c r="G123" s="2" t="s">
        <v>24</v>
      </c>
      <c r="H123" s="2">
        <v>93.978580210000004</v>
      </c>
      <c r="I123" s="2">
        <v>1.9415584420000001</v>
      </c>
      <c r="J123" s="2">
        <v>17.535820900000001</v>
      </c>
      <c r="K123" s="39">
        <v>14.88942995</v>
      </c>
      <c r="L123" s="39">
        <v>2.6463909409999999</v>
      </c>
      <c r="M123" s="39">
        <v>0.11071956400000001</v>
      </c>
      <c r="N123" s="39">
        <v>1.9791673700000001</v>
      </c>
      <c r="O123" s="39">
        <v>-3.7608928E-2</v>
      </c>
    </row>
    <row r="124" spans="1:15" ht="15.75" x14ac:dyDescent="0.25">
      <c r="A124" s="42">
        <v>2201</v>
      </c>
      <c r="B124" s="2">
        <v>1</v>
      </c>
      <c r="C124" s="2">
        <v>2209</v>
      </c>
      <c r="D124" s="2" t="s">
        <v>37</v>
      </c>
      <c r="E124" s="2" t="s">
        <v>14</v>
      </c>
      <c r="F124" s="42" t="s">
        <v>15</v>
      </c>
      <c r="G124" s="2" t="s">
        <v>15</v>
      </c>
      <c r="H124" s="2">
        <v>86.992112759999998</v>
      </c>
      <c r="I124" s="2">
        <v>2.2402597399999999</v>
      </c>
      <c r="J124" s="2">
        <v>17.09850746</v>
      </c>
      <c r="K124" s="39">
        <v>13.813227149999999</v>
      </c>
      <c r="L124" s="39">
        <v>3.2852803169999998</v>
      </c>
      <c r="M124" s="39">
        <v>0.131020777</v>
      </c>
      <c r="N124" s="39">
        <v>1.9270288179999999</v>
      </c>
      <c r="O124" s="39">
        <v>0.31323092200000002</v>
      </c>
    </row>
    <row r="125" spans="1:15" ht="15.75" x14ac:dyDescent="0.25">
      <c r="A125" s="42">
        <v>2202</v>
      </c>
      <c r="B125" s="2">
        <v>2</v>
      </c>
      <c r="C125" s="2">
        <v>2209</v>
      </c>
      <c r="D125" s="2" t="s">
        <v>37</v>
      </c>
      <c r="E125" s="2" t="s">
        <v>14</v>
      </c>
      <c r="F125" s="42" t="s">
        <v>15</v>
      </c>
      <c r="G125" s="2" t="s">
        <v>15</v>
      </c>
      <c r="H125" s="2">
        <v>69.612687629999996</v>
      </c>
      <c r="I125" s="2">
        <v>1.4675324679999999</v>
      </c>
      <c r="J125" s="2">
        <v>10.739062499999999</v>
      </c>
      <c r="K125" s="39">
        <v>10.120742399999999</v>
      </c>
      <c r="L125" s="39">
        <v>0.61832010000000004</v>
      </c>
      <c r="M125" s="39">
        <v>0.136653685</v>
      </c>
      <c r="N125" s="39">
        <v>1.7111919900000001</v>
      </c>
      <c r="O125" s="39">
        <v>-0.24365952199999999</v>
      </c>
    </row>
    <row r="126" spans="1:15" ht="15.75" x14ac:dyDescent="0.25">
      <c r="A126" s="42">
        <v>2205</v>
      </c>
      <c r="B126" s="2">
        <v>2</v>
      </c>
      <c r="C126" s="2">
        <v>2209</v>
      </c>
      <c r="D126" s="2" t="s">
        <v>37</v>
      </c>
      <c r="E126" s="2" t="s">
        <v>14</v>
      </c>
      <c r="F126" s="42" t="s">
        <v>15</v>
      </c>
      <c r="G126" s="2" t="s">
        <v>15</v>
      </c>
      <c r="H126" s="2">
        <v>96.888003819999994</v>
      </c>
      <c r="I126" s="2">
        <v>2.4220779220000002</v>
      </c>
      <c r="J126" s="2">
        <v>14.6030303</v>
      </c>
      <c r="K126" s="39">
        <v>15.74279943</v>
      </c>
      <c r="L126" s="39">
        <v>-1.139769131</v>
      </c>
      <c r="M126" s="39">
        <v>0.165861323</v>
      </c>
      <c r="N126" s="39">
        <v>1.9499822600000001</v>
      </c>
      <c r="O126" s="39">
        <v>0.47209566200000003</v>
      </c>
    </row>
    <row r="127" spans="1:15" ht="15.75" x14ac:dyDescent="0.25">
      <c r="A127" s="42">
        <v>2206</v>
      </c>
      <c r="B127" s="2">
        <v>1</v>
      </c>
      <c r="C127" s="2">
        <v>2209</v>
      </c>
      <c r="D127" s="2" t="s">
        <v>37</v>
      </c>
      <c r="E127" s="2" t="s">
        <v>14</v>
      </c>
      <c r="F127" s="42" t="s">
        <v>15</v>
      </c>
      <c r="G127" s="2" t="s">
        <v>15</v>
      </c>
      <c r="H127" s="2">
        <v>93.302923120000003</v>
      </c>
      <c r="I127" s="2">
        <v>1.733766234</v>
      </c>
      <c r="J127" s="2">
        <v>17.456716419999999</v>
      </c>
      <c r="K127" s="39">
        <v>14.626811310000001</v>
      </c>
      <c r="L127" s="39">
        <v>2.829905111</v>
      </c>
      <c r="M127" s="39">
        <v>9.9318004000000001E-2</v>
      </c>
      <c r="N127" s="39">
        <v>1.9735235710000001</v>
      </c>
      <c r="O127" s="39">
        <v>-0.23975733699999999</v>
      </c>
    </row>
    <row r="128" spans="1:15" ht="15.75" x14ac:dyDescent="0.25">
      <c r="A128" s="42">
        <v>2211</v>
      </c>
      <c r="B128" s="2">
        <v>1</v>
      </c>
      <c r="C128" s="2">
        <v>2209</v>
      </c>
      <c r="D128" s="2" t="s">
        <v>37</v>
      </c>
      <c r="E128" s="2" t="s">
        <v>14</v>
      </c>
      <c r="F128" s="42" t="s">
        <v>15</v>
      </c>
      <c r="G128" s="2" t="s">
        <v>15</v>
      </c>
      <c r="H128" s="2">
        <v>89.595135010000007</v>
      </c>
      <c r="I128" s="2">
        <v>1.6753246749999999</v>
      </c>
      <c r="J128" s="2">
        <v>16.135820899999999</v>
      </c>
      <c r="K128" s="39">
        <v>13.910325500000001</v>
      </c>
      <c r="L128" s="39">
        <v>2.2254953980000001</v>
      </c>
      <c r="M128" s="39">
        <v>0.10382643</v>
      </c>
      <c r="N128" s="39">
        <v>1.9280619830000001</v>
      </c>
      <c r="O128" s="39">
        <v>-0.25273730799999999</v>
      </c>
    </row>
    <row r="129" spans="1:15" ht="15.75" x14ac:dyDescent="0.25">
      <c r="A129" s="42">
        <v>2215</v>
      </c>
      <c r="B129" s="2">
        <v>1</v>
      </c>
      <c r="C129" s="2">
        <v>2209</v>
      </c>
      <c r="D129" s="2" t="s">
        <v>37</v>
      </c>
      <c r="E129" s="2" t="s">
        <v>27</v>
      </c>
      <c r="F129" s="42" t="s">
        <v>15</v>
      </c>
      <c r="G129" s="2" t="s">
        <v>24</v>
      </c>
      <c r="H129" s="2">
        <v>85.526143070000003</v>
      </c>
      <c r="I129" s="2">
        <v>1.9220779219999999</v>
      </c>
      <c r="J129" s="2">
        <v>12.78333333</v>
      </c>
      <c r="K129" s="39">
        <v>13.33228971</v>
      </c>
      <c r="L129" s="39">
        <v>-0.54895637799999997</v>
      </c>
      <c r="M129" s="39">
        <v>0.15035811600000001</v>
      </c>
      <c r="N129" s="39">
        <v>1.8470780280000001</v>
      </c>
      <c r="O129" s="39">
        <v>7.4999893999999998E-2</v>
      </c>
    </row>
    <row r="130" spans="1:15" ht="15.75" x14ac:dyDescent="0.25">
      <c r="A130" s="42">
        <v>2217</v>
      </c>
      <c r="B130" s="2">
        <v>2</v>
      </c>
      <c r="C130" s="2">
        <v>2209</v>
      </c>
      <c r="D130" s="2" t="s">
        <v>37</v>
      </c>
      <c r="E130" s="2" t="s">
        <v>27</v>
      </c>
      <c r="F130" s="42" t="s">
        <v>15</v>
      </c>
      <c r="G130" s="2" t="s">
        <v>24</v>
      </c>
      <c r="H130" s="2">
        <v>92.550274680000001</v>
      </c>
      <c r="I130" s="2">
        <v>1.7142857140000001</v>
      </c>
      <c r="J130" s="2">
        <v>12.45820896</v>
      </c>
      <c r="K130" s="39">
        <v>14.47626846</v>
      </c>
      <c r="L130" s="39">
        <v>-2.018059509</v>
      </c>
      <c r="M130" s="39">
        <v>0.137602903</v>
      </c>
      <c r="N130" s="39">
        <v>1.8870009029999999</v>
      </c>
      <c r="O130" s="39">
        <v>-0.17271518899999999</v>
      </c>
    </row>
    <row r="131" spans="1:15" ht="15.75" x14ac:dyDescent="0.25">
      <c r="A131" s="42">
        <v>2223</v>
      </c>
      <c r="B131" s="2">
        <v>2</v>
      </c>
      <c r="C131" s="2">
        <v>2209</v>
      </c>
      <c r="D131" s="2" t="s">
        <v>37</v>
      </c>
      <c r="E131" s="2" t="s">
        <v>27</v>
      </c>
      <c r="F131" s="42" t="s">
        <v>15</v>
      </c>
      <c r="G131" s="2" t="s">
        <v>24</v>
      </c>
      <c r="H131" s="2">
        <v>80.445732090000007</v>
      </c>
      <c r="I131" s="2">
        <v>2.0389610390000001</v>
      </c>
      <c r="J131" s="2">
        <v>13.04179104</v>
      </c>
      <c r="K131" s="39">
        <v>12.482494389999999</v>
      </c>
      <c r="L131" s="39">
        <v>0.55929665399999995</v>
      </c>
      <c r="M131" s="39">
        <v>0.15634056900000001</v>
      </c>
      <c r="N131" s="39">
        <v>1.81858338</v>
      </c>
      <c r="O131" s="39">
        <v>0.220377659</v>
      </c>
    </row>
    <row r="132" spans="1:15" ht="15.75" x14ac:dyDescent="0.25">
      <c r="A132" s="42">
        <v>2229</v>
      </c>
      <c r="B132" s="2">
        <v>2</v>
      </c>
      <c r="C132" s="2">
        <v>2209</v>
      </c>
      <c r="D132" s="2" t="s">
        <v>37</v>
      </c>
      <c r="E132" s="2" t="s">
        <v>27</v>
      </c>
      <c r="F132" s="42" t="s">
        <v>15</v>
      </c>
      <c r="G132" s="2" t="s">
        <v>24</v>
      </c>
      <c r="H132" s="2">
        <v>68.115595220000003</v>
      </c>
      <c r="I132" s="2">
        <v>1.811688312</v>
      </c>
      <c r="J132" s="2">
        <v>9.8865671640000006</v>
      </c>
      <c r="K132" s="39">
        <v>10.07778635</v>
      </c>
      <c r="L132" s="39">
        <v>-0.19121918600000001</v>
      </c>
      <c r="M132" s="39">
        <v>0.183247459</v>
      </c>
      <c r="N132" s="39">
        <v>1.687620941</v>
      </c>
      <c r="O132" s="39">
        <v>0.124067371</v>
      </c>
    </row>
    <row r="133" spans="1:15" ht="18.75" x14ac:dyDescent="0.25">
      <c r="A133" s="25">
        <v>3009</v>
      </c>
      <c r="B133" s="39">
        <v>4</v>
      </c>
      <c r="C133" s="39">
        <v>2311</v>
      </c>
      <c r="D133" s="2" t="s">
        <v>37</v>
      </c>
      <c r="E133" s="39" t="s">
        <v>14</v>
      </c>
      <c r="F133" s="25" t="s">
        <v>15</v>
      </c>
      <c r="G133" s="39" t="s">
        <v>15</v>
      </c>
      <c r="H133" s="39">
        <v>97.116526179999994</v>
      </c>
      <c r="I133" s="39">
        <v>1.9220779219999999</v>
      </c>
      <c r="J133" s="39">
        <v>18.357746479999999</v>
      </c>
      <c r="K133" s="39">
        <v>16.375797479999999</v>
      </c>
      <c r="L133" s="39">
        <v>1.9819490040000001</v>
      </c>
      <c r="M133" s="39">
        <v>0.104701191</v>
      </c>
      <c r="N133" s="39">
        <v>2.1682739369999999</v>
      </c>
      <c r="O133" s="39">
        <v>-0.24619601499999999</v>
      </c>
    </row>
    <row r="134" spans="1:15" ht="18.75" x14ac:dyDescent="0.25">
      <c r="A134" s="25">
        <v>3012</v>
      </c>
      <c r="B134" s="39">
        <v>4</v>
      </c>
      <c r="C134" s="39">
        <v>2311</v>
      </c>
      <c r="D134" s="2" t="s">
        <v>37</v>
      </c>
      <c r="E134" s="39" t="s">
        <v>14</v>
      </c>
      <c r="F134" s="25" t="s">
        <v>15</v>
      </c>
      <c r="G134" s="39" t="s">
        <v>15</v>
      </c>
      <c r="H134" s="39">
        <v>92.956957169999995</v>
      </c>
      <c r="I134" s="39">
        <v>1.935064935</v>
      </c>
      <c r="J134" s="39">
        <v>16.51267606</v>
      </c>
      <c r="K134" s="39">
        <v>15.751458680000001</v>
      </c>
      <c r="L134" s="39">
        <v>0.76121737700000003</v>
      </c>
      <c r="M134" s="39">
        <v>0.117186635</v>
      </c>
      <c r="N134" s="39">
        <v>2.0996784000000002</v>
      </c>
      <c r="O134" s="39">
        <v>-0.16461346399999999</v>
      </c>
    </row>
    <row r="135" spans="1:15" ht="18.75" x14ac:dyDescent="0.25">
      <c r="A135" s="25">
        <v>3013</v>
      </c>
      <c r="B135" s="39">
        <v>3</v>
      </c>
      <c r="C135" s="39">
        <v>2311</v>
      </c>
      <c r="D135" s="2" t="s">
        <v>37</v>
      </c>
      <c r="E135" s="39" t="s">
        <v>14</v>
      </c>
      <c r="F135" s="25" t="s">
        <v>15</v>
      </c>
      <c r="G135" s="39" t="s">
        <v>15</v>
      </c>
      <c r="H135" s="39">
        <v>101.0067703</v>
      </c>
      <c r="I135" s="39">
        <v>2.0844155839999998</v>
      </c>
      <c r="J135" s="39">
        <v>16.411267609999999</v>
      </c>
      <c r="K135" s="39">
        <v>17.364485890000001</v>
      </c>
      <c r="L135" s="39">
        <v>-0.95321828500000005</v>
      </c>
      <c r="M135" s="39">
        <v>0.12701124799999999</v>
      </c>
      <c r="N135" s="39">
        <v>1.9419294519999999</v>
      </c>
      <c r="O135" s="39">
        <v>0.14248613199999999</v>
      </c>
    </row>
    <row r="136" spans="1:15" ht="18.75" x14ac:dyDescent="0.25">
      <c r="A136" s="25">
        <v>3016</v>
      </c>
      <c r="B136" s="39">
        <v>4</v>
      </c>
      <c r="C136" s="39">
        <v>2311</v>
      </c>
      <c r="D136" s="2" t="s">
        <v>37</v>
      </c>
      <c r="E136" s="39" t="s">
        <v>14</v>
      </c>
      <c r="F136" s="25" t="s">
        <v>15</v>
      </c>
      <c r="G136" s="39" t="s">
        <v>15</v>
      </c>
      <c r="H136" s="39">
        <v>93.534331010000002</v>
      </c>
      <c r="I136" s="39">
        <v>2.2597402600000001</v>
      </c>
      <c r="J136" s="39">
        <v>15.20985915</v>
      </c>
      <c r="K136" s="39">
        <v>16.59549749</v>
      </c>
      <c r="L136" s="39">
        <v>-1.3856383299999999</v>
      </c>
      <c r="M136" s="39">
        <v>0.148570755</v>
      </c>
      <c r="N136" s="39">
        <v>1.9858734010000001</v>
      </c>
      <c r="O136" s="39">
        <v>0.27386685900000002</v>
      </c>
    </row>
    <row r="137" spans="1:15" ht="18.75" x14ac:dyDescent="0.25">
      <c r="A137" s="25">
        <v>3018</v>
      </c>
      <c r="B137" s="39">
        <v>3</v>
      </c>
      <c r="C137" s="39">
        <v>2311</v>
      </c>
      <c r="D137" s="2" t="s">
        <v>37</v>
      </c>
      <c r="E137" s="39" t="s">
        <v>14</v>
      </c>
      <c r="F137" s="25" t="s">
        <v>15</v>
      </c>
      <c r="G137" s="39" t="s">
        <v>15</v>
      </c>
      <c r="H137" s="39">
        <v>91.072153979999996</v>
      </c>
      <c r="I137" s="39">
        <v>1.9025974029999999</v>
      </c>
      <c r="J137" s="39">
        <v>16.72394366</v>
      </c>
      <c r="K137" s="39">
        <v>15.379584270000001</v>
      </c>
      <c r="L137" s="39">
        <v>1.344359396</v>
      </c>
      <c r="M137" s="39">
        <v>0.113764878</v>
      </c>
      <c r="N137" s="39">
        <v>2.151449119</v>
      </c>
      <c r="O137" s="39">
        <v>-0.248851716</v>
      </c>
    </row>
    <row r="138" spans="1:15" ht="18.75" x14ac:dyDescent="0.25">
      <c r="A138" s="25">
        <v>3019</v>
      </c>
      <c r="B138" s="39">
        <v>3</v>
      </c>
      <c r="C138" s="39">
        <v>2311</v>
      </c>
      <c r="D138" s="2" t="s">
        <v>37</v>
      </c>
      <c r="E138" s="39" t="s">
        <v>14</v>
      </c>
      <c r="F138" s="25" t="s">
        <v>15</v>
      </c>
      <c r="G138" s="39" t="s">
        <v>15</v>
      </c>
      <c r="H138" s="39">
        <v>91.362964669999997</v>
      </c>
      <c r="I138" s="39">
        <v>2.363636364</v>
      </c>
      <c r="J138" s="39">
        <v>15.52535211</v>
      </c>
      <c r="K138" s="39">
        <v>16.494877039999999</v>
      </c>
      <c r="L138" s="39">
        <v>-0.96952493100000003</v>
      </c>
      <c r="M138" s="39">
        <v>0.152243656</v>
      </c>
      <c r="N138" s="39">
        <v>2.0512194629999998</v>
      </c>
      <c r="O138" s="39">
        <v>0.31241690100000002</v>
      </c>
    </row>
    <row r="139" spans="1:15" ht="18.75" x14ac:dyDescent="0.25">
      <c r="A139" s="25">
        <v>3034</v>
      </c>
      <c r="B139" s="39">
        <v>4</v>
      </c>
      <c r="C139" s="39">
        <v>2311</v>
      </c>
      <c r="D139" s="2" t="s">
        <v>37</v>
      </c>
      <c r="E139" s="39" t="s">
        <v>14</v>
      </c>
      <c r="F139" s="25" t="s">
        <v>15</v>
      </c>
      <c r="G139" s="39" t="s">
        <v>15</v>
      </c>
      <c r="H139" s="39">
        <v>74.62524784</v>
      </c>
      <c r="I139" s="39">
        <v>2.0649350649999998</v>
      </c>
      <c r="J139" s="39">
        <v>14.131884060000001</v>
      </c>
      <c r="K139" s="39">
        <v>13.16842546</v>
      </c>
      <c r="L139" s="39">
        <v>0.963458602</v>
      </c>
      <c r="M139" s="39">
        <v>0.14611888000000001</v>
      </c>
      <c r="N139" s="39">
        <v>2.2523037380000002</v>
      </c>
      <c r="O139" s="39">
        <v>-0.18736867300000001</v>
      </c>
    </row>
    <row r="140" spans="1:15" ht="18.75" x14ac:dyDescent="0.25">
      <c r="A140" s="25">
        <v>3113</v>
      </c>
      <c r="B140" s="39">
        <v>4</v>
      </c>
      <c r="C140" s="39">
        <v>2311</v>
      </c>
      <c r="D140" s="2" t="s">
        <v>37</v>
      </c>
      <c r="E140" s="39" t="s">
        <v>14</v>
      </c>
      <c r="F140" s="25" t="s">
        <v>15</v>
      </c>
      <c r="G140" s="39" t="s">
        <v>15</v>
      </c>
      <c r="H140" s="39">
        <v>101.0770359</v>
      </c>
      <c r="I140" s="39">
        <v>2.3116883119999998</v>
      </c>
      <c r="J140" s="39">
        <v>17.240845069999999</v>
      </c>
      <c r="K140" s="39">
        <v>17.902777839999999</v>
      </c>
      <c r="L140" s="39">
        <v>-0.66193277100000003</v>
      </c>
      <c r="M140" s="39">
        <v>0.13408207699999999</v>
      </c>
      <c r="N140" s="39">
        <v>2.0062503860000001</v>
      </c>
      <c r="O140" s="39">
        <v>0.30543792600000003</v>
      </c>
    </row>
    <row r="141" spans="1:15" ht="18.75" x14ac:dyDescent="0.25">
      <c r="A141" s="25">
        <v>3117</v>
      </c>
      <c r="B141" s="39">
        <v>4</v>
      </c>
      <c r="C141" s="39">
        <v>2311</v>
      </c>
      <c r="D141" s="2" t="s">
        <v>37</v>
      </c>
      <c r="E141" s="39" t="s">
        <v>14</v>
      </c>
      <c r="F141" s="25" t="s">
        <v>15</v>
      </c>
      <c r="G141" s="39" t="s">
        <v>15</v>
      </c>
      <c r="H141" s="39">
        <v>94.110519269999998</v>
      </c>
      <c r="I141" s="39">
        <v>2.0844155839999998</v>
      </c>
      <c r="J141" s="39">
        <v>17.267605629999998</v>
      </c>
      <c r="K141" s="39">
        <v>16.279429749999998</v>
      </c>
      <c r="L141" s="39">
        <v>0.98817588300000003</v>
      </c>
      <c r="M141" s="39">
        <v>0.12071248499999999</v>
      </c>
      <c r="N141" s="39">
        <v>2.1379446230000001</v>
      </c>
      <c r="O141" s="39">
        <v>-5.3529039E-2</v>
      </c>
    </row>
    <row r="142" spans="1:15" ht="18.75" x14ac:dyDescent="0.25">
      <c r="A142" s="25">
        <v>3129</v>
      </c>
      <c r="B142" s="39">
        <v>3</v>
      </c>
      <c r="C142" s="39">
        <v>2311</v>
      </c>
      <c r="D142" s="2" t="s">
        <v>37</v>
      </c>
      <c r="E142" s="39" t="s">
        <v>14</v>
      </c>
      <c r="F142" s="25" t="s">
        <v>15</v>
      </c>
      <c r="G142" s="39" t="s">
        <v>15</v>
      </c>
      <c r="H142" s="39">
        <v>102.61879329999999</v>
      </c>
      <c r="I142" s="39">
        <v>2.136363636</v>
      </c>
      <c r="J142" s="39">
        <v>17.085915490000001</v>
      </c>
      <c r="K142" s="39">
        <v>17.738632750000001</v>
      </c>
      <c r="L142" s="39">
        <v>-0.65271726100000005</v>
      </c>
      <c r="M142" s="39">
        <v>0.12503653300000001</v>
      </c>
      <c r="N142" s="39">
        <v>1.96531722</v>
      </c>
      <c r="O142" s="39">
        <v>0.17104641700000001</v>
      </c>
    </row>
    <row r="143" spans="1:15" ht="18.75" x14ac:dyDescent="0.25">
      <c r="A143" s="25">
        <v>3130</v>
      </c>
      <c r="B143" s="39">
        <v>3</v>
      </c>
      <c r="C143" s="39">
        <v>2311</v>
      </c>
      <c r="D143" s="2" t="s">
        <v>37</v>
      </c>
      <c r="E143" s="39" t="s">
        <v>14</v>
      </c>
      <c r="F143" s="25" t="s">
        <v>15</v>
      </c>
      <c r="G143" s="39" t="s">
        <v>15</v>
      </c>
      <c r="H143" s="39">
        <v>86.375873819999995</v>
      </c>
      <c r="I143" s="39">
        <v>1.987012987</v>
      </c>
      <c r="J143" s="39">
        <v>14.78169014</v>
      </c>
      <c r="K143" s="39">
        <v>14.836502189999999</v>
      </c>
      <c r="L143" s="39">
        <v>-5.4812053999999999E-2</v>
      </c>
      <c r="M143" s="39">
        <v>0.13442393699999999</v>
      </c>
      <c r="N143" s="39">
        <v>2.0851482539999999</v>
      </c>
      <c r="O143" s="39">
        <v>-9.8135266999999998E-2</v>
      </c>
    </row>
    <row r="144" spans="1:15" ht="18.75" x14ac:dyDescent="0.25">
      <c r="A144" s="25">
        <v>3131</v>
      </c>
      <c r="B144" s="39">
        <v>3</v>
      </c>
      <c r="C144" s="39">
        <v>2311</v>
      </c>
      <c r="D144" s="2" t="s">
        <v>37</v>
      </c>
      <c r="E144" s="39" t="s">
        <v>14</v>
      </c>
      <c r="F144" s="25" t="s">
        <v>15</v>
      </c>
      <c r="G144" s="39" t="s">
        <v>15</v>
      </c>
      <c r="H144" s="39">
        <v>86.671850770000006</v>
      </c>
      <c r="I144" s="39">
        <v>1.9090909089999999</v>
      </c>
      <c r="J144" s="39">
        <v>15.53943662</v>
      </c>
      <c r="K144" s="39">
        <v>14.70230445</v>
      </c>
      <c r="L144" s="39">
        <v>0.83713216499999998</v>
      </c>
      <c r="M144" s="39">
        <v>0.12285457700000001</v>
      </c>
      <c r="N144" s="39">
        <v>2.1395884070000002</v>
      </c>
      <c r="O144" s="39">
        <v>-0.230497498</v>
      </c>
    </row>
    <row r="145" spans="1:15" ht="18.75" x14ac:dyDescent="0.25">
      <c r="A145" s="25">
        <v>3132</v>
      </c>
      <c r="B145" s="39">
        <v>3</v>
      </c>
      <c r="C145" s="39">
        <v>2311</v>
      </c>
      <c r="D145" s="2" t="s">
        <v>37</v>
      </c>
      <c r="E145" s="39" t="s">
        <v>27</v>
      </c>
      <c r="F145" s="25" t="s">
        <v>15</v>
      </c>
      <c r="G145" s="39" t="s">
        <v>24</v>
      </c>
      <c r="H145" s="39">
        <v>91.435619119999998</v>
      </c>
      <c r="I145" s="39">
        <v>2.3116883119999998</v>
      </c>
      <c r="J145" s="39">
        <v>18.360563379999999</v>
      </c>
      <c r="K145" s="39">
        <v>16.385797329999999</v>
      </c>
      <c r="L145" s="39">
        <v>1.9747660549999999</v>
      </c>
      <c r="M145" s="39">
        <v>0.125905086</v>
      </c>
      <c r="N145" s="39">
        <v>2.2741616530000002</v>
      </c>
      <c r="O145" s="39">
        <v>3.7526657999999997E-2</v>
      </c>
    </row>
    <row r="146" spans="1:15" ht="18.75" x14ac:dyDescent="0.25">
      <c r="A146" s="25">
        <v>3165</v>
      </c>
      <c r="B146" s="39">
        <v>4</v>
      </c>
      <c r="C146" s="39">
        <v>2311</v>
      </c>
      <c r="D146" s="2" t="s">
        <v>37</v>
      </c>
      <c r="E146" s="39" t="s">
        <v>14</v>
      </c>
      <c r="F146" s="25" t="s">
        <v>15</v>
      </c>
      <c r="G146" s="39" t="s">
        <v>15</v>
      </c>
      <c r="H146" s="39">
        <v>93.317955409999996</v>
      </c>
      <c r="I146" s="39">
        <v>2.3311688309999998</v>
      </c>
      <c r="J146" s="39">
        <v>15.18714286</v>
      </c>
      <c r="K146" s="39">
        <v>16.727155809999999</v>
      </c>
      <c r="L146" s="39">
        <v>-1.540012948</v>
      </c>
      <c r="M146" s="39">
        <v>0.153496207</v>
      </c>
      <c r="N146" s="39">
        <v>1.9881009009999999</v>
      </c>
      <c r="O146" s="39">
        <v>0.34306793000000002</v>
      </c>
    </row>
    <row r="147" spans="1:15" ht="18.75" x14ac:dyDescent="0.25">
      <c r="A147" s="25">
        <v>3169</v>
      </c>
      <c r="B147" s="39">
        <v>4</v>
      </c>
      <c r="C147" s="39">
        <v>2311</v>
      </c>
      <c r="D147" s="2" t="s">
        <v>37</v>
      </c>
      <c r="E147" s="39" t="s">
        <v>14</v>
      </c>
      <c r="F147" s="25" t="s">
        <v>15</v>
      </c>
      <c r="G147" s="39" t="s">
        <v>15</v>
      </c>
      <c r="H147" s="39">
        <v>91.144885639999998</v>
      </c>
      <c r="I147" s="39">
        <v>2.493506494</v>
      </c>
      <c r="J147" s="39">
        <v>18.3028169</v>
      </c>
      <c r="K147" s="39">
        <v>16.76184241</v>
      </c>
      <c r="L147" s="39">
        <v>1.5409744910000001</v>
      </c>
      <c r="M147" s="39">
        <v>0.13623621499999999</v>
      </c>
      <c r="N147" s="39">
        <v>2.275000972</v>
      </c>
      <c r="O147" s="39">
        <v>0.21850552100000001</v>
      </c>
    </row>
    <row r="148" spans="1:15" ht="18.75" x14ac:dyDescent="0.25">
      <c r="A148" s="25">
        <v>3171</v>
      </c>
      <c r="B148" s="39">
        <v>3</v>
      </c>
      <c r="C148" s="39">
        <v>2311</v>
      </c>
      <c r="D148" s="2" t="s">
        <v>37</v>
      </c>
      <c r="E148" s="39" t="s">
        <v>14</v>
      </c>
      <c r="F148" s="25" t="s">
        <v>15</v>
      </c>
      <c r="G148" s="39" t="s">
        <v>15</v>
      </c>
      <c r="H148" s="39">
        <v>83.022342589999994</v>
      </c>
      <c r="I148" s="39">
        <v>2.3051948050000002</v>
      </c>
      <c r="J148" s="39">
        <v>15.45915493</v>
      </c>
      <c r="K148" s="39">
        <v>15.046988499999999</v>
      </c>
      <c r="L148" s="39">
        <v>0.412166429</v>
      </c>
      <c r="M148" s="39">
        <v>0.14911518900000001</v>
      </c>
      <c r="N148" s="39">
        <v>2.2011181739999999</v>
      </c>
      <c r="O148" s="39">
        <v>0.104076631</v>
      </c>
    </row>
    <row r="149" spans="1:15" ht="18.75" x14ac:dyDescent="0.25">
      <c r="A149" s="25">
        <v>3172</v>
      </c>
      <c r="B149" s="39">
        <v>4</v>
      </c>
      <c r="C149" s="39">
        <v>2311</v>
      </c>
      <c r="D149" s="2" t="s">
        <v>37</v>
      </c>
      <c r="E149" s="39" t="s">
        <v>14</v>
      </c>
      <c r="F149" s="25" t="s">
        <v>15</v>
      </c>
      <c r="G149" s="39" t="s">
        <v>15</v>
      </c>
      <c r="H149" s="39">
        <v>86.597888150000003</v>
      </c>
      <c r="I149" s="39">
        <v>1.8376623379999999</v>
      </c>
      <c r="J149" s="39">
        <v>15.120312500000001</v>
      </c>
      <c r="K149" s="39">
        <v>14.52496432</v>
      </c>
      <c r="L149" s="39">
        <v>0.59534818</v>
      </c>
      <c r="M149" s="39">
        <v>0.121536002</v>
      </c>
      <c r="N149" s="39">
        <v>2.107807202</v>
      </c>
      <c r="O149" s="39">
        <v>-0.27014486500000001</v>
      </c>
    </row>
    <row r="150" spans="1:15" ht="18.75" x14ac:dyDescent="0.25">
      <c r="A150" s="25">
        <v>3174</v>
      </c>
      <c r="B150" s="39">
        <v>3</v>
      </c>
      <c r="C150" s="39">
        <v>2311</v>
      </c>
      <c r="D150" s="2" t="s">
        <v>37</v>
      </c>
      <c r="E150" s="39" t="s">
        <v>14</v>
      </c>
      <c r="F150" s="25" t="s">
        <v>15</v>
      </c>
      <c r="G150" s="39" t="s">
        <v>15</v>
      </c>
      <c r="H150" s="39">
        <v>70.782892250000003</v>
      </c>
      <c r="I150" s="39">
        <v>2.1103896099999999</v>
      </c>
      <c r="J150" s="39">
        <v>13.75774648</v>
      </c>
      <c r="K150" s="39">
        <v>12.669316500000001</v>
      </c>
      <c r="L150" s="39">
        <v>1.088429979</v>
      </c>
      <c r="M150" s="39">
        <v>0.15339646000000001</v>
      </c>
      <c r="N150" s="39">
        <v>2.294173528</v>
      </c>
      <c r="O150" s="39">
        <v>-0.18378391799999999</v>
      </c>
    </row>
    <row r="151" spans="1:15" ht="18.75" x14ac:dyDescent="0.25">
      <c r="A151" s="25">
        <v>3175</v>
      </c>
      <c r="B151" s="39">
        <v>3</v>
      </c>
      <c r="C151" s="39">
        <v>2311</v>
      </c>
      <c r="D151" s="2" t="s">
        <v>37</v>
      </c>
      <c r="E151" s="39" t="s">
        <v>14</v>
      </c>
      <c r="F151" s="25" t="s">
        <v>15</v>
      </c>
      <c r="G151" s="39" t="s">
        <v>15</v>
      </c>
      <c r="H151" s="39">
        <v>79.623022000000006</v>
      </c>
      <c r="I151" s="39">
        <v>2.5584415580000002</v>
      </c>
      <c r="J151" s="39">
        <v>16.221126760000001</v>
      </c>
      <c r="K151" s="39">
        <v>15.099631349999999</v>
      </c>
      <c r="L151" s="39">
        <v>1.121495414</v>
      </c>
      <c r="M151" s="39">
        <v>0.157722802</v>
      </c>
      <c r="N151" s="39">
        <v>2.3246251290000002</v>
      </c>
      <c r="O151" s="39">
        <v>0.23381642999999999</v>
      </c>
    </row>
    <row r="152" spans="1:15" ht="18.75" x14ac:dyDescent="0.25">
      <c r="A152" s="25">
        <v>3201</v>
      </c>
      <c r="B152" s="39">
        <v>4</v>
      </c>
      <c r="C152" s="39">
        <v>2311</v>
      </c>
      <c r="D152" s="2" t="s">
        <v>37</v>
      </c>
      <c r="E152" s="39" t="s">
        <v>14</v>
      </c>
      <c r="F152" s="25" t="s">
        <v>15</v>
      </c>
      <c r="G152" s="39" t="s">
        <v>15</v>
      </c>
      <c r="H152" s="39">
        <v>99.739184530000003</v>
      </c>
      <c r="I152" s="39">
        <v>1.948051948</v>
      </c>
      <c r="J152" s="39">
        <v>17.615492960000001</v>
      </c>
      <c r="K152" s="39">
        <v>16.848702129999999</v>
      </c>
      <c r="L152" s="39">
        <v>0.76679083199999998</v>
      </c>
      <c r="M152" s="39">
        <v>0.110587422</v>
      </c>
      <c r="N152" s="39">
        <v>2.0607728160000001</v>
      </c>
      <c r="O152" s="39">
        <v>-0.112720868</v>
      </c>
    </row>
    <row r="153" spans="1:15" ht="18.75" x14ac:dyDescent="0.25">
      <c r="A153" s="25">
        <v>3205</v>
      </c>
      <c r="B153" s="39">
        <v>3</v>
      </c>
      <c r="C153" s="39">
        <v>2311</v>
      </c>
      <c r="D153" s="2" t="s">
        <v>37</v>
      </c>
      <c r="E153" s="39" t="s">
        <v>14</v>
      </c>
      <c r="F153" s="25" t="s">
        <v>15</v>
      </c>
      <c r="G153" s="39" t="s">
        <v>15</v>
      </c>
      <c r="H153" s="39">
        <v>109.0535127</v>
      </c>
      <c r="I153" s="39">
        <v>1.506493506</v>
      </c>
      <c r="J153" s="39">
        <v>18.156338030000001</v>
      </c>
      <c r="K153" s="39">
        <v>17.289873589999999</v>
      </c>
      <c r="L153" s="39">
        <v>0.86646443799999995</v>
      </c>
      <c r="M153" s="39">
        <v>8.2973423000000004E-2</v>
      </c>
      <c r="N153" s="39">
        <v>1.9303125640000001</v>
      </c>
      <c r="O153" s="39">
        <v>-0.42381905800000003</v>
      </c>
    </row>
    <row r="154" spans="1:15" ht="18.75" x14ac:dyDescent="0.25">
      <c r="A154" s="25">
        <v>3211</v>
      </c>
      <c r="B154" s="39">
        <v>4</v>
      </c>
      <c r="C154" s="39">
        <v>2311</v>
      </c>
      <c r="D154" s="2" t="s">
        <v>37</v>
      </c>
      <c r="E154" s="39" t="s">
        <v>27</v>
      </c>
      <c r="F154" s="25" t="s">
        <v>15</v>
      </c>
      <c r="G154" s="39" t="s">
        <v>24</v>
      </c>
      <c r="H154" s="39">
        <v>110.3524589</v>
      </c>
      <c r="I154" s="39">
        <v>1.7727272730000001</v>
      </c>
      <c r="J154" s="39">
        <v>20.897183099999999</v>
      </c>
      <c r="K154" s="39">
        <v>18.11186953</v>
      </c>
      <c r="L154" s="39">
        <v>2.7853135729999998</v>
      </c>
      <c r="M154" s="39">
        <v>8.4830920000000004E-2</v>
      </c>
      <c r="N154" s="39">
        <v>2.1229804190000001</v>
      </c>
      <c r="O154" s="39">
        <v>-0.35025314600000002</v>
      </c>
    </row>
    <row r="155" spans="1:15" ht="18.75" x14ac:dyDescent="0.25">
      <c r="A155" s="25">
        <v>3215</v>
      </c>
      <c r="B155" s="39">
        <v>3</v>
      </c>
      <c r="C155" s="39">
        <v>2311</v>
      </c>
      <c r="D155" s="2" t="s">
        <v>37</v>
      </c>
      <c r="E155" s="39" t="s">
        <v>14</v>
      </c>
      <c r="F155" s="25" t="s">
        <v>15</v>
      </c>
      <c r="G155" s="39" t="s">
        <v>15</v>
      </c>
      <c r="H155" s="39">
        <v>90.197856060000007</v>
      </c>
      <c r="I155" s="39">
        <v>2.1818181820000002</v>
      </c>
      <c r="J155" s="39">
        <v>16.439436619999999</v>
      </c>
      <c r="K155" s="39">
        <v>15.88976976</v>
      </c>
      <c r="L155" s="39">
        <v>0.54966685699999995</v>
      </c>
      <c r="M155" s="39">
        <v>0.13271854899999999</v>
      </c>
      <c r="N155" s="39">
        <v>2.1452037079999999</v>
      </c>
      <c r="O155" s="39">
        <v>3.6614473000000002E-2</v>
      </c>
    </row>
    <row r="156" spans="1:15" ht="18.75" x14ac:dyDescent="0.25">
      <c r="A156" s="25">
        <v>3217</v>
      </c>
      <c r="B156" s="39">
        <v>3</v>
      </c>
      <c r="C156" s="39">
        <v>2311</v>
      </c>
      <c r="D156" s="2" t="s">
        <v>37</v>
      </c>
      <c r="E156" s="39" t="s">
        <v>14</v>
      </c>
      <c r="F156" s="25" t="s">
        <v>15</v>
      </c>
      <c r="G156" s="39" t="s">
        <v>15</v>
      </c>
      <c r="H156" s="39">
        <v>101.9189585</v>
      </c>
      <c r="I156" s="39">
        <v>2.3051948050000002</v>
      </c>
      <c r="J156" s="39">
        <v>17.253521129999999</v>
      </c>
      <c r="K156" s="39">
        <v>18.020182049999999</v>
      </c>
      <c r="L156" s="39">
        <v>-0.76666092399999997</v>
      </c>
      <c r="M156" s="39">
        <v>0.133607209</v>
      </c>
      <c r="N156" s="39">
        <v>1.9915934280000001</v>
      </c>
      <c r="O156" s="39">
        <v>0.31360137700000001</v>
      </c>
    </row>
    <row r="157" spans="1:15" ht="18.75" x14ac:dyDescent="0.25">
      <c r="A157" s="25">
        <v>3219</v>
      </c>
      <c r="B157" s="39">
        <v>3</v>
      </c>
      <c r="C157" s="39">
        <v>2311</v>
      </c>
      <c r="D157" s="2" t="s">
        <v>37</v>
      </c>
      <c r="E157" s="39" t="s">
        <v>14</v>
      </c>
      <c r="F157" s="25" t="s">
        <v>15</v>
      </c>
      <c r="G157" s="39" t="s">
        <v>15</v>
      </c>
      <c r="H157" s="39">
        <v>102.8982817</v>
      </c>
      <c r="I157" s="39">
        <v>2.0779220779999998</v>
      </c>
      <c r="J157" s="39">
        <v>17.647887319999999</v>
      </c>
      <c r="K157" s="39">
        <v>17.647032400000001</v>
      </c>
      <c r="L157" s="39">
        <v>8.5492299999999995E-4</v>
      </c>
      <c r="M157" s="39">
        <v>0.11774339</v>
      </c>
      <c r="N157" s="39">
        <v>2.004576326</v>
      </c>
      <c r="O157" s="39">
        <v>7.3345752E-2</v>
      </c>
    </row>
    <row r="158" spans="1:15" ht="18.75" x14ac:dyDescent="0.25">
      <c r="A158" s="25">
        <v>3220</v>
      </c>
      <c r="B158" s="39">
        <v>4</v>
      </c>
      <c r="C158" s="39">
        <v>2311</v>
      </c>
      <c r="D158" s="2" t="s">
        <v>37</v>
      </c>
      <c r="E158" s="39" t="s">
        <v>14</v>
      </c>
      <c r="F158" s="25" t="s">
        <v>15</v>
      </c>
      <c r="G158" s="39" t="s">
        <v>15</v>
      </c>
      <c r="H158" s="39">
        <v>105.5409714</v>
      </c>
      <c r="I158" s="39">
        <v>2.3506493509999999</v>
      </c>
      <c r="J158" s="39">
        <v>19.832394369999999</v>
      </c>
      <c r="K158" s="39">
        <v>18.695516820000002</v>
      </c>
      <c r="L158" s="39">
        <v>1.1368775419999999</v>
      </c>
      <c r="M158" s="39">
        <v>0.118525747</v>
      </c>
      <c r="N158" s="39">
        <v>2.1282386510000002</v>
      </c>
      <c r="O158" s="39">
        <v>0.22241069999999999</v>
      </c>
    </row>
    <row r="159" spans="1:15" ht="18.75" x14ac:dyDescent="0.25">
      <c r="A159" s="25">
        <v>3227</v>
      </c>
      <c r="B159" s="39">
        <v>4</v>
      </c>
      <c r="C159" s="39">
        <v>2311</v>
      </c>
      <c r="D159" s="2" t="s">
        <v>37</v>
      </c>
      <c r="E159" s="39" t="s">
        <v>27</v>
      </c>
      <c r="F159" s="25" t="s">
        <v>15</v>
      </c>
      <c r="G159" s="39" t="s">
        <v>24</v>
      </c>
      <c r="H159" s="39">
        <v>88.440711320000005</v>
      </c>
      <c r="I159" s="39">
        <v>2.2207792209999999</v>
      </c>
      <c r="J159" s="39">
        <v>13.07887324</v>
      </c>
      <c r="K159" s="39">
        <v>15.70368399</v>
      </c>
      <c r="L159" s="39">
        <v>-2.6248107470000002</v>
      </c>
      <c r="M159" s="39">
        <v>0.16979897099999999</v>
      </c>
      <c r="N159" s="39">
        <v>1.9120324310000001</v>
      </c>
      <c r="O159" s="39">
        <v>0.30874678900000002</v>
      </c>
    </row>
    <row r="160" spans="1:15" ht="18.75" x14ac:dyDescent="0.25">
      <c r="A160" s="25">
        <v>3231</v>
      </c>
      <c r="B160" s="39">
        <v>3</v>
      </c>
      <c r="C160" s="39">
        <v>2311</v>
      </c>
      <c r="D160" s="2" t="s">
        <v>37</v>
      </c>
      <c r="E160" s="39" t="s">
        <v>27</v>
      </c>
      <c r="F160" s="25" t="s">
        <v>15</v>
      </c>
      <c r="G160" s="39" t="s">
        <v>24</v>
      </c>
      <c r="H160" s="39">
        <v>90.635356430000002</v>
      </c>
      <c r="I160" s="39">
        <v>2.0779220779999998</v>
      </c>
      <c r="J160" s="39">
        <v>15.4084507</v>
      </c>
      <c r="K160" s="39">
        <v>15.717583729999999</v>
      </c>
      <c r="L160" s="39">
        <v>-0.309133029</v>
      </c>
      <c r="M160" s="39">
        <v>0.134856003</v>
      </c>
      <c r="N160" s="39">
        <v>2.0555049059999999</v>
      </c>
      <c r="O160" s="39">
        <v>2.2417171999999999E-2</v>
      </c>
    </row>
    <row r="161" spans="1:15" ht="18.75" x14ac:dyDescent="0.25">
      <c r="A161" s="25">
        <v>3233</v>
      </c>
      <c r="B161" s="39">
        <v>3</v>
      </c>
      <c r="C161" s="39">
        <v>2311</v>
      </c>
      <c r="D161" s="2" t="s">
        <v>37</v>
      </c>
      <c r="E161" s="39" t="s">
        <v>27</v>
      </c>
      <c r="F161" s="25" t="s">
        <v>15</v>
      </c>
      <c r="G161" s="39" t="s">
        <v>24</v>
      </c>
      <c r="H161" s="39">
        <v>77.406558799999999</v>
      </c>
      <c r="I161" s="39">
        <v>3.012987013</v>
      </c>
      <c r="J161" s="39">
        <v>16.832857140000002</v>
      </c>
      <c r="K161" s="39">
        <v>15.80536575</v>
      </c>
      <c r="L161" s="39">
        <v>1.02749139</v>
      </c>
      <c r="M161" s="39">
        <v>0.178994391</v>
      </c>
      <c r="N161" s="39">
        <v>2.4142453349999999</v>
      </c>
      <c r="O161" s="39">
        <v>0.598741678</v>
      </c>
    </row>
    <row r="162" spans="1:15" ht="18.75" x14ac:dyDescent="0.25">
      <c r="A162" s="25">
        <v>3239</v>
      </c>
      <c r="B162" s="39">
        <v>3</v>
      </c>
      <c r="C162" s="39">
        <v>2311</v>
      </c>
      <c r="D162" s="2" t="s">
        <v>37</v>
      </c>
      <c r="E162" s="39" t="s">
        <v>27</v>
      </c>
      <c r="F162" s="25" t="s">
        <v>15</v>
      </c>
      <c r="G162" s="39" t="s">
        <v>24</v>
      </c>
      <c r="H162" s="39">
        <v>86.005426450000002</v>
      </c>
      <c r="I162" s="39">
        <v>2.3051948050000002</v>
      </c>
      <c r="J162" s="39">
        <v>16.027586209999999</v>
      </c>
      <c r="K162" s="39">
        <v>15.51634692</v>
      </c>
      <c r="L162" s="39">
        <v>0.51123929199999996</v>
      </c>
      <c r="M162" s="39">
        <v>0.143826698</v>
      </c>
      <c r="N162" s="39">
        <v>2.190601413</v>
      </c>
      <c r="O162" s="39">
        <v>0.114593392</v>
      </c>
    </row>
    <row r="163" spans="1:15" ht="18.75" x14ac:dyDescent="0.25">
      <c r="A163" s="25">
        <v>3240</v>
      </c>
      <c r="B163" s="39">
        <v>4</v>
      </c>
      <c r="C163" s="39">
        <v>2311</v>
      </c>
      <c r="D163" s="2" t="s">
        <v>37</v>
      </c>
      <c r="E163" s="39" t="s">
        <v>27</v>
      </c>
      <c r="F163" s="25" t="s">
        <v>15</v>
      </c>
      <c r="G163" s="39" t="s">
        <v>24</v>
      </c>
      <c r="H163" s="39">
        <v>90.05186544</v>
      </c>
      <c r="I163" s="39">
        <v>2.1558441560000001</v>
      </c>
      <c r="J163" s="39">
        <v>16.469014080000001</v>
      </c>
      <c r="K163" s="39">
        <v>15.80654401</v>
      </c>
      <c r="L163" s="39">
        <v>0.66247007000000002</v>
      </c>
      <c r="M163" s="39">
        <v>0.13090304899999999</v>
      </c>
      <c r="N163" s="39">
        <v>2.1502590069999998</v>
      </c>
      <c r="O163" s="39">
        <v>5.5851490000000002E-3</v>
      </c>
    </row>
    <row r="164" spans="1:15" ht="18.75" x14ac:dyDescent="0.25">
      <c r="A164" s="25">
        <v>3241</v>
      </c>
      <c r="B164" s="39">
        <v>4</v>
      </c>
      <c r="C164" s="39">
        <v>2311</v>
      </c>
      <c r="D164" s="2" t="s">
        <v>37</v>
      </c>
      <c r="E164" s="39" t="s">
        <v>27</v>
      </c>
      <c r="F164" s="25" t="s">
        <v>15</v>
      </c>
      <c r="G164" s="39" t="s">
        <v>24</v>
      </c>
      <c r="H164" s="39">
        <v>90.708204670000001</v>
      </c>
      <c r="I164" s="39">
        <v>2.0389610390000001</v>
      </c>
      <c r="J164" s="39">
        <v>14.154929579999999</v>
      </c>
      <c r="K164" s="39">
        <v>15.6386623</v>
      </c>
      <c r="L164" s="39">
        <v>-1.4837327229999999</v>
      </c>
      <c r="M164" s="39">
        <v>0.14404600400000001</v>
      </c>
      <c r="N164" s="39">
        <v>1.9549838719999999</v>
      </c>
      <c r="O164" s="39">
        <v>8.3977167000000005E-2</v>
      </c>
    </row>
    <row r="165" spans="1:15" ht="15.75" x14ac:dyDescent="0.25">
      <c r="A165" s="42">
        <v>2001</v>
      </c>
      <c r="B165" s="2">
        <v>1</v>
      </c>
      <c r="C165" s="2">
        <v>2209</v>
      </c>
      <c r="D165" s="2" t="s">
        <v>37</v>
      </c>
      <c r="E165" s="2" t="s">
        <v>23</v>
      </c>
      <c r="F165" s="42" t="s">
        <v>21</v>
      </c>
      <c r="G165" s="2" t="s">
        <v>24</v>
      </c>
      <c r="H165" s="2">
        <v>79.25822694</v>
      </c>
      <c r="I165" s="2">
        <v>2.0454545450000001</v>
      </c>
      <c r="J165" s="2">
        <v>13.68</v>
      </c>
      <c r="K165" s="39">
        <v>12.26991063</v>
      </c>
      <c r="L165" s="39">
        <v>1.4100893750000001</v>
      </c>
      <c r="M165" s="39">
        <v>0.14952153100000001</v>
      </c>
      <c r="N165" s="39">
        <v>1.8213641819999999</v>
      </c>
      <c r="O165" s="39">
        <v>0.22409036399999999</v>
      </c>
    </row>
    <row r="166" spans="1:15" ht="15.75" x14ac:dyDescent="0.25">
      <c r="A166" s="42">
        <v>2003</v>
      </c>
      <c r="B166" s="2">
        <v>1</v>
      </c>
      <c r="C166" s="2">
        <v>2209</v>
      </c>
      <c r="D166" s="2" t="s">
        <v>37</v>
      </c>
      <c r="E166" s="2" t="s">
        <v>23</v>
      </c>
      <c r="F166" s="42" t="s">
        <v>21</v>
      </c>
      <c r="G166" s="2" t="s">
        <v>24</v>
      </c>
      <c r="H166" s="2">
        <v>77.265730340000005</v>
      </c>
      <c r="I166" s="2">
        <v>1.8311688310000001</v>
      </c>
      <c r="J166" s="2">
        <v>13.067164180000001</v>
      </c>
      <c r="K166" s="39">
        <v>11.76238206</v>
      </c>
      <c r="L166" s="39">
        <v>1.304782119</v>
      </c>
      <c r="M166" s="39">
        <v>0.14013513599999999</v>
      </c>
      <c r="N166" s="39">
        <v>1.7985187659999999</v>
      </c>
      <c r="O166" s="39">
        <v>3.2650064999999999E-2</v>
      </c>
    </row>
    <row r="167" spans="1:15" ht="15.75" x14ac:dyDescent="0.25">
      <c r="A167" s="42">
        <v>2006</v>
      </c>
      <c r="B167" s="2">
        <v>1</v>
      </c>
      <c r="C167" s="2">
        <v>2209</v>
      </c>
      <c r="D167" s="2" t="s">
        <v>37</v>
      </c>
      <c r="E167" s="2" t="s">
        <v>20</v>
      </c>
      <c r="F167" s="42" t="s">
        <v>21</v>
      </c>
      <c r="G167" s="2" t="s">
        <v>15</v>
      </c>
      <c r="H167" s="2">
        <v>89.823596989999999</v>
      </c>
      <c r="I167" s="2">
        <v>1.7922077919999999</v>
      </c>
      <c r="J167" s="2">
        <v>15.258208959999999</v>
      </c>
      <c r="K167" s="39">
        <v>14.03035509</v>
      </c>
      <c r="L167" s="39">
        <v>1.227853868</v>
      </c>
      <c r="M167" s="39">
        <v>0.117458595</v>
      </c>
      <c r="N167" s="39">
        <v>1.9151930989999999</v>
      </c>
      <c r="O167" s="39">
        <v>-0.122985307</v>
      </c>
    </row>
    <row r="168" spans="1:15" ht="15.75" x14ac:dyDescent="0.25">
      <c r="A168" s="42">
        <v>2015</v>
      </c>
      <c r="B168" s="2">
        <v>2</v>
      </c>
      <c r="C168" s="2">
        <v>2209</v>
      </c>
      <c r="D168" s="2" t="s">
        <v>37</v>
      </c>
      <c r="E168" s="2" t="s">
        <v>23</v>
      </c>
      <c r="F168" s="42" t="s">
        <v>21</v>
      </c>
      <c r="G168" s="2" t="s">
        <v>24</v>
      </c>
      <c r="H168" s="2">
        <v>86.684175819999993</v>
      </c>
      <c r="I168" s="2">
        <v>1.935064935</v>
      </c>
      <c r="J168" s="2">
        <v>10.74328358</v>
      </c>
      <c r="K168" s="39">
        <v>13.55253849</v>
      </c>
      <c r="L168" s="39">
        <v>-2.8092549039999999</v>
      </c>
      <c r="M168" s="39">
        <v>0.180118576</v>
      </c>
      <c r="N168" s="39">
        <v>1.8212013460000001</v>
      </c>
      <c r="O168" s="39">
        <v>0.113863589</v>
      </c>
    </row>
    <row r="169" spans="1:15" ht="15.75" x14ac:dyDescent="0.25">
      <c r="A169" s="42">
        <v>2017</v>
      </c>
      <c r="B169" s="2">
        <v>1</v>
      </c>
      <c r="C169" s="2">
        <v>2209</v>
      </c>
      <c r="D169" s="2" t="s">
        <v>37</v>
      </c>
      <c r="E169" s="2" t="s">
        <v>23</v>
      </c>
      <c r="F169" s="42" t="s">
        <v>21</v>
      </c>
      <c r="G169" s="2" t="s">
        <v>24</v>
      </c>
      <c r="H169" s="2">
        <v>71.099123000000006</v>
      </c>
      <c r="I169" s="2">
        <v>1.181818182</v>
      </c>
      <c r="J169" s="2">
        <v>10.56567164</v>
      </c>
      <c r="K169" s="39">
        <v>10.2008987</v>
      </c>
      <c r="L169" s="39">
        <v>0.36477294300000002</v>
      </c>
      <c r="M169" s="39">
        <v>0.111854525</v>
      </c>
      <c r="N169" s="39">
        <v>1.7179314269999999</v>
      </c>
      <c r="O169" s="39">
        <v>-0.53611324500000002</v>
      </c>
    </row>
    <row r="170" spans="1:15" ht="15.75" x14ac:dyDescent="0.25">
      <c r="A170" s="42">
        <v>2021</v>
      </c>
      <c r="B170" s="2">
        <v>1</v>
      </c>
      <c r="C170" s="2">
        <v>2209</v>
      </c>
      <c r="D170" s="2" t="s">
        <v>37</v>
      </c>
      <c r="E170" s="2" t="s">
        <v>23</v>
      </c>
      <c r="F170" s="42" t="s">
        <v>21</v>
      </c>
      <c r="G170" s="2" t="s">
        <v>24</v>
      </c>
      <c r="H170" s="2">
        <v>87.913754519999998</v>
      </c>
      <c r="I170" s="2">
        <v>1.62987013</v>
      </c>
      <c r="J170" s="2">
        <v>15.5761194</v>
      </c>
      <c r="K170" s="39">
        <v>13.572723180000001</v>
      </c>
      <c r="L170" s="39">
        <v>2.0033962199999999</v>
      </c>
      <c r="M170" s="39">
        <v>0.104639037</v>
      </c>
      <c r="N170" s="39">
        <v>1.90808837</v>
      </c>
      <c r="O170" s="39">
        <v>-0.27821824000000001</v>
      </c>
    </row>
    <row r="171" spans="1:15" ht="15.75" x14ac:dyDescent="0.25">
      <c r="A171" s="42">
        <v>2025</v>
      </c>
      <c r="B171" s="2">
        <v>2</v>
      </c>
      <c r="C171" s="2">
        <v>2209</v>
      </c>
      <c r="D171" s="2" t="s">
        <v>37</v>
      </c>
      <c r="E171" s="2" t="s">
        <v>23</v>
      </c>
      <c r="F171" s="42" t="s">
        <v>21</v>
      </c>
      <c r="G171" s="2" t="s">
        <v>24</v>
      </c>
      <c r="H171" s="2">
        <v>86.452983660000001</v>
      </c>
      <c r="I171" s="2">
        <v>1.8571428569999999</v>
      </c>
      <c r="J171" s="2">
        <v>11.42686567</v>
      </c>
      <c r="K171" s="39">
        <v>13.4581082</v>
      </c>
      <c r="L171" s="39">
        <v>-2.0312425269999999</v>
      </c>
      <c r="M171" s="39">
        <v>0.16252425700000001</v>
      </c>
      <c r="N171" s="39">
        <v>1.8308822</v>
      </c>
      <c r="O171" s="39">
        <v>2.6260657E-2</v>
      </c>
    </row>
    <row r="172" spans="1:15" ht="15.75" x14ac:dyDescent="0.25">
      <c r="A172" s="42">
        <v>2027</v>
      </c>
      <c r="B172" s="2">
        <v>1</v>
      </c>
      <c r="C172" s="2">
        <v>2209</v>
      </c>
      <c r="D172" s="2" t="s">
        <v>37</v>
      </c>
      <c r="E172" s="2" t="s">
        <v>23</v>
      </c>
      <c r="F172" s="42" t="s">
        <v>21</v>
      </c>
      <c r="G172" s="2" t="s">
        <v>24</v>
      </c>
      <c r="H172" s="2">
        <v>77.265730340000005</v>
      </c>
      <c r="I172" s="2">
        <v>1.9740259739999999</v>
      </c>
      <c r="J172" s="2">
        <v>11.943283579999999</v>
      </c>
      <c r="K172" s="39">
        <v>11.85807492</v>
      </c>
      <c r="L172" s="39">
        <v>8.5208665000000003E-2</v>
      </c>
      <c r="M172" s="39">
        <v>0.16528335399999999</v>
      </c>
      <c r="N172" s="39">
        <v>1.7801545569999999</v>
      </c>
      <c r="O172" s="39">
        <v>0.19387141699999999</v>
      </c>
    </row>
    <row r="173" spans="1:15" ht="15.75" x14ac:dyDescent="0.25">
      <c r="A173" s="42">
        <v>2029</v>
      </c>
      <c r="B173" s="2">
        <v>1</v>
      </c>
      <c r="C173" s="2">
        <v>2209</v>
      </c>
      <c r="D173" s="2" t="s">
        <v>37</v>
      </c>
      <c r="E173" s="2" t="s">
        <v>23</v>
      </c>
      <c r="F173" s="2" t="s">
        <v>21</v>
      </c>
      <c r="G173" s="2" t="s">
        <v>24</v>
      </c>
      <c r="H173" s="2">
        <v>80.603623659999997</v>
      </c>
      <c r="I173" s="2">
        <v>2.0909090909999999</v>
      </c>
      <c r="J173" s="2">
        <v>14.814925369999999</v>
      </c>
      <c r="K173" s="39">
        <v>12.546135420000001</v>
      </c>
      <c r="L173" s="39">
        <v>2.2687899489999999</v>
      </c>
      <c r="M173" s="39">
        <v>0.14113531000000001</v>
      </c>
      <c r="N173" s="39">
        <v>1.848573217</v>
      </c>
      <c r="O173" s="39">
        <v>0.24233587400000001</v>
      </c>
    </row>
    <row r="174" spans="1:15" ht="15.75" x14ac:dyDescent="0.25">
      <c r="A174" s="42">
        <v>2030</v>
      </c>
      <c r="B174" s="2">
        <v>1</v>
      </c>
      <c r="C174" s="2">
        <v>2209</v>
      </c>
      <c r="D174" s="2" t="s">
        <v>37</v>
      </c>
      <c r="E174" s="2" t="s">
        <v>23</v>
      </c>
      <c r="F174" s="2" t="s">
        <v>21</v>
      </c>
      <c r="G174" s="2" t="s">
        <v>24</v>
      </c>
      <c r="H174" s="2">
        <v>79.099445810000006</v>
      </c>
      <c r="I174" s="2">
        <v>2.1038961039999999</v>
      </c>
      <c r="J174" s="2">
        <v>13.849253729999999</v>
      </c>
      <c r="K174" s="39">
        <v>12.280051569999999</v>
      </c>
      <c r="L174" s="39">
        <v>1.5692021650000001</v>
      </c>
      <c r="M174" s="39">
        <v>0.151914041</v>
      </c>
      <c r="N174" s="39">
        <v>1.8231072370000001</v>
      </c>
      <c r="O174" s="39">
        <v>0.280788867</v>
      </c>
    </row>
    <row r="175" spans="1:15" ht="15.75" x14ac:dyDescent="0.25">
      <c r="A175" s="42">
        <v>2032</v>
      </c>
      <c r="B175" s="2">
        <v>2</v>
      </c>
      <c r="C175" s="2">
        <v>2209</v>
      </c>
      <c r="D175" s="2" t="s">
        <v>37</v>
      </c>
      <c r="E175" s="2" t="s">
        <v>20</v>
      </c>
      <c r="F175" s="2" t="s">
        <v>21</v>
      </c>
      <c r="G175" s="2" t="s">
        <v>15</v>
      </c>
      <c r="H175" s="2">
        <v>77.105594060000001</v>
      </c>
      <c r="I175" s="2">
        <v>1.993506494</v>
      </c>
      <c r="J175" s="2">
        <v>11.30909091</v>
      </c>
      <c r="K175" s="39">
        <v>11.841870249999999</v>
      </c>
      <c r="L175" s="39">
        <v>-0.53277933899999996</v>
      </c>
      <c r="M175" s="39">
        <v>0.17627469000000001</v>
      </c>
      <c r="N175" s="39">
        <v>1.7687605710000001</v>
      </c>
      <c r="O175" s="39">
        <v>0.22474592199999999</v>
      </c>
    </row>
    <row r="176" spans="1:15" ht="15.75" x14ac:dyDescent="0.25">
      <c r="A176" s="42">
        <v>2101</v>
      </c>
      <c r="B176" s="2">
        <v>1</v>
      </c>
      <c r="C176" s="2">
        <v>2209</v>
      </c>
      <c r="D176" s="2" t="s">
        <v>37</v>
      </c>
      <c r="E176" s="2" t="s">
        <v>23</v>
      </c>
      <c r="F176" s="2" t="s">
        <v>21</v>
      </c>
      <c r="G176" s="2" t="s">
        <v>24</v>
      </c>
      <c r="H176" s="2">
        <v>88.449893130000007</v>
      </c>
      <c r="I176" s="2">
        <v>1.551948052</v>
      </c>
      <c r="J176" s="2">
        <v>14.016417909999999</v>
      </c>
      <c r="K176" s="39">
        <v>13.61846888</v>
      </c>
      <c r="L176" s="39">
        <v>0.39794903199999998</v>
      </c>
      <c r="M176" s="39">
        <v>0.110723586</v>
      </c>
      <c r="N176" s="39">
        <v>1.8860555800000001</v>
      </c>
      <c r="O176" s="39">
        <v>-0.33410752799999999</v>
      </c>
    </row>
    <row r="177" spans="1:15" ht="15.75" x14ac:dyDescent="0.25">
      <c r="A177" s="42">
        <v>2102</v>
      </c>
      <c r="B177" s="2">
        <v>1</v>
      </c>
      <c r="C177" s="2">
        <v>2209</v>
      </c>
      <c r="D177" s="2" t="s">
        <v>37</v>
      </c>
      <c r="E177" s="2" t="s">
        <v>20</v>
      </c>
      <c r="F177" s="2" t="s">
        <v>21</v>
      </c>
      <c r="G177" s="2" t="s">
        <v>15</v>
      </c>
      <c r="H177" s="2">
        <v>89.0612998</v>
      </c>
      <c r="I177" s="2">
        <v>2.3571428569999999</v>
      </c>
      <c r="J177" s="2">
        <v>16.343283580000001</v>
      </c>
      <c r="K177" s="39">
        <v>14.26952039</v>
      </c>
      <c r="L177" s="39">
        <v>2.0737631909999998</v>
      </c>
      <c r="M177" s="39">
        <v>0.14422700599999999</v>
      </c>
      <c r="N177" s="39">
        <v>1.9280140240000001</v>
      </c>
      <c r="O177" s="39">
        <v>0.42912883299999999</v>
      </c>
    </row>
    <row r="178" spans="1:15" ht="15.75" x14ac:dyDescent="0.25">
      <c r="A178" s="42">
        <v>2109</v>
      </c>
      <c r="B178" s="2">
        <v>2</v>
      </c>
      <c r="C178" s="2">
        <v>2209</v>
      </c>
      <c r="D178" s="2" t="s">
        <v>37</v>
      </c>
      <c r="E178" s="2" t="s">
        <v>23</v>
      </c>
      <c r="F178" s="2" t="s">
        <v>21</v>
      </c>
      <c r="G178" s="2" t="s">
        <v>24</v>
      </c>
      <c r="H178" s="2">
        <v>85.98997962</v>
      </c>
      <c r="I178" s="2">
        <v>2.006493506</v>
      </c>
      <c r="J178" s="2">
        <v>13.081818180000001</v>
      </c>
      <c r="K178" s="39">
        <v>13.473569149999999</v>
      </c>
      <c r="L178" s="39">
        <v>-0.39175096999999998</v>
      </c>
      <c r="M178" s="39">
        <v>0.15338032400000001</v>
      </c>
      <c r="N178" s="39">
        <v>1.8549423780000001</v>
      </c>
      <c r="O178" s="39">
        <v>0.15155112900000001</v>
      </c>
    </row>
    <row r="179" spans="1:15" ht="15.75" x14ac:dyDescent="0.25">
      <c r="A179" s="42">
        <v>2111</v>
      </c>
      <c r="B179" s="2">
        <v>1</v>
      </c>
      <c r="C179" s="2">
        <v>2209</v>
      </c>
      <c r="D179" s="2" t="s">
        <v>37</v>
      </c>
      <c r="E179" s="2" t="s">
        <v>23</v>
      </c>
      <c r="F179" s="2" t="s">
        <v>21</v>
      </c>
      <c r="G179" s="2" t="s">
        <v>24</v>
      </c>
      <c r="H179" s="2">
        <v>85.680848209999994</v>
      </c>
      <c r="I179" s="2">
        <v>1.928571429</v>
      </c>
      <c r="J179" s="2">
        <v>14.789552240000001</v>
      </c>
      <c r="K179" s="39">
        <v>13.36490092</v>
      </c>
      <c r="L179" s="39">
        <v>1.4246513160000001</v>
      </c>
      <c r="M179" s="39">
        <v>0.130400934</v>
      </c>
      <c r="N179" s="39">
        <v>1.8808559460000001</v>
      </c>
      <c r="O179" s="39">
        <v>4.7715481999999997E-2</v>
      </c>
    </row>
    <row r="180" spans="1:15" ht="15.75" x14ac:dyDescent="0.25">
      <c r="A180" s="42">
        <v>2113</v>
      </c>
      <c r="B180" s="2">
        <v>2</v>
      </c>
      <c r="C180" s="2">
        <v>2209</v>
      </c>
      <c r="D180" s="2" t="s">
        <v>37</v>
      </c>
      <c r="E180" s="2" t="s">
        <v>20</v>
      </c>
      <c r="F180" s="2" t="s">
        <v>21</v>
      </c>
      <c r="G180" s="2" t="s">
        <v>15</v>
      </c>
      <c r="H180" s="2">
        <v>90.279941170000001</v>
      </c>
      <c r="I180" s="2">
        <v>0.94805194800000003</v>
      </c>
      <c r="J180" s="2">
        <v>11.525757580000001</v>
      </c>
      <c r="K180" s="39">
        <v>13.548262250000001</v>
      </c>
      <c r="L180" s="39">
        <v>-2.022504675</v>
      </c>
      <c r="M180" s="39">
        <v>8.2255066000000002E-2</v>
      </c>
      <c r="N180" s="39">
        <v>1.8571437</v>
      </c>
      <c r="O180" s="39">
        <v>-0.90909175200000003</v>
      </c>
    </row>
    <row r="181" spans="1:15" ht="15.75" x14ac:dyDescent="0.25">
      <c r="A181" s="42">
        <v>2116</v>
      </c>
      <c r="B181" s="2">
        <v>1</v>
      </c>
      <c r="C181" s="2">
        <v>2209</v>
      </c>
      <c r="D181" s="2" t="s">
        <v>37</v>
      </c>
      <c r="E181" s="2" t="s">
        <v>20</v>
      </c>
      <c r="F181" s="2" t="s">
        <v>21</v>
      </c>
      <c r="G181" s="2" t="s">
        <v>15</v>
      </c>
      <c r="H181" s="2">
        <v>87.760371960000001</v>
      </c>
      <c r="I181" s="2">
        <v>1.5259740260000001</v>
      </c>
      <c r="J181" s="2">
        <v>14.879104480000001</v>
      </c>
      <c r="K181" s="39">
        <v>13.47510845</v>
      </c>
      <c r="L181" s="39">
        <v>1.403996027</v>
      </c>
      <c r="M181" s="39">
        <v>0.10255818999999999</v>
      </c>
      <c r="N181" s="39">
        <v>1.895711363</v>
      </c>
      <c r="O181" s="39">
        <v>-0.369737337</v>
      </c>
    </row>
    <row r="182" spans="1:15" ht="15.75" x14ac:dyDescent="0.25">
      <c r="A182" s="42">
        <v>2117</v>
      </c>
      <c r="B182" s="2">
        <v>2</v>
      </c>
      <c r="C182" s="2">
        <v>2209</v>
      </c>
      <c r="D182" s="2" t="s">
        <v>37</v>
      </c>
      <c r="E182" s="2" t="s">
        <v>20</v>
      </c>
      <c r="F182" s="2" t="s">
        <v>21</v>
      </c>
      <c r="G182" s="2" t="s">
        <v>15</v>
      </c>
      <c r="H182" s="2">
        <v>86.915162629999998</v>
      </c>
      <c r="I182" s="2">
        <v>1.935064935</v>
      </c>
      <c r="J182" s="2">
        <v>11.174626870000001</v>
      </c>
      <c r="K182" s="39">
        <v>13.594735160000001</v>
      </c>
      <c r="L182" s="39">
        <v>-2.4201082899999999</v>
      </c>
      <c r="M182" s="39">
        <v>0.17316595500000001</v>
      </c>
      <c r="N182" s="39">
        <v>1.8297370500000001</v>
      </c>
      <c r="O182" s="39">
        <v>0.105327885</v>
      </c>
    </row>
    <row r="183" spans="1:15" ht="15.75" x14ac:dyDescent="0.25">
      <c r="A183" s="42">
        <v>2120</v>
      </c>
      <c r="B183" s="2">
        <v>2</v>
      </c>
      <c r="C183" s="2">
        <v>2209</v>
      </c>
      <c r="D183" s="2" t="s">
        <v>37</v>
      </c>
      <c r="E183" s="2" t="s">
        <v>23</v>
      </c>
      <c r="F183" s="2" t="s">
        <v>21</v>
      </c>
      <c r="G183" s="2" t="s">
        <v>24</v>
      </c>
      <c r="H183" s="2">
        <v>84.518271850000005</v>
      </c>
      <c r="I183" s="2">
        <v>1.935064935</v>
      </c>
      <c r="J183" s="2">
        <v>10.5761194</v>
      </c>
      <c r="K183" s="39">
        <v>13.156871150000001</v>
      </c>
      <c r="L183" s="39">
        <v>-2.5807517459999998</v>
      </c>
      <c r="M183" s="39">
        <v>0.18296549600000001</v>
      </c>
      <c r="N183" s="39">
        <v>1.8045214620000001</v>
      </c>
      <c r="O183" s="39">
        <v>0.13054347299999999</v>
      </c>
    </row>
    <row r="184" spans="1:15" ht="15.75" x14ac:dyDescent="0.25">
      <c r="A184" s="42">
        <v>2121</v>
      </c>
      <c r="B184" s="2">
        <v>2</v>
      </c>
      <c r="C184" s="2">
        <v>2209</v>
      </c>
      <c r="D184" s="2" t="s">
        <v>37</v>
      </c>
      <c r="E184" s="2" t="s">
        <v>23</v>
      </c>
      <c r="F184" s="2" t="s">
        <v>21</v>
      </c>
      <c r="G184" s="2" t="s">
        <v>24</v>
      </c>
      <c r="H184" s="2">
        <v>92.173185009999997</v>
      </c>
      <c r="I184" s="2">
        <v>1.980519481</v>
      </c>
      <c r="J184" s="2">
        <v>15.05522388</v>
      </c>
      <c r="K184" s="39">
        <v>14.58571841</v>
      </c>
      <c r="L184" s="39">
        <v>0.46950546900000001</v>
      </c>
      <c r="M184" s="39">
        <v>0.131550317</v>
      </c>
      <c r="N184" s="39">
        <v>1.9270076700000001</v>
      </c>
      <c r="O184" s="39">
        <v>5.3511810999999999E-2</v>
      </c>
    </row>
    <row r="185" spans="1:15" ht="15.75" x14ac:dyDescent="0.25">
      <c r="A185" s="42">
        <v>2123</v>
      </c>
      <c r="B185" s="2">
        <v>1</v>
      </c>
      <c r="C185" s="2">
        <v>2209</v>
      </c>
      <c r="D185" s="2" t="s">
        <v>37</v>
      </c>
      <c r="E185" s="2" t="s">
        <v>20</v>
      </c>
      <c r="F185" s="2" t="s">
        <v>21</v>
      </c>
      <c r="G185" s="2" t="s">
        <v>15</v>
      </c>
      <c r="H185" s="2">
        <v>86.298741019999994</v>
      </c>
      <c r="I185" s="2">
        <v>1.4025974029999999</v>
      </c>
      <c r="J185" s="2">
        <v>14.870149250000001</v>
      </c>
      <c r="K185" s="39">
        <v>13.12545388</v>
      </c>
      <c r="L185" s="39">
        <v>1.744695374</v>
      </c>
      <c r="M185" s="39">
        <v>9.4323021000000007E-2</v>
      </c>
      <c r="N185" s="39">
        <v>1.886152131</v>
      </c>
      <c r="O185" s="39">
        <v>-0.48355472799999999</v>
      </c>
    </row>
    <row r="186" spans="1:15" ht="15.75" x14ac:dyDescent="0.25">
      <c r="A186" s="42">
        <v>2125</v>
      </c>
      <c r="B186" s="2">
        <v>1</v>
      </c>
      <c r="C186" s="2">
        <v>2209</v>
      </c>
      <c r="D186" s="2" t="s">
        <v>37</v>
      </c>
      <c r="E186" s="2" t="s">
        <v>23</v>
      </c>
      <c r="F186" s="2" t="s">
        <v>21</v>
      </c>
      <c r="G186" s="2" t="s">
        <v>24</v>
      </c>
      <c r="H186" s="2">
        <v>86.452983660000001</v>
      </c>
      <c r="I186" s="2">
        <v>1.993506494</v>
      </c>
      <c r="J186" s="2">
        <v>14.84029851</v>
      </c>
      <c r="K186" s="39">
        <v>13.549451380000001</v>
      </c>
      <c r="L186" s="39">
        <v>1.2908471269999999</v>
      </c>
      <c r="M186" s="39">
        <v>0.13433062000000001</v>
      </c>
      <c r="N186" s="39">
        <v>1.886657692</v>
      </c>
      <c r="O186" s="39">
        <v>0.10684880099999999</v>
      </c>
    </row>
    <row r="187" spans="1:15" ht="15.75" x14ac:dyDescent="0.25">
      <c r="A187" s="42">
        <v>2129</v>
      </c>
      <c r="B187" s="2">
        <v>1</v>
      </c>
      <c r="C187" s="2">
        <v>2209</v>
      </c>
      <c r="D187" s="2" t="s">
        <v>37</v>
      </c>
      <c r="E187" s="2" t="s">
        <v>23</v>
      </c>
      <c r="F187" s="2" t="s">
        <v>21</v>
      </c>
      <c r="G187" s="2" t="s">
        <v>24</v>
      </c>
      <c r="H187" s="2">
        <v>90.735517740000006</v>
      </c>
      <c r="I187" s="2">
        <v>1.6753246749999999</v>
      </c>
      <c r="J187" s="2">
        <v>16.477611939999999</v>
      </c>
      <c r="K187" s="39">
        <v>14.11865061</v>
      </c>
      <c r="L187" s="39">
        <v>2.3589613260000002</v>
      </c>
      <c r="M187" s="39">
        <v>0.101672784</v>
      </c>
      <c r="N187" s="39">
        <v>1.940990913</v>
      </c>
      <c r="O187" s="39">
        <v>-0.265666238</v>
      </c>
    </row>
    <row r="188" spans="1:15" ht="15.75" x14ac:dyDescent="0.25">
      <c r="A188" s="42">
        <v>2132</v>
      </c>
      <c r="B188" s="2">
        <v>1</v>
      </c>
      <c r="C188" s="2">
        <v>2209</v>
      </c>
      <c r="D188" s="2" t="s">
        <v>37</v>
      </c>
      <c r="E188" s="2" t="s">
        <v>23</v>
      </c>
      <c r="F188" s="2" t="s">
        <v>21</v>
      </c>
      <c r="G188" s="2" t="s">
        <v>24</v>
      </c>
      <c r="H188" s="2">
        <v>88.143661289999997</v>
      </c>
      <c r="I188" s="2">
        <v>1.694805195</v>
      </c>
      <c r="J188" s="2">
        <v>16.635820899999999</v>
      </c>
      <c r="K188" s="39">
        <v>13.658219300000001</v>
      </c>
      <c r="L188" s="39">
        <v>2.977601591</v>
      </c>
      <c r="M188" s="39">
        <v>0.10187686</v>
      </c>
      <c r="N188" s="39">
        <v>1.9268844919999999</v>
      </c>
      <c r="O188" s="39">
        <v>-0.23207929699999999</v>
      </c>
    </row>
    <row r="189" spans="1:15" ht="15.75" x14ac:dyDescent="0.25">
      <c r="A189" s="42">
        <v>2141</v>
      </c>
      <c r="B189" s="2">
        <v>2</v>
      </c>
      <c r="C189" s="2">
        <v>2209</v>
      </c>
      <c r="D189" s="2" t="s">
        <v>37</v>
      </c>
      <c r="E189" s="2" t="s">
        <v>20</v>
      </c>
      <c r="F189" s="2" t="s">
        <v>21</v>
      </c>
      <c r="G189" s="2" t="s">
        <v>15</v>
      </c>
      <c r="H189" s="2">
        <v>83.896049250000004</v>
      </c>
      <c r="I189" s="2">
        <v>1.6103896099999999</v>
      </c>
      <c r="J189" s="2">
        <v>11.17313433</v>
      </c>
      <c r="K189" s="39">
        <v>12.82571976</v>
      </c>
      <c r="L189" s="39">
        <v>-1.65258543</v>
      </c>
      <c r="M189" s="39">
        <v>0.14413051499999999</v>
      </c>
      <c r="N189" s="39">
        <v>1.8102695719999999</v>
      </c>
      <c r="O189" s="39">
        <v>-0.19987996199999999</v>
      </c>
    </row>
    <row r="190" spans="1:15" ht="15.75" x14ac:dyDescent="0.25">
      <c r="A190" s="42">
        <v>2207</v>
      </c>
      <c r="B190" s="2">
        <v>2</v>
      </c>
      <c r="C190" s="2">
        <v>2209</v>
      </c>
      <c r="D190" s="2" t="s">
        <v>37</v>
      </c>
      <c r="E190" s="2" t="s">
        <v>20</v>
      </c>
      <c r="F190" s="2" t="s">
        <v>21</v>
      </c>
      <c r="G190" s="2" t="s">
        <v>15</v>
      </c>
      <c r="H190" s="2">
        <v>91.03881217</v>
      </c>
      <c r="I190" s="2">
        <v>1.5909090910000001</v>
      </c>
      <c r="J190" s="2">
        <v>11.371212119999999</v>
      </c>
      <c r="K190" s="39">
        <v>14.117510660000001</v>
      </c>
      <c r="L190" s="39">
        <v>-2.7462985400000002</v>
      </c>
      <c r="M190" s="39">
        <v>0.13990672900000001</v>
      </c>
      <c r="N190" s="39">
        <v>1.859505556</v>
      </c>
      <c r="O190" s="39">
        <v>-0.26859646599999998</v>
      </c>
    </row>
    <row r="191" spans="1:15" ht="15.75" x14ac:dyDescent="0.25">
      <c r="A191" s="42">
        <v>2208</v>
      </c>
      <c r="B191" s="2">
        <v>2</v>
      </c>
      <c r="C191" s="2">
        <v>2209</v>
      </c>
      <c r="D191" s="2" t="s">
        <v>37</v>
      </c>
      <c r="E191" s="2" t="s">
        <v>20</v>
      </c>
      <c r="F191" s="2" t="s">
        <v>21</v>
      </c>
      <c r="G191" s="2" t="s">
        <v>15</v>
      </c>
      <c r="H191" s="2">
        <v>83.896049250000004</v>
      </c>
      <c r="I191" s="2">
        <v>1.753246753</v>
      </c>
      <c r="J191" s="2">
        <v>10.236507939999999</v>
      </c>
      <c r="K191" s="39">
        <v>12.92141262</v>
      </c>
      <c r="L191" s="39">
        <v>-2.6849046790000002</v>
      </c>
      <c r="M191" s="39">
        <v>0.171273911</v>
      </c>
      <c r="N191" s="39">
        <v>1.794965097</v>
      </c>
      <c r="O191" s="39">
        <v>-4.1718343999999997E-2</v>
      </c>
    </row>
    <row r="192" spans="1:15" ht="15.75" x14ac:dyDescent="0.25">
      <c r="A192" s="42">
        <v>2209</v>
      </c>
      <c r="B192" s="2">
        <v>1</v>
      </c>
      <c r="C192" s="2">
        <v>2209</v>
      </c>
      <c r="D192" s="2" t="s">
        <v>37</v>
      </c>
      <c r="E192" s="2" t="s">
        <v>20</v>
      </c>
      <c r="F192" s="2" t="s">
        <v>21</v>
      </c>
      <c r="G192" s="2" t="s">
        <v>15</v>
      </c>
      <c r="H192" s="2">
        <v>82.412054639999994</v>
      </c>
      <c r="I192" s="2">
        <v>2.233766234</v>
      </c>
      <c r="J192" s="2">
        <v>15.122222219999999</v>
      </c>
      <c r="K192" s="39">
        <v>12.97219245</v>
      </c>
      <c r="L192" s="39">
        <v>2.1500297690000001</v>
      </c>
      <c r="M192" s="39">
        <v>0.14771415199999999</v>
      </c>
      <c r="N192" s="39">
        <v>1.865240743</v>
      </c>
      <c r="O192" s="39">
        <v>0.36852549099999998</v>
      </c>
    </row>
    <row r="193" spans="1:15" ht="15.75" x14ac:dyDescent="0.25">
      <c r="A193" s="42">
        <v>2219</v>
      </c>
      <c r="B193" s="2">
        <v>2</v>
      </c>
      <c r="C193" s="2">
        <v>2209</v>
      </c>
      <c r="D193" s="2" t="s">
        <v>37</v>
      </c>
      <c r="E193" s="2" t="s">
        <v>23</v>
      </c>
      <c r="F193" s="2" t="s">
        <v>21</v>
      </c>
      <c r="G193" s="2" t="s">
        <v>24</v>
      </c>
      <c r="H193" s="2">
        <v>93.077341759999996</v>
      </c>
      <c r="I193" s="2">
        <v>2.0324675320000001</v>
      </c>
      <c r="J193" s="2">
        <v>14.240909090000001</v>
      </c>
      <c r="K193" s="39">
        <v>14.785687169999999</v>
      </c>
      <c r="L193" s="39">
        <v>-0.544778078</v>
      </c>
      <c r="M193" s="39">
        <v>0.14272035</v>
      </c>
      <c r="N193" s="39">
        <v>1.9195245350000001</v>
      </c>
      <c r="O193" s="39">
        <v>0.112942997</v>
      </c>
    </row>
    <row r="194" spans="1:15" ht="15.75" x14ac:dyDescent="0.25">
      <c r="A194" s="42">
        <v>2221</v>
      </c>
      <c r="B194" s="2">
        <v>2</v>
      </c>
      <c r="C194" s="2">
        <v>2209</v>
      </c>
      <c r="D194" s="2" t="s">
        <v>37</v>
      </c>
      <c r="E194" s="2" t="s">
        <v>20</v>
      </c>
      <c r="F194" s="2" t="s">
        <v>21</v>
      </c>
      <c r="G194" s="2" t="s">
        <v>15</v>
      </c>
      <c r="H194" s="2">
        <v>81.705998440000002</v>
      </c>
      <c r="I194" s="2">
        <v>1.7857142859999999</v>
      </c>
      <c r="J194" s="2">
        <v>9.8430769229999999</v>
      </c>
      <c r="K194" s="39">
        <v>12.54308251</v>
      </c>
      <c r="L194" s="39">
        <v>-2.7000055860000001</v>
      </c>
      <c r="M194" s="39">
        <v>0.1814183</v>
      </c>
      <c r="N194" s="39">
        <v>1.774432507</v>
      </c>
      <c r="O194" s="39">
        <v>1.1281779E-2</v>
      </c>
    </row>
    <row r="195" spans="1:15" ht="15.75" x14ac:dyDescent="0.25">
      <c r="A195" s="42">
        <v>2222</v>
      </c>
      <c r="B195" s="2">
        <v>2</v>
      </c>
      <c r="C195" s="2">
        <v>2209</v>
      </c>
      <c r="D195" s="2" t="s">
        <v>37</v>
      </c>
      <c r="E195" s="2" t="s">
        <v>23</v>
      </c>
      <c r="F195" s="2" t="s">
        <v>21</v>
      </c>
      <c r="G195" s="2" t="s">
        <v>24</v>
      </c>
      <c r="H195" s="2">
        <v>91.795580400000006</v>
      </c>
      <c r="I195" s="2">
        <v>2.383116883</v>
      </c>
      <c r="J195" s="2">
        <v>11.0016129</v>
      </c>
      <c r="K195" s="39">
        <v>14.78641747</v>
      </c>
      <c r="L195" s="39">
        <v>-3.7848045680000002</v>
      </c>
      <c r="M195" s="39">
        <v>0.21661522799999999</v>
      </c>
      <c r="N195" s="39">
        <v>1.8583398929999999</v>
      </c>
      <c r="O195" s="39">
        <v>0.52477699099999997</v>
      </c>
    </row>
    <row r="196" spans="1:15" ht="15.75" x14ac:dyDescent="0.25">
      <c r="A196" s="42">
        <v>2227</v>
      </c>
      <c r="B196" s="2">
        <v>2</v>
      </c>
      <c r="C196" s="2">
        <v>2209</v>
      </c>
      <c r="D196" s="2" t="s">
        <v>37</v>
      </c>
      <c r="E196" s="2" t="s">
        <v>23</v>
      </c>
      <c r="F196" s="2" t="s">
        <v>21</v>
      </c>
      <c r="G196" s="2" t="s">
        <v>24</v>
      </c>
      <c r="H196" s="2">
        <v>80.050550209999997</v>
      </c>
      <c r="I196" s="2">
        <v>1.3506493509999999</v>
      </c>
      <c r="J196" s="2">
        <v>7.1893939390000003</v>
      </c>
      <c r="K196" s="39">
        <v>11.94923698</v>
      </c>
      <c r="L196" s="39">
        <v>-4.7598430409999999</v>
      </c>
      <c r="M196" s="39">
        <v>0.18786692799999999</v>
      </c>
      <c r="N196" s="39">
        <v>1.7204102400000001</v>
      </c>
      <c r="O196" s="39">
        <v>-0.36976089000000001</v>
      </c>
    </row>
    <row r="197" spans="1:15" ht="15.75" x14ac:dyDescent="0.25">
      <c r="A197" s="42">
        <v>2233</v>
      </c>
      <c r="B197" s="2">
        <v>1</v>
      </c>
      <c r="C197" s="2">
        <v>2209</v>
      </c>
      <c r="D197" s="2" t="s">
        <v>37</v>
      </c>
      <c r="E197" s="2" t="s">
        <v>20</v>
      </c>
      <c r="F197" s="2" t="s">
        <v>21</v>
      </c>
      <c r="G197" s="2" t="s">
        <v>15</v>
      </c>
      <c r="H197" s="2">
        <v>86.067204570000001</v>
      </c>
      <c r="I197" s="2">
        <v>1.376623377</v>
      </c>
      <c r="J197" s="2">
        <v>14.39253731</v>
      </c>
      <c r="K197" s="39">
        <v>13.0657581</v>
      </c>
      <c r="L197" s="39">
        <v>1.3267792140000001</v>
      </c>
      <c r="M197" s="39">
        <v>9.5648415000000001E-2</v>
      </c>
      <c r="N197" s="39">
        <v>1.8768568569999999</v>
      </c>
      <c r="O197" s="39">
        <v>-0.50023348000000001</v>
      </c>
    </row>
    <row r="198" spans="1:15" ht="15.75" x14ac:dyDescent="0.25">
      <c r="A198" s="42">
        <v>2235</v>
      </c>
      <c r="B198" s="2">
        <v>2</v>
      </c>
      <c r="C198" s="2">
        <v>2209</v>
      </c>
      <c r="D198" s="2" t="s">
        <v>37</v>
      </c>
      <c r="E198" s="2" t="s">
        <v>20</v>
      </c>
      <c r="F198" s="2" t="s">
        <v>21</v>
      </c>
      <c r="G198" s="2" t="s">
        <v>15</v>
      </c>
      <c r="H198" s="2">
        <v>79.25822694</v>
      </c>
      <c r="I198" s="2">
        <v>2.2727272730000001</v>
      </c>
      <c r="J198" s="2">
        <v>10.852238809999999</v>
      </c>
      <c r="K198" s="39">
        <v>12.422149259999999</v>
      </c>
      <c r="L198" s="39">
        <v>-1.569910455</v>
      </c>
      <c r="M198" s="39">
        <v>0.209424738</v>
      </c>
      <c r="N198" s="39">
        <v>1.775158564</v>
      </c>
      <c r="O198" s="39">
        <v>0.497568709</v>
      </c>
    </row>
    <row r="199" spans="1:15" ht="15.75" x14ac:dyDescent="0.25">
      <c r="A199" s="42">
        <v>2236</v>
      </c>
      <c r="B199" s="2">
        <v>1</v>
      </c>
      <c r="C199" s="2">
        <v>2209</v>
      </c>
      <c r="D199" s="2" t="s">
        <v>37</v>
      </c>
      <c r="E199" s="2" t="s">
        <v>23</v>
      </c>
      <c r="F199" s="2" t="s">
        <v>21</v>
      </c>
      <c r="G199" s="2" t="s">
        <v>24</v>
      </c>
      <c r="H199" s="2">
        <v>89.213932740000004</v>
      </c>
      <c r="I199" s="2">
        <v>2.0714285710000002</v>
      </c>
      <c r="J199" s="2">
        <v>15.75373134</v>
      </c>
      <c r="K199" s="39">
        <v>14.106017659999999</v>
      </c>
      <c r="L199" s="39">
        <v>1.647713682</v>
      </c>
      <c r="M199" s="39">
        <v>0.13148812300000001</v>
      </c>
      <c r="N199" s="39">
        <v>1.9193636970000001</v>
      </c>
      <c r="O199" s="39">
        <v>0.15206487399999999</v>
      </c>
    </row>
    <row r="200" spans="1:15" ht="15.75" x14ac:dyDescent="0.25">
      <c r="A200" s="42">
        <v>2237</v>
      </c>
      <c r="B200" s="2">
        <v>1</v>
      </c>
      <c r="C200" s="2">
        <v>2209</v>
      </c>
      <c r="D200" s="2" t="s">
        <v>37</v>
      </c>
      <c r="E200" s="2" t="s">
        <v>23</v>
      </c>
      <c r="F200" s="2" t="s">
        <v>21</v>
      </c>
      <c r="G200" s="2" t="s">
        <v>24</v>
      </c>
      <c r="H200" s="2">
        <v>85.614336420000001</v>
      </c>
      <c r="I200" s="2">
        <v>1.6103896099999999</v>
      </c>
      <c r="J200" s="2">
        <v>14.87164179</v>
      </c>
      <c r="K200" s="39">
        <v>13.139616459999999</v>
      </c>
      <c r="L200" s="39">
        <v>1.7320253329999999</v>
      </c>
      <c r="M200" s="39">
        <v>0.108285933</v>
      </c>
      <c r="N200" s="39">
        <v>1.8817689529999999</v>
      </c>
      <c r="O200" s="39">
        <v>-0.271379343</v>
      </c>
    </row>
    <row r="201" spans="1:15" ht="15.75" x14ac:dyDescent="0.25">
      <c r="A201" s="42">
        <v>2238</v>
      </c>
      <c r="B201" s="2">
        <v>1</v>
      </c>
      <c r="C201" s="2">
        <v>2209</v>
      </c>
      <c r="D201" s="2" t="s">
        <v>37</v>
      </c>
      <c r="E201" s="2" t="s">
        <v>20</v>
      </c>
      <c r="F201" s="2" t="s">
        <v>21</v>
      </c>
      <c r="G201" s="2" t="s">
        <v>15</v>
      </c>
      <c r="H201" s="2">
        <v>85.98997962</v>
      </c>
      <c r="I201" s="2">
        <v>1.253246753</v>
      </c>
      <c r="J201" s="2">
        <v>11.32238806</v>
      </c>
      <c r="K201" s="39">
        <v>12.96900681</v>
      </c>
      <c r="L201" s="39">
        <v>-1.6466187539999999</v>
      </c>
      <c r="M201" s="39">
        <v>0.110687493</v>
      </c>
      <c r="N201" s="39">
        <v>1.82619329</v>
      </c>
      <c r="O201" s="39">
        <v>-0.57294653600000001</v>
      </c>
    </row>
    <row r="202" spans="1:15" ht="15.75" x14ac:dyDescent="0.25">
      <c r="A202" s="42">
        <v>2240</v>
      </c>
      <c r="B202" s="2">
        <v>2</v>
      </c>
      <c r="C202" s="2">
        <v>2209</v>
      </c>
      <c r="D202" s="2" t="s">
        <v>37</v>
      </c>
      <c r="E202" s="2" t="s">
        <v>23</v>
      </c>
      <c r="F202" s="2" t="s">
        <v>21</v>
      </c>
      <c r="G202" s="2" t="s">
        <v>24</v>
      </c>
      <c r="H202" s="2">
        <v>78.940558370000005</v>
      </c>
      <c r="I202" s="2">
        <v>2.0259740260000001</v>
      </c>
      <c r="J202" s="2">
        <v>11.03134328</v>
      </c>
      <c r="K202" s="39">
        <v>12.1988299</v>
      </c>
      <c r="L202" s="39">
        <v>-1.16748662</v>
      </c>
      <c r="M202" s="39">
        <v>0.18365614899999999</v>
      </c>
      <c r="N202" s="39">
        <v>1.776039345</v>
      </c>
      <c r="O202" s="39">
        <v>0.24993468099999999</v>
      </c>
    </row>
    <row r="203" spans="1:15" ht="15.75" x14ac:dyDescent="0.25">
      <c r="A203" s="42">
        <v>2241</v>
      </c>
      <c r="B203" s="2">
        <v>2</v>
      </c>
      <c r="C203" s="2">
        <v>2209</v>
      </c>
      <c r="D203" s="2" t="s">
        <v>37</v>
      </c>
      <c r="E203" s="2" t="s">
        <v>20</v>
      </c>
      <c r="F203" s="2" t="s">
        <v>21</v>
      </c>
      <c r="G203" s="2" t="s">
        <v>15</v>
      </c>
      <c r="H203" s="2">
        <v>91.190333100000004</v>
      </c>
      <c r="I203" s="2">
        <v>1.7922077919999999</v>
      </c>
      <c r="J203" s="2">
        <v>13.41515152</v>
      </c>
      <c r="K203" s="39">
        <v>14.280030440000001</v>
      </c>
      <c r="L203" s="39">
        <v>-0.86487892600000005</v>
      </c>
      <c r="M203" s="39">
        <v>0.13359579199999999</v>
      </c>
      <c r="N203" s="39">
        <v>1.893879321</v>
      </c>
      <c r="O203" s="39">
        <v>-0.101671529</v>
      </c>
    </row>
    <row r="204" spans="1:15" ht="15.75" x14ac:dyDescent="0.25">
      <c r="A204" s="42">
        <v>2244</v>
      </c>
      <c r="B204" s="2">
        <v>1</v>
      </c>
      <c r="C204" s="2">
        <v>2209</v>
      </c>
      <c r="D204" s="2" t="s">
        <v>37</v>
      </c>
      <c r="E204" s="2" t="s">
        <v>20</v>
      </c>
      <c r="F204" s="2" t="s">
        <v>21</v>
      </c>
      <c r="G204" s="2" t="s">
        <v>15</v>
      </c>
      <c r="H204" s="2">
        <v>81.391542720000004</v>
      </c>
      <c r="I204" s="2">
        <v>1.987012987</v>
      </c>
      <c r="J204" s="2">
        <v>16.333333329999999</v>
      </c>
      <c r="K204" s="39">
        <v>12.62047767</v>
      </c>
      <c r="L204" s="39">
        <v>3.7128556590000001</v>
      </c>
      <c r="M204" s="39">
        <v>0.121653856</v>
      </c>
      <c r="N204" s="39">
        <v>1.878458202</v>
      </c>
      <c r="O204" s="39">
        <v>0.108554785</v>
      </c>
    </row>
    <row r="205" spans="1:15" ht="15.75" x14ac:dyDescent="0.25">
      <c r="A205" s="42">
        <v>2245</v>
      </c>
      <c r="B205" s="2">
        <v>2</v>
      </c>
      <c r="C205" s="2">
        <v>2209</v>
      </c>
      <c r="D205" s="2" t="s">
        <v>37</v>
      </c>
      <c r="E205" s="2" t="s">
        <v>20</v>
      </c>
      <c r="F205" s="2" t="s">
        <v>21</v>
      </c>
      <c r="G205" s="2" t="s">
        <v>15</v>
      </c>
      <c r="H205" s="2">
        <v>69.280934860000002</v>
      </c>
      <c r="I205" s="2">
        <v>1.766233766</v>
      </c>
      <c r="J205" s="2">
        <v>7.7848484850000004</v>
      </c>
      <c r="K205" s="39">
        <v>10.26022287</v>
      </c>
      <c r="L205" s="39">
        <v>-2.4753743830000001</v>
      </c>
      <c r="M205" s="39">
        <v>0.226880943</v>
      </c>
      <c r="N205" s="39">
        <v>1.660783645</v>
      </c>
      <c r="O205" s="39">
        <v>0.10545012199999999</v>
      </c>
    </row>
    <row r="206" spans="1:15" ht="15.75" x14ac:dyDescent="0.25">
      <c r="A206" s="42">
        <v>2246</v>
      </c>
      <c r="B206" s="2">
        <v>2</v>
      </c>
      <c r="C206" s="2">
        <v>2209</v>
      </c>
      <c r="D206" s="2" t="s">
        <v>37</v>
      </c>
      <c r="E206" s="2" t="s">
        <v>20</v>
      </c>
      <c r="F206" s="2" t="s">
        <v>21</v>
      </c>
      <c r="G206" s="2" t="s">
        <v>15</v>
      </c>
      <c r="H206" s="2">
        <v>91.871142689999999</v>
      </c>
      <c r="I206" s="2">
        <v>2.0584415580000002</v>
      </c>
      <c r="J206" s="2">
        <v>14.60447761</v>
      </c>
      <c r="K206" s="39">
        <v>14.582737420000001</v>
      </c>
      <c r="L206" s="39">
        <v>2.1740188000000001E-2</v>
      </c>
      <c r="M206" s="39">
        <v>0.140945922</v>
      </c>
      <c r="N206" s="39">
        <v>1.9176973230000001</v>
      </c>
      <c r="O206" s="39">
        <v>0.140744235</v>
      </c>
    </row>
    <row r="207" spans="1:15" ht="18.75" x14ac:dyDescent="0.25">
      <c r="A207" s="25">
        <v>3003</v>
      </c>
      <c r="B207" s="39">
        <v>3</v>
      </c>
      <c r="C207" s="39">
        <v>2311</v>
      </c>
      <c r="D207" s="2" t="s">
        <v>37</v>
      </c>
      <c r="E207" s="39" t="s">
        <v>20</v>
      </c>
      <c r="F207" s="23" t="s">
        <v>21</v>
      </c>
      <c r="G207" s="39" t="s">
        <v>15</v>
      </c>
      <c r="H207" s="39">
        <v>90.489601339999993</v>
      </c>
      <c r="I207" s="39">
        <v>1.746753247</v>
      </c>
      <c r="J207" s="39">
        <v>15.621126759999999</v>
      </c>
      <c r="K207" s="39">
        <v>14.926391929999999</v>
      </c>
      <c r="L207" s="39">
        <v>0.69473483400000002</v>
      </c>
      <c r="M207" s="39">
        <v>0.111819927</v>
      </c>
      <c r="N207" s="39">
        <v>2.0750407530000001</v>
      </c>
      <c r="O207" s="39">
        <v>-0.32828750600000001</v>
      </c>
    </row>
    <row r="208" spans="1:15" ht="18.75" x14ac:dyDescent="0.25">
      <c r="A208" s="25">
        <v>3004</v>
      </c>
      <c r="B208" s="39">
        <v>4</v>
      </c>
      <c r="C208" s="39">
        <v>2311</v>
      </c>
      <c r="D208" s="2" t="s">
        <v>37</v>
      </c>
      <c r="E208" s="39" t="s">
        <v>23</v>
      </c>
      <c r="F208" s="23" t="s">
        <v>21</v>
      </c>
      <c r="G208" s="39" t="s">
        <v>24</v>
      </c>
      <c r="H208" s="39">
        <v>84.816396510000004</v>
      </c>
      <c r="I208" s="39">
        <v>1.7857142859999999</v>
      </c>
      <c r="J208" s="39">
        <v>14.369014079999999</v>
      </c>
      <c r="K208" s="39">
        <v>14.12415326</v>
      </c>
      <c r="L208" s="39">
        <v>0.244860829</v>
      </c>
      <c r="M208" s="39">
        <v>0.12427535200000001</v>
      </c>
      <c r="N208" s="39">
        <v>2.0815077290000001</v>
      </c>
      <c r="O208" s="39">
        <v>-0.29579344299999999</v>
      </c>
    </row>
    <row r="209" spans="1:15" ht="18.75" x14ac:dyDescent="0.25">
      <c r="A209" s="25">
        <v>3005</v>
      </c>
      <c r="B209" s="39">
        <v>3</v>
      </c>
      <c r="C209" s="39">
        <v>2311</v>
      </c>
      <c r="D209" s="2" t="s">
        <v>37</v>
      </c>
      <c r="E209" s="39" t="s">
        <v>23</v>
      </c>
      <c r="F209" s="23" t="s">
        <v>21</v>
      </c>
      <c r="G209" s="39" t="s">
        <v>24</v>
      </c>
      <c r="H209" s="39">
        <v>94.685534009999998</v>
      </c>
      <c r="I209" s="39">
        <v>2.006493506</v>
      </c>
      <c r="J209" s="39">
        <v>16.38028169</v>
      </c>
      <c r="K209" s="39">
        <v>16.189135820000001</v>
      </c>
      <c r="L209" s="39">
        <v>0.19114587299999999</v>
      </c>
      <c r="M209" s="39">
        <v>0.12249444499999999</v>
      </c>
      <c r="N209" s="39">
        <v>2.0570531519999999</v>
      </c>
      <c r="O209" s="39">
        <v>-5.0559645E-2</v>
      </c>
    </row>
    <row r="210" spans="1:15" ht="18.75" x14ac:dyDescent="0.25">
      <c r="A210" s="25">
        <v>3007</v>
      </c>
      <c r="B210" s="39">
        <v>4</v>
      </c>
      <c r="C210" s="39">
        <v>2311</v>
      </c>
      <c r="D210" s="2" t="s">
        <v>37</v>
      </c>
      <c r="E210" s="39" t="s">
        <v>23</v>
      </c>
      <c r="F210" s="23" t="s">
        <v>21</v>
      </c>
      <c r="G210" s="39" t="s">
        <v>24</v>
      </c>
      <c r="H210" s="39">
        <v>86.745792350000002</v>
      </c>
      <c r="I210" s="39">
        <v>1.733766234</v>
      </c>
      <c r="J210" s="39">
        <v>13.79428571</v>
      </c>
      <c r="K210" s="39">
        <v>14.30721323</v>
      </c>
      <c r="L210" s="39">
        <v>-0.51292751299999995</v>
      </c>
      <c r="M210" s="39">
        <v>0.12568727900000001</v>
      </c>
      <c r="N210" s="39">
        <v>2.0001542049999999</v>
      </c>
      <c r="O210" s="39">
        <v>-0.266387971</v>
      </c>
    </row>
    <row r="211" spans="1:15" ht="18.75" x14ac:dyDescent="0.25">
      <c r="A211" s="25">
        <v>3010</v>
      </c>
      <c r="B211" s="39">
        <v>4</v>
      </c>
      <c r="C211" s="39">
        <v>2311</v>
      </c>
      <c r="D211" s="2" t="s">
        <v>37</v>
      </c>
      <c r="E211" s="39" t="s">
        <v>20</v>
      </c>
      <c r="F211" s="23" t="s">
        <v>21</v>
      </c>
      <c r="G211" s="39" t="s">
        <v>15</v>
      </c>
      <c r="H211" s="39">
        <v>92.956957169999995</v>
      </c>
      <c r="I211" s="39">
        <v>1.5389610389999999</v>
      </c>
      <c r="J211" s="39">
        <v>14.41549296</v>
      </c>
      <c r="K211" s="39">
        <v>14.83256102</v>
      </c>
      <c r="L211" s="39">
        <v>-0.41706805899999999</v>
      </c>
      <c r="M211" s="39">
        <v>0.106757434</v>
      </c>
      <c r="N211" s="39">
        <v>1.9337702450000001</v>
      </c>
      <c r="O211" s="39">
        <v>-0.39480920600000002</v>
      </c>
    </row>
    <row r="212" spans="1:15" ht="18.75" x14ac:dyDescent="0.25">
      <c r="A212" s="25">
        <v>3014</v>
      </c>
      <c r="B212" s="39">
        <v>3</v>
      </c>
      <c r="C212" s="39">
        <v>2311</v>
      </c>
      <c r="D212" s="2" t="s">
        <v>37</v>
      </c>
      <c r="E212" s="39" t="s">
        <v>23</v>
      </c>
      <c r="F212" s="23" t="s">
        <v>21</v>
      </c>
      <c r="G212" s="39" t="s">
        <v>24</v>
      </c>
      <c r="H212" s="39">
        <v>95.617460550000004</v>
      </c>
      <c r="I212" s="39">
        <v>1.8896103900000001</v>
      </c>
      <c r="J212" s="39">
        <v>14.89014085</v>
      </c>
      <c r="K212" s="39">
        <v>16.064615010000001</v>
      </c>
      <c r="L212" s="39">
        <v>-1.174474163</v>
      </c>
      <c r="M212" s="39">
        <v>0.12690346</v>
      </c>
      <c r="N212" s="39">
        <v>1.921834276</v>
      </c>
      <c r="O212" s="39">
        <v>-3.2223886E-2</v>
      </c>
    </row>
    <row r="213" spans="1:15" ht="18.75" x14ac:dyDescent="0.25">
      <c r="A213" s="25">
        <v>3015</v>
      </c>
      <c r="B213" s="39">
        <v>3</v>
      </c>
      <c r="C213" s="39">
        <v>2311</v>
      </c>
      <c r="D213" s="2" t="s">
        <v>37</v>
      </c>
      <c r="E213" s="39" t="s">
        <v>20</v>
      </c>
      <c r="F213" s="23" t="s">
        <v>21</v>
      </c>
      <c r="G213" s="39" t="s">
        <v>15</v>
      </c>
      <c r="H213" s="39">
        <v>95.187718590000003</v>
      </c>
      <c r="I213" s="39">
        <v>1.8506493509999999</v>
      </c>
      <c r="J213" s="39">
        <v>16.39577465</v>
      </c>
      <c r="K213" s="39">
        <v>15.90661603</v>
      </c>
      <c r="L213" s="39">
        <v>0.48915861599999999</v>
      </c>
      <c r="M213" s="39">
        <v>0.112873554</v>
      </c>
      <c r="N213" s="39">
        <v>2.0489381670000002</v>
      </c>
      <c r="O213" s="39">
        <v>-0.19828881600000001</v>
      </c>
    </row>
    <row r="214" spans="1:15" ht="18.75" x14ac:dyDescent="0.25">
      <c r="A214" s="25">
        <v>3021</v>
      </c>
      <c r="B214" s="39">
        <v>3</v>
      </c>
      <c r="C214" s="39">
        <v>2311</v>
      </c>
      <c r="D214" s="2" t="s">
        <v>37</v>
      </c>
      <c r="E214" s="39" t="s">
        <v>23</v>
      </c>
      <c r="F214" s="23" t="s">
        <v>21</v>
      </c>
      <c r="G214" s="39" t="s">
        <v>24</v>
      </c>
      <c r="H214" s="39">
        <v>74.314092880000004</v>
      </c>
      <c r="I214" s="39">
        <v>1.883116883</v>
      </c>
      <c r="J214" s="39">
        <v>11.726760560000001</v>
      </c>
      <c r="K214" s="39">
        <v>12.697679239999999</v>
      </c>
      <c r="L214" s="39">
        <v>-0.97091868000000003</v>
      </c>
      <c r="M214" s="39">
        <v>0.16058287099999999</v>
      </c>
      <c r="N214" s="39">
        <v>2.0678219009999999</v>
      </c>
      <c r="O214" s="39">
        <v>-0.184705018</v>
      </c>
    </row>
    <row r="215" spans="1:15" ht="18.75" x14ac:dyDescent="0.25">
      <c r="A215" s="25">
        <v>3022</v>
      </c>
      <c r="B215" s="39">
        <v>4</v>
      </c>
      <c r="C215" s="39">
        <v>2311</v>
      </c>
      <c r="D215" s="2" t="s">
        <v>37</v>
      </c>
      <c r="E215" s="39" t="s">
        <v>20</v>
      </c>
      <c r="F215" s="23" t="s">
        <v>21</v>
      </c>
      <c r="G215" s="39" t="s">
        <v>15</v>
      </c>
      <c r="H215" s="39">
        <v>90.635356430000002</v>
      </c>
      <c r="I215" s="39">
        <v>1.4090909089999999</v>
      </c>
      <c r="J215" s="39">
        <v>14.52394366</v>
      </c>
      <c r="K215" s="39">
        <v>14.166002430000001</v>
      </c>
      <c r="L215" s="39">
        <v>0.35794122699999997</v>
      </c>
      <c r="M215" s="39">
        <v>9.7018478000000005E-2</v>
      </c>
      <c r="N215" s="39">
        <v>1.985531554</v>
      </c>
      <c r="O215" s="39">
        <v>-0.57644064399999995</v>
      </c>
    </row>
    <row r="216" spans="1:15" ht="18.75" x14ac:dyDescent="0.25">
      <c r="A216" s="25">
        <v>3023</v>
      </c>
      <c r="B216" s="39">
        <v>4</v>
      </c>
      <c r="C216" s="39">
        <v>2311</v>
      </c>
      <c r="D216" s="2" t="s">
        <v>37</v>
      </c>
      <c r="E216" s="39" t="s">
        <v>23</v>
      </c>
      <c r="F216" s="23" t="s">
        <v>21</v>
      </c>
      <c r="G216" s="39" t="s">
        <v>24</v>
      </c>
      <c r="H216" s="39">
        <v>91.435619119999998</v>
      </c>
      <c r="I216" s="39">
        <v>1.9415584420000001</v>
      </c>
      <c r="J216" s="39">
        <v>11.56666667</v>
      </c>
      <c r="K216" s="39">
        <v>15.52715525</v>
      </c>
      <c r="L216" s="39">
        <v>-3.9604885809999999</v>
      </c>
      <c r="M216" s="39">
        <v>0.16785807899999999</v>
      </c>
      <c r="N216" s="39">
        <v>1.7366964840000001</v>
      </c>
      <c r="O216" s="39">
        <v>0.20486195700000001</v>
      </c>
    </row>
    <row r="217" spans="1:15" ht="18.75" x14ac:dyDescent="0.25">
      <c r="A217" s="25">
        <v>3112</v>
      </c>
      <c r="B217" s="39">
        <v>4</v>
      </c>
      <c r="C217" s="39">
        <v>2311</v>
      </c>
      <c r="D217" s="2" t="s">
        <v>37</v>
      </c>
      <c r="E217" s="39" t="s">
        <v>20</v>
      </c>
      <c r="F217" s="23" t="s">
        <v>21</v>
      </c>
      <c r="G217" s="39" t="s">
        <v>15</v>
      </c>
      <c r="H217" s="39">
        <v>93.390099169999999</v>
      </c>
      <c r="I217" s="39">
        <v>2.123376623</v>
      </c>
      <c r="J217" s="39">
        <v>13.46197183</v>
      </c>
      <c r="K217" s="39">
        <v>16.25646223</v>
      </c>
      <c r="L217" s="39">
        <v>-2.7944903989999998</v>
      </c>
      <c r="M217" s="39">
        <v>0.15773147100000001</v>
      </c>
      <c r="N217" s="39">
        <v>1.850280747</v>
      </c>
      <c r="O217" s="39">
        <v>0.27309587600000002</v>
      </c>
    </row>
    <row r="218" spans="1:15" ht="18.75" x14ac:dyDescent="0.25">
      <c r="A218" s="25">
        <v>3114</v>
      </c>
      <c r="B218" s="39">
        <v>3</v>
      </c>
      <c r="C218" s="39">
        <v>2311</v>
      </c>
      <c r="D218" s="2" t="s">
        <v>37</v>
      </c>
      <c r="E218" s="39" t="s">
        <v>23</v>
      </c>
      <c r="F218" s="23" t="s">
        <v>21</v>
      </c>
      <c r="G218" s="39" t="s">
        <v>24</v>
      </c>
      <c r="H218" s="39">
        <v>84.219796259999995</v>
      </c>
      <c r="I218" s="39">
        <v>2.2857142860000002</v>
      </c>
      <c r="J218" s="39">
        <v>13.2915493</v>
      </c>
      <c r="K218" s="39">
        <v>15.190204169999999</v>
      </c>
      <c r="L218" s="39">
        <v>-1.8986548759999999</v>
      </c>
      <c r="M218" s="39">
        <v>0.171967484</v>
      </c>
      <c r="N218" s="39">
        <v>2.0073662539999999</v>
      </c>
      <c r="O218" s="39">
        <v>0.278348031</v>
      </c>
    </row>
    <row r="219" spans="1:15" ht="18.75" x14ac:dyDescent="0.25">
      <c r="A219" s="25">
        <v>3115</v>
      </c>
      <c r="B219" s="39">
        <v>3</v>
      </c>
      <c r="C219" s="39">
        <v>2311</v>
      </c>
      <c r="D219" s="2" t="s">
        <v>37</v>
      </c>
      <c r="E219" s="39" t="s">
        <v>20</v>
      </c>
      <c r="F219" s="23" t="s">
        <v>21</v>
      </c>
      <c r="G219" s="39" t="s">
        <v>15</v>
      </c>
      <c r="H219" s="39">
        <v>77.560092510000004</v>
      </c>
      <c r="I219" s="39">
        <v>2.493506494</v>
      </c>
      <c r="J219" s="39">
        <v>14.63239437</v>
      </c>
      <c r="K219" s="39">
        <v>14.62441106</v>
      </c>
      <c r="L219" s="39">
        <v>7.9833079999999997E-3</v>
      </c>
      <c r="M219" s="39">
        <v>0.170410012</v>
      </c>
      <c r="N219" s="39">
        <v>2.2373109979999999</v>
      </c>
      <c r="O219" s="39">
        <v>0.25619549600000002</v>
      </c>
    </row>
    <row r="220" spans="1:15" ht="18.75" x14ac:dyDescent="0.25">
      <c r="A220" s="25">
        <v>3116</v>
      </c>
      <c r="B220" s="39">
        <v>4</v>
      </c>
      <c r="C220" s="39">
        <v>2311</v>
      </c>
      <c r="D220" s="2" t="s">
        <v>37</v>
      </c>
      <c r="E220" s="39" t="s">
        <v>23</v>
      </c>
      <c r="F220" s="23" t="s">
        <v>21</v>
      </c>
      <c r="G220" s="39" t="s">
        <v>24</v>
      </c>
      <c r="H220" s="39">
        <v>91.362964669999997</v>
      </c>
      <c r="I220" s="39">
        <v>1.811688312</v>
      </c>
      <c r="J220" s="39">
        <v>16.190140849999999</v>
      </c>
      <c r="K220" s="39">
        <v>15.21444587</v>
      </c>
      <c r="L220" s="39">
        <v>0.97569497100000002</v>
      </c>
      <c r="M220" s="39">
        <v>0.111900713</v>
      </c>
      <c r="N220" s="39">
        <v>2.103810899</v>
      </c>
      <c r="O220" s="39">
        <v>-0.29212258800000002</v>
      </c>
    </row>
    <row r="221" spans="1:15" ht="18.75" x14ac:dyDescent="0.25">
      <c r="A221" s="25">
        <v>3118</v>
      </c>
      <c r="B221" s="39">
        <v>4</v>
      </c>
      <c r="C221" s="39">
        <v>2311</v>
      </c>
      <c r="D221" s="2" t="s">
        <v>37</v>
      </c>
      <c r="E221" s="39" t="s">
        <v>20</v>
      </c>
      <c r="F221" s="23" t="s">
        <v>21</v>
      </c>
      <c r="G221" s="39" t="s">
        <v>15</v>
      </c>
      <c r="H221" s="39">
        <v>103.73523470000001</v>
      </c>
      <c r="I221" s="39">
        <v>2.2857142860000002</v>
      </c>
      <c r="J221" s="39">
        <v>17.941428569999999</v>
      </c>
      <c r="K221" s="39">
        <v>18.260763260000001</v>
      </c>
      <c r="L221" s="39">
        <v>-0.31933468999999998</v>
      </c>
      <c r="M221" s="39">
        <v>0.12739867799999999</v>
      </c>
      <c r="N221" s="39">
        <v>2.0122310479999999</v>
      </c>
      <c r="O221" s="39">
        <v>0.27348323699999999</v>
      </c>
    </row>
    <row r="222" spans="1:15" ht="18.75" x14ac:dyDescent="0.25">
      <c r="A222" s="25">
        <v>3119</v>
      </c>
      <c r="B222" s="39">
        <v>3</v>
      </c>
      <c r="C222" s="39">
        <v>2311</v>
      </c>
      <c r="D222" s="2" t="s">
        <v>37</v>
      </c>
      <c r="E222" s="39" t="s">
        <v>20</v>
      </c>
      <c r="F222" s="23" t="s">
        <v>21</v>
      </c>
      <c r="G222" s="39" t="s">
        <v>15</v>
      </c>
      <c r="H222" s="39">
        <v>95.617460550000004</v>
      </c>
      <c r="I222" s="39">
        <v>2.1558441560000001</v>
      </c>
      <c r="J222" s="39">
        <v>17.781690139999998</v>
      </c>
      <c r="K222" s="39">
        <v>16.682234749999999</v>
      </c>
      <c r="L222" s="39">
        <v>1.0994553920000001</v>
      </c>
      <c r="M222" s="39">
        <v>0.121239553</v>
      </c>
      <c r="N222" s="39">
        <v>2.1505847409999999</v>
      </c>
      <c r="O222" s="39">
        <v>5.2594149999999999E-3</v>
      </c>
    </row>
    <row r="223" spans="1:15" ht="18.75" x14ac:dyDescent="0.25">
      <c r="A223" s="25">
        <v>3143</v>
      </c>
      <c r="B223" s="39">
        <v>3</v>
      </c>
      <c r="C223" s="39">
        <v>2311</v>
      </c>
      <c r="D223" s="2" t="s">
        <v>37</v>
      </c>
      <c r="E223" s="39" t="s">
        <v>20</v>
      </c>
      <c r="F223" s="23" t="s">
        <v>21</v>
      </c>
      <c r="G223" s="39" t="s">
        <v>15</v>
      </c>
      <c r="H223" s="39">
        <v>93.390099169999999</v>
      </c>
      <c r="I223" s="39">
        <v>2.233766234</v>
      </c>
      <c r="J223" s="39">
        <v>18.5</v>
      </c>
      <c r="K223" s="39">
        <v>16.512548460000001</v>
      </c>
      <c r="L223" s="39">
        <v>1.987451536</v>
      </c>
      <c r="M223" s="39">
        <v>0.120744121</v>
      </c>
      <c r="N223" s="39">
        <v>2.2488391550000002</v>
      </c>
      <c r="O223" s="39">
        <v>-1.5072922000000001E-2</v>
      </c>
    </row>
    <row r="224" spans="1:15" ht="18.75" x14ac:dyDescent="0.25">
      <c r="A224" s="25">
        <v>3144</v>
      </c>
      <c r="B224" s="39">
        <v>4</v>
      </c>
      <c r="C224" s="39">
        <v>2311</v>
      </c>
      <c r="D224" s="2" t="s">
        <v>37</v>
      </c>
      <c r="E224" s="39" t="s">
        <v>23</v>
      </c>
      <c r="F224" s="23" t="s">
        <v>21</v>
      </c>
      <c r="G224" s="39" t="s">
        <v>24</v>
      </c>
      <c r="H224" s="39">
        <v>94.038560160000003</v>
      </c>
      <c r="I224" s="39">
        <v>2.0584415580000002</v>
      </c>
      <c r="J224" s="39">
        <v>14.057142860000001</v>
      </c>
      <c r="K224" s="39">
        <v>16.207852119999998</v>
      </c>
      <c r="L224" s="39">
        <v>-2.150709263</v>
      </c>
      <c r="M224" s="39">
        <v>0.146433851</v>
      </c>
      <c r="N224" s="39">
        <v>1.8853033530000001</v>
      </c>
      <c r="O224" s="39">
        <v>0.17313820599999999</v>
      </c>
    </row>
    <row r="225" spans="1:15" ht="18.75" x14ac:dyDescent="0.25">
      <c r="A225" s="25">
        <v>3150</v>
      </c>
      <c r="B225" s="39">
        <v>4</v>
      </c>
      <c r="C225" s="39">
        <v>2311</v>
      </c>
      <c r="D225" s="2" t="s">
        <v>37</v>
      </c>
      <c r="E225" s="39" t="s">
        <v>20</v>
      </c>
      <c r="F225" s="23" t="s">
        <v>21</v>
      </c>
      <c r="G225" s="39" t="s">
        <v>15</v>
      </c>
      <c r="H225" s="39">
        <v>87.1890018</v>
      </c>
      <c r="I225" s="39">
        <v>1.798701299</v>
      </c>
      <c r="J225" s="39">
        <v>14.52957746</v>
      </c>
      <c r="K225" s="39">
        <v>14.52758676</v>
      </c>
      <c r="L225" s="39">
        <v>1.9907010000000001E-3</v>
      </c>
      <c r="M225" s="39">
        <v>0.123795844</v>
      </c>
      <c r="N225" s="39">
        <v>2.0500794400000002</v>
      </c>
      <c r="O225" s="39">
        <v>-0.251378141</v>
      </c>
    </row>
    <row r="226" spans="1:15" ht="18.75" x14ac:dyDescent="0.25">
      <c r="A226" s="25">
        <v>3158</v>
      </c>
      <c r="B226" s="39">
        <v>3</v>
      </c>
      <c r="C226" s="39">
        <v>2311</v>
      </c>
      <c r="D226" s="2" t="s">
        <v>37</v>
      </c>
      <c r="E226" s="39" t="s">
        <v>20</v>
      </c>
      <c r="F226" s="23" t="s">
        <v>21</v>
      </c>
      <c r="G226" s="39" t="s">
        <v>15</v>
      </c>
      <c r="H226" s="39">
        <v>87.999609800000002</v>
      </c>
      <c r="I226" s="39">
        <v>2.0584415580000002</v>
      </c>
      <c r="J226" s="39">
        <v>15.46056338</v>
      </c>
      <c r="K226" s="39">
        <v>15.25768367</v>
      </c>
      <c r="L226" s="39">
        <v>0.20287970899999999</v>
      </c>
      <c r="M226" s="39">
        <v>0.133141433</v>
      </c>
      <c r="N226" s="39">
        <v>2.108652427</v>
      </c>
      <c r="O226" s="39">
        <v>-5.0210867999999999E-2</v>
      </c>
    </row>
    <row r="227" spans="1:15" ht="18.75" x14ac:dyDescent="0.25">
      <c r="A227" s="25">
        <v>3210</v>
      </c>
      <c r="B227" s="39">
        <v>4</v>
      </c>
      <c r="C227" s="39">
        <v>2311</v>
      </c>
      <c r="D227" s="2" t="s">
        <v>37</v>
      </c>
      <c r="E227" s="39" t="s">
        <v>20</v>
      </c>
      <c r="F227" s="23" t="s">
        <v>21</v>
      </c>
      <c r="G227" s="39" t="s">
        <v>15</v>
      </c>
      <c r="H227" s="39">
        <v>101.5684402</v>
      </c>
      <c r="I227" s="39">
        <v>1.9025974029999999</v>
      </c>
      <c r="J227" s="39">
        <v>15.628571429999999</v>
      </c>
      <c r="K227" s="39">
        <v>17.031069939999998</v>
      </c>
      <c r="L227" s="39">
        <v>-1.402498515</v>
      </c>
      <c r="M227" s="39">
        <v>0.12173840800000001</v>
      </c>
      <c r="N227" s="39">
        <v>1.869563297</v>
      </c>
      <c r="O227" s="39">
        <v>3.3034105000000001E-2</v>
      </c>
    </row>
    <row r="228" spans="1:15" ht="18.75" x14ac:dyDescent="0.25">
      <c r="A228" s="25">
        <v>3216</v>
      </c>
      <c r="B228" s="39">
        <v>3</v>
      </c>
      <c r="C228" s="39">
        <v>2311</v>
      </c>
      <c r="D228" s="2" t="s">
        <v>37</v>
      </c>
      <c r="E228" s="39" t="s">
        <v>23</v>
      </c>
      <c r="F228" s="23" t="s">
        <v>21</v>
      </c>
      <c r="G228" s="39" t="s">
        <v>24</v>
      </c>
      <c r="H228" s="39">
        <v>93.101412440000004</v>
      </c>
      <c r="I228" s="39">
        <v>2.1688311690000002</v>
      </c>
      <c r="J228" s="39">
        <v>17.22394366</v>
      </c>
      <c r="K228" s="39">
        <v>16.31648753</v>
      </c>
      <c r="L228" s="39">
        <v>0.90745612899999994</v>
      </c>
      <c r="M228" s="39">
        <v>0.12591954599999999</v>
      </c>
      <c r="N228" s="39">
        <v>2.1532599120000002</v>
      </c>
      <c r="O228" s="39">
        <v>1.5571257E-2</v>
      </c>
    </row>
    <row r="229" spans="1:15" ht="18.75" x14ac:dyDescent="0.25">
      <c r="A229" s="25">
        <v>3221</v>
      </c>
      <c r="B229" s="39">
        <v>4</v>
      </c>
      <c r="C229" s="39">
        <v>2311</v>
      </c>
      <c r="D229" s="2" t="s">
        <v>37</v>
      </c>
      <c r="E229" s="39" t="s">
        <v>20</v>
      </c>
      <c r="F229" s="23" t="s">
        <v>21</v>
      </c>
      <c r="G229" s="39" t="s">
        <v>15</v>
      </c>
      <c r="H229" s="39">
        <v>92.450772839999999</v>
      </c>
      <c r="I229" s="39">
        <v>2.0844155839999998</v>
      </c>
      <c r="J229" s="39">
        <v>15.08142857</v>
      </c>
      <c r="K229" s="39">
        <v>16.018285250000002</v>
      </c>
      <c r="L229" s="39">
        <v>-0.936856676</v>
      </c>
      <c r="M229" s="39">
        <v>0.13821075199999999</v>
      </c>
      <c r="N229" s="39">
        <v>1.99586744</v>
      </c>
      <c r="O229" s="39">
        <v>8.8548144999999995E-2</v>
      </c>
    </row>
    <row r="230" spans="1:15" ht="18.75" x14ac:dyDescent="0.25">
      <c r="A230" s="25">
        <v>3225</v>
      </c>
      <c r="B230" s="39">
        <v>4</v>
      </c>
      <c r="C230" s="39">
        <v>2311</v>
      </c>
      <c r="D230" s="2" t="s">
        <v>37</v>
      </c>
      <c r="E230" s="39" t="s">
        <v>23</v>
      </c>
      <c r="F230" s="23" t="s">
        <v>21</v>
      </c>
      <c r="G230" s="39" t="s">
        <v>24</v>
      </c>
      <c r="H230" s="39">
        <v>93.534331010000002</v>
      </c>
      <c r="I230" s="39">
        <v>1.9610389610000001</v>
      </c>
      <c r="J230" s="39">
        <v>14.785915490000001</v>
      </c>
      <c r="K230" s="39">
        <v>15.902558259999999</v>
      </c>
      <c r="L230" s="39">
        <v>-1.116642771</v>
      </c>
      <c r="M230" s="39">
        <v>0.13262884999999999</v>
      </c>
      <c r="N230" s="39">
        <v>1.952335218</v>
      </c>
      <c r="O230" s="39">
        <v>8.7037429999999999E-3</v>
      </c>
    </row>
  </sheetData>
  <sortState xmlns:xlrd2="http://schemas.microsoft.com/office/spreadsheetml/2017/richdata2" ref="A2:O230">
    <sortCondition ref="D2:D230"/>
    <sortCondition ref="F2:F23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7D33-0404-4001-8274-182CE9DF6F61}">
  <dimension ref="A1:Z237"/>
  <sheetViews>
    <sheetView workbookViewId="0">
      <selection activeCell="Q1" sqref="Q1:Q1048576"/>
    </sheetView>
  </sheetViews>
  <sheetFormatPr defaultRowHeight="15" x14ac:dyDescent="0.25"/>
  <sheetData>
    <row r="1" spans="1:26" ht="15.75" x14ac:dyDescent="0.25">
      <c r="A1" s="33" t="s">
        <v>0</v>
      </c>
      <c r="B1" s="33" t="s">
        <v>8</v>
      </c>
      <c r="C1" s="33" t="s">
        <v>106</v>
      </c>
      <c r="D1" s="33" t="s">
        <v>49</v>
      </c>
      <c r="E1" s="33" t="s">
        <v>50</v>
      </c>
      <c r="F1" s="34" t="s">
        <v>107</v>
      </c>
      <c r="G1" s="34" t="s">
        <v>108</v>
      </c>
      <c r="H1" s="34" t="s">
        <v>109</v>
      </c>
      <c r="I1" s="34" t="s">
        <v>110</v>
      </c>
      <c r="J1" s="34" t="s">
        <v>111</v>
      </c>
      <c r="K1" s="34" t="s">
        <v>112</v>
      </c>
      <c r="L1" s="34" t="s">
        <v>113</v>
      </c>
      <c r="M1" s="34" t="s">
        <v>114</v>
      </c>
      <c r="N1" s="34" t="s">
        <v>115</v>
      </c>
      <c r="O1" s="34" t="s">
        <v>116</v>
      </c>
      <c r="P1" s="34" t="s">
        <v>117</v>
      </c>
      <c r="Q1" s="34" t="s">
        <v>118</v>
      </c>
      <c r="R1" s="34" t="s">
        <v>119</v>
      </c>
      <c r="S1" s="34" t="s">
        <v>120</v>
      </c>
      <c r="T1" s="34" t="s">
        <v>121</v>
      </c>
      <c r="U1" s="34" t="s">
        <v>122</v>
      </c>
      <c r="V1" s="34" t="s">
        <v>123</v>
      </c>
      <c r="W1" s="34" t="s">
        <v>124</v>
      </c>
      <c r="X1" s="34" t="s">
        <v>125</v>
      </c>
      <c r="Y1" s="34" t="s">
        <v>126</v>
      </c>
      <c r="Z1" s="34" t="s">
        <v>127</v>
      </c>
    </row>
    <row r="2" spans="1:26" ht="15.75" x14ac:dyDescent="0.25">
      <c r="A2" s="33">
        <v>2002</v>
      </c>
      <c r="B2" s="33">
        <v>2214</v>
      </c>
      <c r="C2" s="33" t="s">
        <v>14</v>
      </c>
      <c r="D2" s="33" t="s">
        <v>15</v>
      </c>
      <c r="E2" s="33" t="s">
        <v>15</v>
      </c>
      <c r="F2" s="34">
        <v>355.90909090000002</v>
      </c>
      <c r="G2" s="34">
        <v>383.63636359999998</v>
      </c>
      <c r="H2" s="34">
        <v>414.09090909999998</v>
      </c>
      <c r="I2" s="34">
        <v>441.81818179999999</v>
      </c>
      <c r="J2" s="34">
        <v>460.45454549999999</v>
      </c>
      <c r="K2" s="35">
        <v>485</v>
      </c>
      <c r="L2" s="34">
        <v>1.98</v>
      </c>
      <c r="M2" s="34">
        <v>2.08</v>
      </c>
      <c r="N2" s="34">
        <v>2.0499999999999998</v>
      </c>
      <c r="O2" s="34">
        <v>1.87</v>
      </c>
      <c r="P2" s="34">
        <v>1.84</v>
      </c>
      <c r="Q2" s="34">
        <v>2.1800000000000002</v>
      </c>
      <c r="R2" s="34">
        <v>2.08</v>
      </c>
      <c r="S2" s="34">
        <v>1.83</v>
      </c>
      <c r="T2" s="34">
        <v>1.81</v>
      </c>
      <c r="U2" s="34">
        <v>1.98</v>
      </c>
      <c r="V2" s="34">
        <v>1.66</v>
      </c>
      <c r="W2" s="34">
        <v>1.69</v>
      </c>
      <c r="X2" s="34">
        <v>1.33</v>
      </c>
      <c r="Y2" s="34">
        <v>1.54</v>
      </c>
      <c r="Z2" s="34">
        <v>1.75</v>
      </c>
    </row>
    <row r="3" spans="1:26" ht="15.75" x14ac:dyDescent="0.25">
      <c r="A3" s="33">
        <v>2003</v>
      </c>
      <c r="B3" s="33">
        <v>2214</v>
      </c>
      <c r="C3" s="33" t="s">
        <v>23</v>
      </c>
      <c r="D3" s="33" t="s">
        <v>21</v>
      </c>
      <c r="E3" s="33" t="s">
        <v>24</v>
      </c>
      <c r="F3" s="34">
        <v>324.09090909999998</v>
      </c>
      <c r="G3" s="34">
        <v>353.18181820000001</v>
      </c>
      <c r="H3" s="34">
        <v>389.09090909999998</v>
      </c>
      <c r="I3" s="34">
        <v>404.09090909999998</v>
      </c>
      <c r="J3" s="34">
        <v>428.63636359999998</v>
      </c>
      <c r="K3" s="35">
        <v>452.27272729999999</v>
      </c>
      <c r="L3" s="34">
        <v>2.08</v>
      </c>
      <c r="M3" s="34">
        <v>2.3199999999999998</v>
      </c>
      <c r="N3" s="34">
        <v>1.9</v>
      </c>
      <c r="O3" s="34">
        <v>1.87</v>
      </c>
      <c r="P3" s="34">
        <v>1.83</v>
      </c>
      <c r="Q3" s="34">
        <v>2.56</v>
      </c>
      <c r="R3" s="34">
        <v>1.82</v>
      </c>
      <c r="S3" s="34">
        <v>1.8</v>
      </c>
      <c r="T3" s="34">
        <v>1.77</v>
      </c>
      <c r="U3" s="34">
        <v>1.07</v>
      </c>
      <c r="V3" s="34">
        <v>1.41</v>
      </c>
      <c r="W3" s="34">
        <v>1.5</v>
      </c>
      <c r="X3" s="34">
        <v>1.75</v>
      </c>
      <c r="Y3" s="34">
        <v>1.72</v>
      </c>
      <c r="Z3" s="34">
        <v>1.69</v>
      </c>
    </row>
    <row r="4" spans="1:26" ht="15.75" x14ac:dyDescent="0.25">
      <c r="A4" s="33">
        <v>2006</v>
      </c>
      <c r="B4" s="33">
        <v>2214</v>
      </c>
      <c r="C4" s="33" t="s">
        <v>20</v>
      </c>
      <c r="D4" s="33" t="s">
        <v>21</v>
      </c>
      <c r="E4" s="33" t="s">
        <v>15</v>
      </c>
      <c r="F4" s="34">
        <v>391.81818179999999</v>
      </c>
      <c r="G4" s="34">
        <v>427.72727270000001</v>
      </c>
      <c r="H4" s="34">
        <v>465.90909090000002</v>
      </c>
      <c r="I4" s="34">
        <v>481.36363640000002</v>
      </c>
      <c r="J4" s="34">
        <v>508.18181820000001</v>
      </c>
      <c r="K4" s="35">
        <v>517.27272730000004</v>
      </c>
      <c r="L4" s="34">
        <v>2.56</v>
      </c>
      <c r="M4" s="34">
        <v>2.65</v>
      </c>
      <c r="N4" s="34">
        <v>2.13</v>
      </c>
      <c r="O4" s="34">
        <v>2.08</v>
      </c>
      <c r="P4" s="34">
        <v>1.79</v>
      </c>
      <c r="Q4" s="34">
        <v>2.73</v>
      </c>
      <c r="R4" s="34">
        <v>1.92</v>
      </c>
      <c r="S4" s="34">
        <v>1.92</v>
      </c>
      <c r="T4" s="34">
        <v>1.6</v>
      </c>
      <c r="U4" s="34">
        <v>1.1000000000000001</v>
      </c>
      <c r="V4" s="34">
        <v>1.51</v>
      </c>
      <c r="W4" s="34">
        <v>1.22</v>
      </c>
      <c r="X4" s="34">
        <v>1.92</v>
      </c>
      <c r="Y4" s="34">
        <v>1.28</v>
      </c>
      <c r="Z4" s="34">
        <v>0.65</v>
      </c>
    </row>
    <row r="5" spans="1:26" ht="15.75" x14ac:dyDescent="0.25">
      <c r="A5" s="33">
        <v>2015</v>
      </c>
      <c r="B5" s="33">
        <v>2214</v>
      </c>
      <c r="C5" s="33" t="s">
        <v>23</v>
      </c>
      <c r="D5" s="33" t="s">
        <v>21</v>
      </c>
      <c r="E5" s="33" t="s">
        <v>24</v>
      </c>
      <c r="F5" s="34">
        <v>365.45454549999999</v>
      </c>
      <c r="G5" s="34">
        <v>416.81818179999999</v>
      </c>
      <c r="H5" s="34">
        <v>449.54545450000001</v>
      </c>
      <c r="I5" s="34">
        <v>476.81818179999999</v>
      </c>
      <c r="J5" s="34">
        <v>499.09090909999998</v>
      </c>
      <c r="K5" s="35">
        <v>500.90909090000002</v>
      </c>
      <c r="L5" s="34">
        <v>3.67</v>
      </c>
      <c r="M5" s="34">
        <v>3</v>
      </c>
      <c r="N5" s="34">
        <v>2.65</v>
      </c>
      <c r="O5" s="34">
        <v>2.39</v>
      </c>
      <c r="P5" s="34">
        <v>1.94</v>
      </c>
      <c r="Q5" s="34">
        <v>2.34</v>
      </c>
      <c r="R5" s="34">
        <v>2.14</v>
      </c>
      <c r="S5" s="34">
        <v>1.96</v>
      </c>
      <c r="T5" s="34">
        <v>1.5</v>
      </c>
      <c r="U5" s="34">
        <v>1.95</v>
      </c>
      <c r="V5" s="34">
        <v>1.77</v>
      </c>
      <c r="W5" s="34">
        <v>1.22</v>
      </c>
      <c r="X5" s="34">
        <v>1.59</v>
      </c>
      <c r="Y5" s="34">
        <v>0.86</v>
      </c>
      <c r="Z5" s="34">
        <v>0.13</v>
      </c>
    </row>
    <row r="6" spans="1:26" ht="15.75" x14ac:dyDescent="0.25">
      <c r="A6" s="33">
        <v>2017</v>
      </c>
      <c r="B6" s="33">
        <v>2214</v>
      </c>
      <c r="C6" s="33" t="s">
        <v>23</v>
      </c>
      <c r="D6" s="33" t="s">
        <v>21</v>
      </c>
      <c r="E6" s="33" t="s">
        <v>24</v>
      </c>
      <c r="F6" s="34">
        <v>290</v>
      </c>
      <c r="G6" s="34">
        <v>310.90909090000002</v>
      </c>
      <c r="H6" s="34">
        <v>333.63636359999998</v>
      </c>
      <c r="I6" s="34">
        <v>352.27272729999999</v>
      </c>
      <c r="J6" s="34">
        <v>370.45454549999999</v>
      </c>
      <c r="K6" s="35">
        <v>372.72727270000001</v>
      </c>
      <c r="L6" s="34">
        <v>1.49</v>
      </c>
      <c r="M6" s="34">
        <v>1.56</v>
      </c>
      <c r="N6" s="34">
        <v>1.48</v>
      </c>
      <c r="O6" s="34">
        <v>1.44</v>
      </c>
      <c r="P6" s="34">
        <v>1.18</v>
      </c>
      <c r="Q6" s="34">
        <v>1.62</v>
      </c>
      <c r="R6" s="34">
        <v>1.48</v>
      </c>
      <c r="S6" s="34">
        <v>1.42</v>
      </c>
      <c r="T6" s="34">
        <v>1.1000000000000001</v>
      </c>
      <c r="U6" s="34">
        <v>1.33</v>
      </c>
      <c r="V6" s="34">
        <v>1.31</v>
      </c>
      <c r="W6" s="34">
        <v>0.93</v>
      </c>
      <c r="X6" s="34">
        <v>1.3</v>
      </c>
      <c r="Y6" s="34">
        <v>0.73</v>
      </c>
      <c r="Z6" s="34">
        <v>0.16</v>
      </c>
    </row>
    <row r="7" spans="1:26" ht="15.75" x14ac:dyDescent="0.25">
      <c r="A7" s="33">
        <v>2021</v>
      </c>
      <c r="B7" s="33">
        <v>2214</v>
      </c>
      <c r="C7" s="33" t="s">
        <v>23</v>
      </c>
      <c r="D7" s="33" t="s">
        <v>21</v>
      </c>
      <c r="E7" s="33" t="s">
        <v>24</v>
      </c>
      <c r="F7" s="34">
        <v>370.45454549999999</v>
      </c>
      <c r="G7" s="34">
        <v>420</v>
      </c>
      <c r="H7" s="34">
        <v>453.63636359999998</v>
      </c>
      <c r="I7" s="34">
        <v>480.90909090000002</v>
      </c>
      <c r="J7" s="34">
        <v>517.72727269999996</v>
      </c>
      <c r="K7" s="35">
        <v>484.54545450000001</v>
      </c>
      <c r="L7" s="34">
        <v>3.54</v>
      </c>
      <c r="M7" s="34">
        <v>2.97</v>
      </c>
      <c r="N7" s="34">
        <v>2.63</v>
      </c>
      <c r="O7" s="34">
        <v>2.63</v>
      </c>
      <c r="P7" s="34">
        <v>1.63</v>
      </c>
      <c r="Q7" s="34">
        <v>2.4</v>
      </c>
      <c r="R7" s="34">
        <v>2.1800000000000002</v>
      </c>
      <c r="S7" s="34">
        <v>2.33</v>
      </c>
      <c r="T7" s="34">
        <v>1.1499999999999999</v>
      </c>
      <c r="U7" s="34">
        <v>1.95</v>
      </c>
      <c r="V7" s="34">
        <v>2.29</v>
      </c>
      <c r="W7" s="34">
        <v>0.74</v>
      </c>
      <c r="X7" s="34">
        <v>2.63</v>
      </c>
      <c r="Y7" s="34">
        <v>0.13</v>
      </c>
      <c r="Z7" s="34">
        <v>-2.37</v>
      </c>
    </row>
    <row r="8" spans="1:26" ht="15.75" x14ac:dyDescent="0.25">
      <c r="A8" s="33">
        <v>2025</v>
      </c>
      <c r="B8" s="33">
        <v>2214</v>
      </c>
      <c r="C8" s="33" t="s">
        <v>23</v>
      </c>
      <c r="D8" s="33" t="s">
        <v>21</v>
      </c>
      <c r="E8" s="33" t="s">
        <v>24</v>
      </c>
      <c r="F8" s="34">
        <v>371.36363640000002</v>
      </c>
      <c r="G8" s="34">
        <v>411.81818179999999</v>
      </c>
      <c r="H8" s="34">
        <v>441.81818179999999</v>
      </c>
      <c r="I8" s="34">
        <v>473.18181820000001</v>
      </c>
      <c r="J8" s="34">
        <v>502.27272729999999</v>
      </c>
      <c r="K8" s="35">
        <v>501.36363640000002</v>
      </c>
      <c r="L8" s="34">
        <v>2.89</v>
      </c>
      <c r="M8" s="34">
        <v>2.52</v>
      </c>
      <c r="N8" s="34">
        <v>2.42</v>
      </c>
      <c r="O8" s="34">
        <v>2.34</v>
      </c>
      <c r="P8" s="34">
        <v>1.86</v>
      </c>
      <c r="Q8" s="34">
        <v>2.14</v>
      </c>
      <c r="R8" s="34">
        <v>2.19</v>
      </c>
      <c r="S8" s="34">
        <v>2.15</v>
      </c>
      <c r="T8" s="34">
        <v>1.6</v>
      </c>
      <c r="U8" s="34">
        <v>2.2400000000000002</v>
      </c>
      <c r="V8" s="34">
        <v>2.16</v>
      </c>
      <c r="W8" s="34">
        <v>1.42</v>
      </c>
      <c r="X8" s="34">
        <v>2.08</v>
      </c>
      <c r="Y8" s="34">
        <v>1.01</v>
      </c>
      <c r="Z8" s="34">
        <v>-0.06</v>
      </c>
    </row>
    <row r="9" spans="1:26" ht="15.75" x14ac:dyDescent="0.25">
      <c r="A9" s="33">
        <v>2027</v>
      </c>
      <c r="B9" s="33">
        <v>2214</v>
      </c>
      <c r="C9" s="33" t="s">
        <v>23</v>
      </c>
      <c r="D9" s="33" t="s">
        <v>21</v>
      </c>
      <c r="E9" s="33" t="s">
        <v>24</v>
      </c>
      <c r="F9" s="34">
        <v>312.72727270000001</v>
      </c>
      <c r="G9" s="34">
        <v>363.63636359999998</v>
      </c>
      <c r="H9" s="34">
        <v>392.72727270000001</v>
      </c>
      <c r="I9" s="34">
        <v>416.36363640000002</v>
      </c>
      <c r="J9" s="34">
        <v>428.18181820000001</v>
      </c>
      <c r="K9" s="35">
        <v>450.90909090000002</v>
      </c>
      <c r="L9" s="34">
        <v>3.64</v>
      </c>
      <c r="M9" s="34">
        <v>2.86</v>
      </c>
      <c r="N9" s="34">
        <v>2.4700000000000002</v>
      </c>
      <c r="O9" s="34">
        <v>2.06</v>
      </c>
      <c r="P9" s="34">
        <v>1.97</v>
      </c>
      <c r="Q9" s="34">
        <v>2.08</v>
      </c>
      <c r="R9" s="34">
        <v>1.88</v>
      </c>
      <c r="S9" s="34">
        <v>1.54</v>
      </c>
      <c r="T9" s="34">
        <v>1.56</v>
      </c>
      <c r="U9" s="34">
        <v>1.69</v>
      </c>
      <c r="V9" s="34">
        <v>1.27</v>
      </c>
      <c r="W9" s="34">
        <v>1.39</v>
      </c>
      <c r="X9" s="34">
        <v>0.84</v>
      </c>
      <c r="Y9" s="34">
        <v>1.23</v>
      </c>
      <c r="Z9" s="34">
        <v>1.62</v>
      </c>
    </row>
    <row r="10" spans="1:26" ht="15.75" x14ac:dyDescent="0.25">
      <c r="A10" s="33">
        <v>2029</v>
      </c>
      <c r="B10" s="33">
        <v>2214</v>
      </c>
      <c r="C10" s="33" t="s">
        <v>23</v>
      </c>
      <c r="D10" s="33" t="s">
        <v>21</v>
      </c>
      <c r="E10" s="33" t="s">
        <v>24</v>
      </c>
      <c r="F10" s="34">
        <v>335.90909090000002</v>
      </c>
      <c r="G10" s="34">
        <v>383.63636359999998</v>
      </c>
      <c r="H10" s="34">
        <v>412.72727270000001</v>
      </c>
      <c r="I10" s="34">
        <v>443.63636359999998</v>
      </c>
      <c r="J10" s="34">
        <v>478.18181820000001</v>
      </c>
      <c r="K10" s="35">
        <v>482.27272729999999</v>
      </c>
      <c r="L10" s="34">
        <v>3.41</v>
      </c>
      <c r="M10" s="34">
        <v>2.74</v>
      </c>
      <c r="N10" s="34">
        <v>2.56</v>
      </c>
      <c r="O10" s="34">
        <v>2.54</v>
      </c>
      <c r="P10" s="34">
        <v>2.09</v>
      </c>
      <c r="Q10" s="34">
        <v>2.08</v>
      </c>
      <c r="R10" s="34">
        <v>2.14</v>
      </c>
      <c r="S10" s="34">
        <v>2.25</v>
      </c>
      <c r="T10" s="34">
        <v>1.76</v>
      </c>
      <c r="U10" s="34">
        <v>2.21</v>
      </c>
      <c r="V10" s="34">
        <v>2.34</v>
      </c>
      <c r="W10" s="34">
        <v>1.66</v>
      </c>
      <c r="X10" s="34">
        <v>2.4700000000000002</v>
      </c>
      <c r="Y10" s="34">
        <v>1.38</v>
      </c>
      <c r="Z10" s="34">
        <v>0.28999999999999998</v>
      </c>
    </row>
    <row r="11" spans="1:26" ht="15.75" x14ac:dyDescent="0.25">
      <c r="A11" s="33">
        <v>2030</v>
      </c>
      <c r="B11" s="33">
        <v>2214</v>
      </c>
      <c r="C11" s="33" t="s">
        <v>23</v>
      </c>
      <c r="D11" s="33" t="s">
        <v>21</v>
      </c>
      <c r="E11" s="33" t="s">
        <v>24</v>
      </c>
      <c r="F11" s="34">
        <v>330.90909090000002</v>
      </c>
      <c r="G11" s="34">
        <v>368.18181820000001</v>
      </c>
      <c r="H11" s="34">
        <v>400.90909090000002</v>
      </c>
      <c r="I11" s="34">
        <v>435</v>
      </c>
      <c r="J11" s="34">
        <v>414.09090909999998</v>
      </c>
      <c r="K11" s="35">
        <v>478.18181820000001</v>
      </c>
      <c r="L11" s="34">
        <v>2.66</v>
      </c>
      <c r="M11" s="34">
        <v>2.5</v>
      </c>
      <c r="N11" s="34">
        <v>2.48</v>
      </c>
      <c r="O11" s="34">
        <v>1.49</v>
      </c>
      <c r="P11" s="34">
        <v>2.1</v>
      </c>
      <c r="Q11" s="34">
        <v>2.34</v>
      </c>
      <c r="R11" s="34">
        <v>2.39</v>
      </c>
      <c r="S11" s="34">
        <v>1.0900000000000001</v>
      </c>
      <c r="T11" s="34">
        <v>1.96</v>
      </c>
      <c r="U11" s="34">
        <v>2.44</v>
      </c>
      <c r="V11" s="34">
        <v>0.47</v>
      </c>
      <c r="W11" s="34">
        <v>1.84</v>
      </c>
      <c r="X11" s="34">
        <v>-1.49</v>
      </c>
      <c r="Y11" s="34">
        <v>1.54</v>
      </c>
      <c r="Z11" s="34">
        <v>4.58</v>
      </c>
    </row>
    <row r="12" spans="1:26" ht="15.75" x14ac:dyDescent="0.25">
      <c r="A12" s="33">
        <v>2032</v>
      </c>
      <c r="B12" s="33">
        <v>2214</v>
      </c>
      <c r="C12" s="33" t="s">
        <v>20</v>
      </c>
      <c r="D12" s="33" t="s">
        <v>21</v>
      </c>
      <c r="E12" s="33" t="s">
        <v>15</v>
      </c>
      <c r="F12" s="34">
        <v>317.72727270000001</v>
      </c>
      <c r="G12" s="34">
        <v>361.81818179999999</v>
      </c>
      <c r="H12" s="34">
        <v>388.18181820000001</v>
      </c>
      <c r="I12" s="34">
        <v>421.36363640000002</v>
      </c>
      <c r="J12" s="34">
        <v>455</v>
      </c>
      <c r="K12" s="35">
        <v>457.27272729999999</v>
      </c>
      <c r="L12" s="34">
        <v>3.15</v>
      </c>
      <c r="M12" s="34">
        <v>2.52</v>
      </c>
      <c r="N12" s="34">
        <v>2.4700000000000002</v>
      </c>
      <c r="O12" s="34">
        <v>2.4500000000000002</v>
      </c>
      <c r="P12" s="34">
        <v>1.99</v>
      </c>
      <c r="Q12" s="34">
        <v>1.88</v>
      </c>
      <c r="R12" s="34">
        <v>2.13</v>
      </c>
      <c r="S12" s="34">
        <v>2.2200000000000002</v>
      </c>
      <c r="T12" s="34">
        <v>1.7</v>
      </c>
      <c r="U12" s="34">
        <v>2.37</v>
      </c>
      <c r="V12" s="34">
        <v>2.39</v>
      </c>
      <c r="W12" s="34">
        <v>1.65</v>
      </c>
      <c r="X12" s="34">
        <v>2.4</v>
      </c>
      <c r="Y12" s="34">
        <v>1.28</v>
      </c>
      <c r="Z12" s="34">
        <v>0.16</v>
      </c>
    </row>
    <row r="13" spans="1:26" ht="15.75" x14ac:dyDescent="0.25">
      <c r="A13" s="33">
        <v>2101</v>
      </c>
      <c r="B13" s="33">
        <v>2214</v>
      </c>
      <c r="C13" s="33" t="s">
        <v>23</v>
      </c>
      <c r="D13" s="33" t="s">
        <v>21</v>
      </c>
      <c r="E13" s="33" t="s">
        <v>24</v>
      </c>
      <c r="F13" s="34">
        <v>382.27272729999999</v>
      </c>
      <c r="G13" s="34">
        <v>415.45454549999999</v>
      </c>
      <c r="H13" s="34">
        <v>452.27272729999999</v>
      </c>
      <c r="I13" s="34">
        <v>466.36363640000002</v>
      </c>
      <c r="J13" s="34">
        <v>486.36363640000002</v>
      </c>
      <c r="K13" s="35">
        <v>490.90909090000002</v>
      </c>
      <c r="L13" s="34">
        <v>2.37</v>
      </c>
      <c r="M13" s="34">
        <v>2.5</v>
      </c>
      <c r="N13" s="34">
        <v>2</v>
      </c>
      <c r="O13" s="34">
        <v>1.86</v>
      </c>
      <c r="P13" s="34">
        <v>1.55</v>
      </c>
      <c r="Q13" s="34">
        <v>2.63</v>
      </c>
      <c r="R13" s="34">
        <v>1.82</v>
      </c>
      <c r="S13" s="34">
        <v>1.69</v>
      </c>
      <c r="T13" s="34">
        <v>1.35</v>
      </c>
      <c r="U13" s="34">
        <v>1.01</v>
      </c>
      <c r="V13" s="34">
        <v>1.22</v>
      </c>
      <c r="W13" s="34">
        <v>0.92</v>
      </c>
      <c r="X13" s="34">
        <v>1.43</v>
      </c>
      <c r="Y13" s="34">
        <v>0.88</v>
      </c>
      <c r="Z13" s="34">
        <v>0.32</v>
      </c>
    </row>
    <row r="14" spans="1:26" ht="15.75" x14ac:dyDescent="0.25">
      <c r="A14" s="33">
        <v>2102</v>
      </c>
      <c r="B14" s="33">
        <v>2214</v>
      </c>
      <c r="C14" s="33" t="s">
        <v>20</v>
      </c>
      <c r="D14" s="33" t="s">
        <v>21</v>
      </c>
      <c r="E14" s="33" t="s">
        <v>15</v>
      </c>
      <c r="F14" s="34">
        <v>396.81818179999999</v>
      </c>
      <c r="G14" s="34">
        <v>425</v>
      </c>
      <c r="H14" s="34">
        <v>472.72727270000001</v>
      </c>
      <c r="I14" s="34">
        <v>494.54545450000001</v>
      </c>
      <c r="J14" s="34">
        <v>520.45454549999999</v>
      </c>
      <c r="K14" s="35">
        <v>561.81818180000005</v>
      </c>
      <c r="L14" s="34">
        <v>2.0099999999999998</v>
      </c>
      <c r="M14" s="34">
        <v>2.71</v>
      </c>
      <c r="N14" s="34">
        <v>2.33</v>
      </c>
      <c r="O14" s="34">
        <v>2.21</v>
      </c>
      <c r="P14" s="34">
        <v>2.36</v>
      </c>
      <c r="Q14" s="34">
        <v>3.41</v>
      </c>
      <c r="R14" s="34">
        <v>2.48</v>
      </c>
      <c r="S14" s="34">
        <v>2.27</v>
      </c>
      <c r="T14" s="34">
        <v>2.44</v>
      </c>
      <c r="U14" s="34">
        <v>1.56</v>
      </c>
      <c r="V14" s="34">
        <v>1.7</v>
      </c>
      <c r="W14" s="34">
        <v>2.12</v>
      </c>
      <c r="X14" s="34">
        <v>1.85</v>
      </c>
      <c r="Y14" s="34">
        <v>2.4</v>
      </c>
      <c r="Z14" s="34">
        <v>2.95</v>
      </c>
    </row>
    <row r="15" spans="1:26" ht="15.75" x14ac:dyDescent="0.25">
      <c r="A15" s="33">
        <v>2105</v>
      </c>
      <c r="B15" s="33">
        <v>2214</v>
      </c>
      <c r="C15" s="33" t="s">
        <v>14</v>
      </c>
      <c r="D15" s="33" t="s">
        <v>15</v>
      </c>
      <c r="E15" s="33" t="s">
        <v>15</v>
      </c>
      <c r="F15" s="34">
        <v>411.36363640000002</v>
      </c>
      <c r="G15" s="34">
        <v>447.27272729999999</v>
      </c>
      <c r="H15" s="34">
        <v>481.81818179999999</v>
      </c>
      <c r="I15" s="34">
        <v>510.45454549999999</v>
      </c>
      <c r="J15" s="34">
        <v>537.27272730000004</v>
      </c>
      <c r="K15" s="35">
        <v>522.27272730000004</v>
      </c>
      <c r="L15" s="34">
        <v>2.56</v>
      </c>
      <c r="M15" s="34">
        <v>2.52</v>
      </c>
      <c r="N15" s="34">
        <v>2.36</v>
      </c>
      <c r="O15" s="34">
        <v>2.25</v>
      </c>
      <c r="P15" s="34">
        <v>1.58</v>
      </c>
      <c r="Q15" s="34">
        <v>2.4700000000000002</v>
      </c>
      <c r="R15" s="34">
        <v>2.2599999999999998</v>
      </c>
      <c r="S15" s="34">
        <v>2.14</v>
      </c>
      <c r="T15" s="34">
        <v>1.34</v>
      </c>
      <c r="U15" s="34">
        <v>2.0499999999999998</v>
      </c>
      <c r="V15" s="34">
        <v>1.98</v>
      </c>
      <c r="W15" s="34">
        <v>0.96</v>
      </c>
      <c r="X15" s="34">
        <v>1.92</v>
      </c>
      <c r="Y15" s="34">
        <v>0.42</v>
      </c>
      <c r="Z15" s="34">
        <v>-1.07</v>
      </c>
    </row>
    <row r="16" spans="1:26" ht="15.75" x14ac:dyDescent="0.25">
      <c r="A16" s="33">
        <v>2107</v>
      </c>
      <c r="B16" s="33">
        <v>2214</v>
      </c>
      <c r="C16" s="33" t="s">
        <v>27</v>
      </c>
      <c r="D16" s="33" t="s">
        <v>15</v>
      </c>
      <c r="E16" s="33" t="s">
        <v>24</v>
      </c>
      <c r="F16" s="34">
        <v>411.81818179999999</v>
      </c>
      <c r="G16" s="34">
        <v>469.54545450000001</v>
      </c>
      <c r="H16" s="34">
        <v>485.45454549999999</v>
      </c>
      <c r="I16" s="34">
        <v>496.36363640000002</v>
      </c>
      <c r="J16" s="34">
        <v>515.45454549999999</v>
      </c>
      <c r="K16" s="35">
        <v>541.36363640000002</v>
      </c>
      <c r="L16" s="34">
        <v>4.12</v>
      </c>
      <c r="M16" s="34">
        <v>2.63</v>
      </c>
      <c r="N16" s="34">
        <v>2.0099999999999998</v>
      </c>
      <c r="O16" s="34">
        <v>1.85</v>
      </c>
      <c r="P16" s="34">
        <v>1.85</v>
      </c>
      <c r="Q16" s="34">
        <v>1.1399999999999999</v>
      </c>
      <c r="R16" s="34">
        <v>0.96</v>
      </c>
      <c r="S16" s="34">
        <v>1.0900000000000001</v>
      </c>
      <c r="T16" s="34">
        <v>1.28</v>
      </c>
      <c r="U16" s="34">
        <v>0.78</v>
      </c>
      <c r="V16" s="34">
        <v>1.07</v>
      </c>
      <c r="W16" s="34">
        <v>1.33</v>
      </c>
      <c r="X16" s="34">
        <v>1.36</v>
      </c>
      <c r="Y16" s="34">
        <v>1.61</v>
      </c>
      <c r="Z16" s="34">
        <v>1.85</v>
      </c>
    </row>
    <row r="17" spans="1:26" ht="15.75" x14ac:dyDescent="0.25">
      <c r="A17" s="33">
        <v>2108</v>
      </c>
      <c r="B17" s="33">
        <v>2214</v>
      </c>
      <c r="C17" s="33" t="s">
        <v>27</v>
      </c>
      <c r="D17" s="33" t="s">
        <v>15</v>
      </c>
      <c r="E17" s="33" t="s">
        <v>24</v>
      </c>
      <c r="F17" s="34">
        <v>410.45454549999999</v>
      </c>
      <c r="G17" s="34">
        <v>463.63636359999998</v>
      </c>
      <c r="H17" s="34">
        <v>507.72727270000001</v>
      </c>
      <c r="I17" s="34">
        <v>524.09090909999998</v>
      </c>
      <c r="J17" s="34">
        <v>543.63636359999998</v>
      </c>
      <c r="K17" s="35">
        <v>577.27272730000004</v>
      </c>
      <c r="L17" s="34">
        <v>3.8</v>
      </c>
      <c r="M17" s="34">
        <v>3.47</v>
      </c>
      <c r="N17" s="34">
        <v>2.71</v>
      </c>
      <c r="O17" s="34">
        <v>2.38</v>
      </c>
      <c r="P17" s="34">
        <v>2.38</v>
      </c>
      <c r="Q17" s="34">
        <v>3.15</v>
      </c>
      <c r="R17" s="34">
        <v>2.16</v>
      </c>
      <c r="S17" s="34">
        <v>1.9</v>
      </c>
      <c r="T17" s="34">
        <v>2.0299999999999998</v>
      </c>
      <c r="U17" s="34">
        <v>1.17</v>
      </c>
      <c r="V17" s="34">
        <v>1.28</v>
      </c>
      <c r="W17" s="34">
        <v>1.66</v>
      </c>
      <c r="X17" s="34">
        <v>1.4</v>
      </c>
      <c r="Y17" s="34">
        <v>1.9</v>
      </c>
      <c r="Z17" s="34">
        <v>2.4</v>
      </c>
    </row>
    <row r="18" spans="1:26" ht="15.75" x14ac:dyDescent="0.25">
      <c r="A18" s="33">
        <v>2109</v>
      </c>
      <c r="B18" s="33">
        <v>2214</v>
      </c>
      <c r="C18" s="33" t="s">
        <v>23</v>
      </c>
      <c r="D18" s="33" t="s">
        <v>21</v>
      </c>
      <c r="E18" s="33" t="s">
        <v>24</v>
      </c>
      <c r="F18" s="34">
        <v>370.45454549999999</v>
      </c>
      <c r="G18" s="34">
        <v>410.90909090000002</v>
      </c>
      <c r="H18" s="34">
        <v>442.72727270000001</v>
      </c>
      <c r="I18" s="34">
        <v>474.09090909999998</v>
      </c>
      <c r="J18" s="34">
        <v>506.81818179999999</v>
      </c>
      <c r="K18" s="35">
        <v>510.90909090000002</v>
      </c>
      <c r="L18" s="34">
        <v>2.89</v>
      </c>
      <c r="M18" s="34">
        <v>2.58</v>
      </c>
      <c r="N18" s="34">
        <v>2.4700000000000002</v>
      </c>
      <c r="O18" s="34">
        <v>2.44</v>
      </c>
      <c r="P18" s="34">
        <v>2.0099999999999998</v>
      </c>
      <c r="Q18" s="34">
        <v>2.27</v>
      </c>
      <c r="R18" s="34">
        <v>2.2599999999999998</v>
      </c>
      <c r="S18" s="34">
        <v>2.2799999999999998</v>
      </c>
      <c r="T18" s="34">
        <v>1.79</v>
      </c>
      <c r="U18" s="34">
        <v>2.2400000000000002</v>
      </c>
      <c r="V18" s="34">
        <v>2.29</v>
      </c>
      <c r="W18" s="34">
        <v>1.62</v>
      </c>
      <c r="X18" s="34">
        <v>2.34</v>
      </c>
      <c r="Y18" s="34">
        <v>1.31</v>
      </c>
      <c r="Z18" s="34">
        <v>0.28999999999999998</v>
      </c>
    </row>
    <row r="19" spans="1:26" ht="15.75" x14ac:dyDescent="0.25">
      <c r="A19" s="33">
        <v>2111</v>
      </c>
      <c r="B19" s="33">
        <v>2214</v>
      </c>
      <c r="C19" s="33" t="s">
        <v>23</v>
      </c>
      <c r="D19" s="33" t="s">
        <v>21</v>
      </c>
      <c r="E19" s="33" t="s">
        <v>24</v>
      </c>
      <c r="F19" s="34">
        <v>376.36363640000002</v>
      </c>
      <c r="G19" s="34">
        <v>403.63636359999998</v>
      </c>
      <c r="H19" s="34">
        <v>436.36363640000002</v>
      </c>
      <c r="I19" s="34">
        <v>458.63636359999998</v>
      </c>
      <c r="J19" s="34">
        <v>495</v>
      </c>
      <c r="K19" s="35">
        <v>511.36363640000002</v>
      </c>
      <c r="L19" s="34">
        <v>1.95</v>
      </c>
      <c r="M19" s="34">
        <v>2.14</v>
      </c>
      <c r="N19" s="34">
        <v>1.96</v>
      </c>
      <c r="O19" s="34">
        <v>2.12</v>
      </c>
      <c r="P19" s="34">
        <v>1.93</v>
      </c>
      <c r="Q19" s="34">
        <v>2.34</v>
      </c>
      <c r="R19" s="34">
        <v>1.96</v>
      </c>
      <c r="S19" s="34">
        <v>2.1800000000000002</v>
      </c>
      <c r="T19" s="34">
        <v>1.92</v>
      </c>
      <c r="U19" s="34">
        <v>1.59</v>
      </c>
      <c r="V19" s="34">
        <v>2.09</v>
      </c>
      <c r="W19" s="34">
        <v>1.79</v>
      </c>
      <c r="X19" s="34">
        <v>2.6</v>
      </c>
      <c r="Y19" s="34">
        <v>1.88</v>
      </c>
      <c r="Z19" s="34">
        <v>1.17</v>
      </c>
    </row>
    <row r="20" spans="1:26" ht="15.75" x14ac:dyDescent="0.25">
      <c r="A20" s="33">
        <v>2113</v>
      </c>
      <c r="B20" s="33">
        <v>2214</v>
      </c>
      <c r="C20" s="33" t="s">
        <v>20</v>
      </c>
      <c r="D20" s="33" t="s">
        <v>21</v>
      </c>
      <c r="E20" s="33" t="s">
        <v>15</v>
      </c>
      <c r="F20" s="34">
        <v>392.27272729999999</v>
      </c>
      <c r="G20" s="34">
        <v>417.27272729999999</v>
      </c>
      <c r="H20" s="34">
        <v>450</v>
      </c>
      <c r="I20" s="34">
        <v>453.18181820000001</v>
      </c>
      <c r="J20" s="34">
        <v>467.72727270000001</v>
      </c>
      <c r="K20" s="35">
        <v>458.63636359999998</v>
      </c>
      <c r="L20" s="34">
        <v>1.79</v>
      </c>
      <c r="M20" s="34">
        <v>2.06</v>
      </c>
      <c r="N20" s="34">
        <v>1.45</v>
      </c>
      <c r="O20" s="34">
        <v>1.35</v>
      </c>
      <c r="P20" s="34">
        <v>0.95</v>
      </c>
      <c r="Q20" s="34">
        <v>2.34</v>
      </c>
      <c r="R20" s="34">
        <v>1.28</v>
      </c>
      <c r="S20" s="34">
        <v>1.2</v>
      </c>
      <c r="T20" s="34">
        <v>0.74</v>
      </c>
      <c r="U20" s="34">
        <v>0.23</v>
      </c>
      <c r="V20" s="34">
        <v>0.63</v>
      </c>
      <c r="W20" s="34">
        <v>0.21</v>
      </c>
      <c r="X20" s="34">
        <v>1.04</v>
      </c>
      <c r="Y20" s="34">
        <v>0.19</v>
      </c>
      <c r="Z20" s="34">
        <v>-0.65</v>
      </c>
    </row>
    <row r="21" spans="1:26" ht="15.75" x14ac:dyDescent="0.25">
      <c r="A21" s="33">
        <v>2116</v>
      </c>
      <c r="B21" s="33">
        <v>2214</v>
      </c>
      <c r="C21" s="33" t="s">
        <v>20</v>
      </c>
      <c r="D21" s="33" t="s">
        <v>21</v>
      </c>
      <c r="E21" s="33" t="s">
        <v>15</v>
      </c>
      <c r="F21" s="34">
        <v>384.09090909999998</v>
      </c>
      <c r="G21" s="34">
        <v>411.81818179999999</v>
      </c>
      <c r="H21" s="34">
        <v>437.72727270000001</v>
      </c>
      <c r="I21" s="34">
        <v>462.72727270000001</v>
      </c>
      <c r="J21" s="34">
        <v>481.36363640000002</v>
      </c>
      <c r="K21" s="35">
        <v>490.90909090000002</v>
      </c>
      <c r="L21" s="34">
        <v>1.98</v>
      </c>
      <c r="M21" s="34">
        <v>1.92</v>
      </c>
      <c r="N21" s="34">
        <v>1.87</v>
      </c>
      <c r="O21" s="34">
        <v>1.74</v>
      </c>
      <c r="P21" s="34">
        <v>1.53</v>
      </c>
      <c r="Q21" s="34">
        <v>1.85</v>
      </c>
      <c r="R21" s="34">
        <v>1.82</v>
      </c>
      <c r="S21" s="34">
        <v>1.66</v>
      </c>
      <c r="T21" s="34">
        <v>1.41</v>
      </c>
      <c r="U21" s="34">
        <v>1.79</v>
      </c>
      <c r="V21" s="34">
        <v>1.56</v>
      </c>
      <c r="W21" s="34">
        <v>1.27</v>
      </c>
      <c r="X21" s="34">
        <v>1.33</v>
      </c>
      <c r="Y21" s="34">
        <v>1.01</v>
      </c>
      <c r="Z21" s="34">
        <v>0.68</v>
      </c>
    </row>
    <row r="22" spans="1:26" ht="15.75" x14ac:dyDescent="0.25">
      <c r="A22" s="33">
        <v>2117</v>
      </c>
      <c r="B22" s="33">
        <v>2214</v>
      </c>
      <c r="C22" s="33" t="s">
        <v>20</v>
      </c>
      <c r="D22" s="33" t="s">
        <v>21</v>
      </c>
      <c r="E22" s="33" t="s">
        <v>15</v>
      </c>
      <c r="F22" s="34">
        <v>375</v>
      </c>
      <c r="G22" s="34">
        <v>415.45454549999999</v>
      </c>
      <c r="H22" s="34">
        <v>447.27272729999999</v>
      </c>
      <c r="I22" s="34">
        <v>461.81818179999999</v>
      </c>
      <c r="J22" s="34">
        <v>482.72727270000001</v>
      </c>
      <c r="K22" s="35">
        <v>510.45454549999999</v>
      </c>
      <c r="L22" s="34">
        <v>2.89</v>
      </c>
      <c r="M22" s="34">
        <v>2.58</v>
      </c>
      <c r="N22" s="34">
        <v>2.0699999999999998</v>
      </c>
      <c r="O22" s="34">
        <v>1.92</v>
      </c>
      <c r="P22" s="34">
        <v>1.94</v>
      </c>
      <c r="Q22" s="34">
        <v>2.27</v>
      </c>
      <c r="R22" s="34">
        <v>1.66</v>
      </c>
      <c r="S22" s="34">
        <v>1.6</v>
      </c>
      <c r="T22" s="34">
        <v>1.7</v>
      </c>
      <c r="U22" s="34">
        <v>1.04</v>
      </c>
      <c r="V22" s="34">
        <v>1.27</v>
      </c>
      <c r="W22" s="34">
        <v>1.5</v>
      </c>
      <c r="X22" s="34">
        <v>1.49</v>
      </c>
      <c r="Y22" s="34">
        <v>1.74</v>
      </c>
      <c r="Z22" s="34">
        <v>1.98</v>
      </c>
    </row>
    <row r="23" spans="1:26" ht="15.75" x14ac:dyDescent="0.25">
      <c r="A23" s="33">
        <v>2120</v>
      </c>
      <c r="B23" s="33">
        <v>2214</v>
      </c>
      <c r="C23" s="33" t="s">
        <v>20</v>
      </c>
      <c r="D23" s="33" t="s">
        <v>21</v>
      </c>
      <c r="E23" s="33" t="s">
        <v>15</v>
      </c>
      <c r="F23" s="34">
        <v>355.90909090000002</v>
      </c>
      <c r="G23" s="34">
        <v>399.09090909999998</v>
      </c>
      <c r="H23" s="34">
        <v>442.27272729999999</v>
      </c>
      <c r="I23" s="34">
        <v>460</v>
      </c>
      <c r="J23" s="34">
        <v>488.18181820000001</v>
      </c>
      <c r="K23" s="35">
        <v>491.36363640000002</v>
      </c>
      <c r="L23" s="34">
        <v>3.08</v>
      </c>
      <c r="M23" s="34">
        <v>3.08</v>
      </c>
      <c r="N23" s="34">
        <v>2.48</v>
      </c>
      <c r="O23" s="34">
        <v>2.36</v>
      </c>
      <c r="P23" s="34">
        <v>1.94</v>
      </c>
      <c r="Q23" s="34">
        <v>3.08</v>
      </c>
      <c r="R23" s="34">
        <v>2.1800000000000002</v>
      </c>
      <c r="S23" s="34">
        <v>2.12</v>
      </c>
      <c r="T23" s="34">
        <v>1.65</v>
      </c>
      <c r="U23" s="34">
        <v>1.27</v>
      </c>
      <c r="V23" s="34">
        <v>1.64</v>
      </c>
      <c r="W23" s="34">
        <v>1.17</v>
      </c>
      <c r="X23" s="34">
        <v>2.0099999999999998</v>
      </c>
      <c r="Y23" s="34">
        <v>1.1200000000000001</v>
      </c>
      <c r="Z23" s="34">
        <v>0.23</v>
      </c>
    </row>
    <row r="24" spans="1:26" ht="15.75" x14ac:dyDescent="0.25">
      <c r="A24" s="33">
        <v>2121</v>
      </c>
      <c r="B24" s="33">
        <v>2214</v>
      </c>
      <c r="C24" s="33" t="s">
        <v>23</v>
      </c>
      <c r="D24" s="33" t="s">
        <v>21</v>
      </c>
      <c r="E24" s="33" t="s">
        <v>24</v>
      </c>
      <c r="F24" s="34">
        <v>402.27272729999999</v>
      </c>
      <c r="G24" s="34">
        <v>445.90909090000002</v>
      </c>
      <c r="H24" s="34">
        <v>487.27272729999999</v>
      </c>
      <c r="I24" s="34">
        <v>510</v>
      </c>
      <c r="J24" s="34">
        <v>539.54545450000001</v>
      </c>
      <c r="K24" s="35">
        <v>540.90909090000002</v>
      </c>
      <c r="L24" s="34">
        <v>3.12</v>
      </c>
      <c r="M24" s="34">
        <v>3.04</v>
      </c>
      <c r="N24" s="34">
        <v>2.56</v>
      </c>
      <c r="O24" s="34">
        <v>2.4500000000000002</v>
      </c>
      <c r="P24" s="34">
        <v>1.98</v>
      </c>
      <c r="Q24" s="34">
        <v>2.95</v>
      </c>
      <c r="R24" s="34">
        <v>2.29</v>
      </c>
      <c r="S24" s="34">
        <v>2.23</v>
      </c>
      <c r="T24" s="34">
        <v>1.7</v>
      </c>
      <c r="U24" s="34">
        <v>1.62</v>
      </c>
      <c r="V24" s="34">
        <v>1.87</v>
      </c>
      <c r="W24" s="34">
        <v>1.28</v>
      </c>
      <c r="X24" s="34">
        <v>2.11</v>
      </c>
      <c r="Y24" s="34">
        <v>1.1000000000000001</v>
      </c>
      <c r="Z24" s="34">
        <v>0.1</v>
      </c>
    </row>
    <row r="25" spans="1:26" ht="15.75" x14ac:dyDescent="0.25">
      <c r="A25" s="33">
        <v>2122</v>
      </c>
      <c r="B25" s="33">
        <v>2214</v>
      </c>
      <c r="C25" s="33" t="s">
        <v>14</v>
      </c>
      <c r="D25" s="33" t="s">
        <v>15</v>
      </c>
      <c r="E25" s="33" t="s">
        <v>15</v>
      </c>
      <c r="F25" s="34">
        <v>400.45454549999999</v>
      </c>
      <c r="G25" s="34">
        <v>451.81818179999999</v>
      </c>
      <c r="H25" s="34">
        <v>470.90909090000002</v>
      </c>
      <c r="I25" s="34">
        <v>500.90909090000002</v>
      </c>
      <c r="J25" s="34">
        <v>524.09090909999998</v>
      </c>
      <c r="K25" s="35">
        <v>545.90909090000002</v>
      </c>
      <c r="L25" s="34">
        <v>3.67</v>
      </c>
      <c r="M25" s="34">
        <v>2.52</v>
      </c>
      <c r="N25" s="34">
        <v>2.39</v>
      </c>
      <c r="O25" s="34">
        <v>2.21</v>
      </c>
      <c r="P25" s="34">
        <v>2.08</v>
      </c>
      <c r="Q25" s="34">
        <v>1.36</v>
      </c>
      <c r="R25" s="34">
        <v>1.75</v>
      </c>
      <c r="S25" s="34">
        <v>1.72</v>
      </c>
      <c r="T25" s="34">
        <v>1.68</v>
      </c>
      <c r="U25" s="34">
        <v>2.14</v>
      </c>
      <c r="V25" s="34">
        <v>1.9</v>
      </c>
      <c r="W25" s="34">
        <v>1.79</v>
      </c>
      <c r="X25" s="34">
        <v>1.66</v>
      </c>
      <c r="Y25" s="34">
        <v>1.61</v>
      </c>
      <c r="Z25" s="34">
        <v>1.56</v>
      </c>
    </row>
    <row r="26" spans="1:26" ht="15.75" x14ac:dyDescent="0.25">
      <c r="A26" s="33">
        <v>2123</v>
      </c>
      <c r="B26" s="33">
        <v>2214</v>
      </c>
      <c r="C26" s="33" t="s">
        <v>20</v>
      </c>
      <c r="D26" s="33" t="s">
        <v>21</v>
      </c>
      <c r="E26" s="33" t="s">
        <v>15</v>
      </c>
      <c r="F26" s="34">
        <v>371.36363640000002</v>
      </c>
      <c r="G26" s="34">
        <v>411.81818179999999</v>
      </c>
      <c r="H26" s="34">
        <v>422.27272729999999</v>
      </c>
      <c r="I26" s="34">
        <v>432.27272729999999</v>
      </c>
      <c r="J26" s="34">
        <v>468.18181820000001</v>
      </c>
      <c r="K26" s="35">
        <v>469.54545450000001</v>
      </c>
      <c r="L26" s="34">
        <v>2.89</v>
      </c>
      <c r="M26" s="34">
        <v>1.82</v>
      </c>
      <c r="N26" s="34">
        <v>1.45</v>
      </c>
      <c r="O26" s="34">
        <v>1.73</v>
      </c>
      <c r="P26" s="34">
        <v>1.4</v>
      </c>
      <c r="Q26" s="34">
        <v>0.75</v>
      </c>
      <c r="R26" s="34">
        <v>0.73</v>
      </c>
      <c r="S26" s="34">
        <v>1.34</v>
      </c>
      <c r="T26" s="34">
        <v>1.03</v>
      </c>
      <c r="U26" s="34">
        <v>0.71</v>
      </c>
      <c r="V26" s="34">
        <v>1.64</v>
      </c>
      <c r="W26" s="34">
        <v>1.1299999999999999</v>
      </c>
      <c r="X26" s="34">
        <v>2.56</v>
      </c>
      <c r="Y26" s="34">
        <v>1.33</v>
      </c>
      <c r="Z26" s="34">
        <v>0.1</v>
      </c>
    </row>
    <row r="27" spans="1:26" ht="15.75" x14ac:dyDescent="0.25">
      <c r="A27" s="33">
        <v>2125</v>
      </c>
      <c r="B27" s="33">
        <v>2214</v>
      </c>
      <c r="C27" s="33" t="s">
        <v>23</v>
      </c>
      <c r="D27" s="33" t="s">
        <v>21</v>
      </c>
      <c r="E27" s="33" t="s">
        <v>24</v>
      </c>
      <c r="F27" s="34">
        <v>380.45454549999999</v>
      </c>
      <c r="G27" s="34">
        <v>414.09090909999998</v>
      </c>
      <c r="H27" s="34">
        <v>437.27272729999999</v>
      </c>
      <c r="I27" s="34">
        <v>458.63636359999998</v>
      </c>
      <c r="J27" s="34">
        <v>490</v>
      </c>
      <c r="K27" s="35">
        <v>520</v>
      </c>
      <c r="L27" s="34">
        <v>2.4</v>
      </c>
      <c r="M27" s="34">
        <v>2.0299999999999998</v>
      </c>
      <c r="N27" s="34">
        <v>1.86</v>
      </c>
      <c r="O27" s="34">
        <v>1.96</v>
      </c>
      <c r="P27" s="34">
        <v>1.99</v>
      </c>
      <c r="Q27" s="34">
        <v>1.66</v>
      </c>
      <c r="R27" s="34">
        <v>1.59</v>
      </c>
      <c r="S27" s="34">
        <v>1.81</v>
      </c>
      <c r="T27" s="34">
        <v>1.89</v>
      </c>
      <c r="U27" s="34">
        <v>1.53</v>
      </c>
      <c r="V27" s="34">
        <v>1.88</v>
      </c>
      <c r="W27" s="34">
        <v>1.97</v>
      </c>
      <c r="X27" s="34">
        <v>2.2400000000000002</v>
      </c>
      <c r="Y27" s="34">
        <v>2.19</v>
      </c>
      <c r="Z27" s="34">
        <v>2.14</v>
      </c>
    </row>
    <row r="28" spans="1:26" ht="15.75" x14ac:dyDescent="0.25">
      <c r="A28" s="33">
        <v>2126</v>
      </c>
      <c r="B28" s="33">
        <v>2214</v>
      </c>
      <c r="C28" s="33" t="s">
        <v>14</v>
      </c>
      <c r="D28" s="33" t="s">
        <v>15</v>
      </c>
      <c r="E28" s="33" t="s">
        <v>15</v>
      </c>
      <c r="F28" s="34">
        <v>429.09090909999998</v>
      </c>
      <c r="G28" s="34">
        <v>461.36363640000002</v>
      </c>
      <c r="H28" s="34">
        <v>521.36363640000002</v>
      </c>
      <c r="I28" s="34">
        <v>556.36363640000002</v>
      </c>
      <c r="J28" s="34">
        <v>582.72727269999996</v>
      </c>
      <c r="K28" s="35">
        <v>616.36363640000002</v>
      </c>
      <c r="L28" s="34">
        <v>2.31</v>
      </c>
      <c r="M28" s="34">
        <v>3.3</v>
      </c>
      <c r="N28" s="34">
        <v>3.03</v>
      </c>
      <c r="O28" s="34">
        <v>2.74</v>
      </c>
      <c r="P28" s="34">
        <v>2.68</v>
      </c>
      <c r="Q28" s="34">
        <v>4.29</v>
      </c>
      <c r="R28" s="34">
        <v>3.39</v>
      </c>
      <c r="S28" s="34">
        <v>2.89</v>
      </c>
      <c r="T28" s="34">
        <v>2.77</v>
      </c>
      <c r="U28" s="34">
        <v>2.5</v>
      </c>
      <c r="V28" s="34">
        <v>2.19</v>
      </c>
      <c r="W28" s="34">
        <v>2.2599999999999998</v>
      </c>
      <c r="X28" s="34">
        <v>1.88</v>
      </c>
      <c r="Y28" s="34">
        <v>2.14</v>
      </c>
      <c r="Z28" s="34">
        <v>2.4</v>
      </c>
    </row>
    <row r="29" spans="1:26" ht="15.75" x14ac:dyDescent="0.25">
      <c r="A29" s="33">
        <v>2129</v>
      </c>
      <c r="B29" s="33">
        <v>2214</v>
      </c>
      <c r="C29" s="33" t="s">
        <v>23</v>
      </c>
      <c r="D29" s="33" t="s">
        <v>21</v>
      </c>
      <c r="E29" s="33" t="s">
        <v>24</v>
      </c>
      <c r="F29" s="34">
        <v>400.90909090000002</v>
      </c>
      <c r="G29" s="34">
        <v>432.27272729999999</v>
      </c>
      <c r="H29" s="34">
        <v>464.54545450000001</v>
      </c>
      <c r="I29" s="34">
        <v>481.36363640000002</v>
      </c>
      <c r="J29" s="34">
        <v>522.72727269999996</v>
      </c>
      <c r="K29" s="35">
        <v>518.18181819999995</v>
      </c>
      <c r="L29" s="34">
        <v>2.2400000000000002</v>
      </c>
      <c r="M29" s="34">
        <v>2.27</v>
      </c>
      <c r="N29" s="34">
        <v>1.92</v>
      </c>
      <c r="O29" s="34">
        <v>2.1800000000000002</v>
      </c>
      <c r="P29" s="34">
        <v>1.68</v>
      </c>
      <c r="Q29" s="34">
        <v>2.31</v>
      </c>
      <c r="R29" s="34">
        <v>1.75</v>
      </c>
      <c r="S29" s="34">
        <v>2.15</v>
      </c>
      <c r="T29" s="34">
        <v>1.53</v>
      </c>
      <c r="U29" s="34">
        <v>1.2</v>
      </c>
      <c r="V29" s="34">
        <v>2.08</v>
      </c>
      <c r="W29" s="34">
        <v>1.28</v>
      </c>
      <c r="X29" s="34">
        <v>2.95</v>
      </c>
      <c r="Y29" s="34">
        <v>1.31</v>
      </c>
      <c r="Z29" s="34">
        <v>-0.32</v>
      </c>
    </row>
    <row r="30" spans="1:26" ht="15.75" x14ac:dyDescent="0.25">
      <c r="A30" s="33">
        <v>2131</v>
      </c>
      <c r="B30" s="33">
        <v>2214</v>
      </c>
      <c r="C30" s="33" t="s">
        <v>27</v>
      </c>
      <c r="D30" s="33" t="s">
        <v>15</v>
      </c>
      <c r="E30" s="33" t="s">
        <v>24</v>
      </c>
      <c r="F30" s="34">
        <v>412.72727270000001</v>
      </c>
      <c r="G30" s="34">
        <v>454.54545450000001</v>
      </c>
      <c r="H30" s="34">
        <v>501.36363640000002</v>
      </c>
      <c r="I30" s="34">
        <v>509.09090909999998</v>
      </c>
      <c r="J30" s="34">
        <v>538.18181819999995</v>
      </c>
      <c r="K30" s="35">
        <v>548.63636359999998</v>
      </c>
      <c r="L30" s="34">
        <v>2.99</v>
      </c>
      <c r="M30" s="34">
        <v>3.17</v>
      </c>
      <c r="N30" s="34">
        <v>2.29</v>
      </c>
      <c r="O30" s="34">
        <v>2.2400000000000002</v>
      </c>
      <c r="P30" s="34">
        <v>1.94</v>
      </c>
      <c r="Q30" s="34">
        <v>3.34</v>
      </c>
      <c r="R30" s="34">
        <v>1.95</v>
      </c>
      <c r="S30" s="34">
        <v>1.99</v>
      </c>
      <c r="T30" s="34">
        <v>1.68</v>
      </c>
      <c r="U30" s="34">
        <v>0.55000000000000004</v>
      </c>
      <c r="V30" s="34">
        <v>1.31</v>
      </c>
      <c r="W30" s="34">
        <v>1.1299999999999999</v>
      </c>
      <c r="X30" s="34">
        <v>2.08</v>
      </c>
      <c r="Y30" s="34">
        <v>1.41</v>
      </c>
      <c r="Z30" s="34">
        <v>0.75</v>
      </c>
    </row>
    <row r="31" spans="1:26" ht="15.75" x14ac:dyDescent="0.25">
      <c r="A31" s="33">
        <v>2132</v>
      </c>
      <c r="B31" s="33">
        <v>2214</v>
      </c>
      <c r="C31" s="33" t="s">
        <v>20</v>
      </c>
      <c r="D31" s="33" t="s">
        <v>21</v>
      </c>
      <c r="E31" s="33" t="s">
        <v>15</v>
      </c>
      <c r="F31" s="34">
        <v>381.36363640000002</v>
      </c>
      <c r="G31" s="34">
        <v>419.09090909999998</v>
      </c>
      <c r="H31" s="34">
        <v>450.45454549999999</v>
      </c>
      <c r="I31" s="34">
        <v>470.90909090000002</v>
      </c>
      <c r="J31" s="34">
        <v>499.54545450000001</v>
      </c>
      <c r="K31" s="35">
        <v>500</v>
      </c>
      <c r="L31" s="34">
        <v>2.69</v>
      </c>
      <c r="M31" s="34">
        <v>2.4700000000000002</v>
      </c>
      <c r="N31" s="34">
        <v>2.13</v>
      </c>
      <c r="O31" s="34">
        <v>2.11</v>
      </c>
      <c r="P31" s="34">
        <v>1.69</v>
      </c>
      <c r="Q31" s="34">
        <v>2.2400000000000002</v>
      </c>
      <c r="R31" s="34">
        <v>1.85</v>
      </c>
      <c r="S31" s="34">
        <v>1.92</v>
      </c>
      <c r="T31" s="34">
        <v>1.44</v>
      </c>
      <c r="U31" s="34">
        <v>1.46</v>
      </c>
      <c r="V31" s="34">
        <v>1.75</v>
      </c>
      <c r="W31" s="34">
        <v>1.18</v>
      </c>
      <c r="X31" s="34">
        <v>2.0499999999999998</v>
      </c>
      <c r="Y31" s="34">
        <v>1.04</v>
      </c>
      <c r="Z31" s="34">
        <v>0.03</v>
      </c>
    </row>
    <row r="32" spans="1:26" ht="15.75" x14ac:dyDescent="0.25">
      <c r="A32" s="33">
        <v>2141</v>
      </c>
      <c r="B32" s="33">
        <v>2214</v>
      </c>
      <c r="C32" s="33" t="s">
        <v>20</v>
      </c>
      <c r="D32" s="33" t="s">
        <v>21</v>
      </c>
      <c r="E32" s="33" t="s">
        <v>15</v>
      </c>
      <c r="F32" s="34">
        <v>356.36363640000002</v>
      </c>
      <c r="G32" s="34">
        <v>392.72727270000001</v>
      </c>
      <c r="H32" s="34">
        <v>421.36363640000002</v>
      </c>
      <c r="I32" s="34">
        <v>443.63636359999998</v>
      </c>
      <c r="J32" s="34">
        <v>470.90909090000002</v>
      </c>
      <c r="K32" s="35">
        <v>469.09090909999998</v>
      </c>
      <c r="L32" s="34">
        <v>2.6</v>
      </c>
      <c r="M32" s="34">
        <v>2.3199999999999998</v>
      </c>
      <c r="N32" s="34">
        <v>2.08</v>
      </c>
      <c r="O32" s="34">
        <v>2.0499999999999998</v>
      </c>
      <c r="P32" s="34">
        <v>1.61</v>
      </c>
      <c r="Q32" s="34">
        <v>2.0499999999999998</v>
      </c>
      <c r="R32" s="34">
        <v>1.82</v>
      </c>
      <c r="S32" s="34">
        <v>1.86</v>
      </c>
      <c r="T32" s="34">
        <v>1.36</v>
      </c>
      <c r="U32" s="34">
        <v>1.59</v>
      </c>
      <c r="V32" s="34">
        <v>1.77</v>
      </c>
      <c r="W32" s="34">
        <v>1.1399999999999999</v>
      </c>
      <c r="X32" s="34">
        <v>1.95</v>
      </c>
      <c r="Y32" s="34">
        <v>0.91</v>
      </c>
      <c r="Z32" s="34">
        <v>-0.13</v>
      </c>
    </row>
    <row r="33" spans="1:26" ht="15.75" x14ac:dyDescent="0.25">
      <c r="A33" s="33">
        <v>2201</v>
      </c>
      <c r="B33" s="33">
        <v>2214</v>
      </c>
      <c r="C33" s="33" t="s">
        <v>14</v>
      </c>
      <c r="D33" s="33" t="s">
        <v>15</v>
      </c>
      <c r="E33" s="33" t="s">
        <v>15</v>
      </c>
      <c r="F33" s="34">
        <v>385</v>
      </c>
      <c r="G33" s="34">
        <v>411.36363640000002</v>
      </c>
      <c r="H33" s="34">
        <v>452.72727270000001</v>
      </c>
      <c r="I33" s="34">
        <v>495.45454549999999</v>
      </c>
      <c r="J33" s="34">
        <v>520.90909090000002</v>
      </c>
      <c r="K33" s="35">
        <v>541.81818180000005</v>
      </c>
      <c r="L33" s="34">
        <v>1.88</v>
      </c>
      <c r="M33" s="34">
        <v>2.42</v>
      </c>
      <c r="N33" s="34">
        <v>2.63</v>
      </c>
      <c r="O33" s="34">
        <v>2.4300000000000002</v>
      </c>
      <c r="P33" s="34">
        <v>2.2400000000000002</v>
      </c>
      <c r="Q33" s="34">
        <v>2.95</v>
      </c>
      <c r="R33" s="34">
        <v>3</v>
      </c>
      <c r="S33" s="34">
        <v>2.61</v>
      </c>
      <c r="T33" s="34">
        <v>2.33</v>
      </c>
      <c r="U33" s="34">
        <v>3.05</v>
      </c>
      <c r="V33" s="34">
        <v>2.44</v>
      </c>
      <c r="W33" s="34">
        <v>2.12</v>
      </c>
      <c r="X33" s="34">
        <v>1.82</v>
      </c>
      <c r="Y33" s="34">
        <v>1.66</v>
      </c>
      <c r="Z33" s="34">
        <v>1.49</v>
      </c>
    </row>
    <row r="34" spans="1:26" ht="15.75" x14ac:dyDescent="0.25">
      <c r="A34" s="33">
        <v>2202</v>
      </c>
      <c r="B34" s="33">
        <v>2214</v>
      </c>
      <c r="C34" s="33" t="s">
        <v>14</v>
      </c>
      <c r="D34" s="33" t="s">
        <v>15</v>
      </c>
      <c r="E34" s="33" t="s">
        <v>15</v>
      </c>
      <c r="F34" s="34">
        <v>293.18181820000001</v>
      </c>
      <c r="G34" s="34">
        <v>298.18181820000001</v>
      </c>
      <c r="H34" s="34">
        <v>331.36363640000002</v>
      </c>
      <c r="I34" s="34">
        <v>353.63636359999998</v>
      </c>
      <c r="J34" s="34">
        <v>380</v>
      </c>
      <c r="K34" s="35">
        <v>395.90909090000002</v>
      </c>
      <c r="L34" s="34">
        <v>0.36</v>
      </c>
      <c r="M34" s="34">
        <v>1.36</v>
      </c>
      <c r="N34" s="34">
        <v>1.44</v>
      </c>
      <c r="O34" s="34">
        <v>1.55</v>
      </c>
      <c r="P34" s="34">
        <v>1.47</v>
      </c>
      <c r="Q34" s="34">
        <v>2.37</v>
      </c>
      <c r="R34" s="34">
        <v>1.98</v>
      </c>
      <c r="S34" s="34">
        <v>1.95</v>
      </c>
      <c r="T34" s="34">
        <v>1.75</v>
      </c>
      <c r="U34" s="34">
        <v>1.59</v>
      </c>
      <c r="V34" s="34">
        <v>1.74</v>
      </c>
      <c r="W34" s="34">
        <v>1.54</v>
      </c>
      <c r="X34" s="34">
        <v>1.88</v>
      </c>
      <c r="Y34" s="34">
        <v>1.51</v>
      </c>
      <c r="Z34" s="34">
        <v>1.1399999999999999</v>
      </c>
    </row>
    <row r="35" spans="1:26" ht="15.75" x14ac:dyDescent="0.25">
      <c r="A35" s="33">
        <v>2205</v>
      </c>
      <c r="B35" s="33">
        <v>2214</v>
      </c>
      <c r="C35" s="33" t="s">
        <v>14</v>
      </c>
      <c r="D35" s="33" t="s">
        <v>15</v>
      </c>
      <c r="E35" s="33" t="s">
        <v>15</v>
      </c>
      <c r="F35" s="34">
        <v>441.36363640000002</v>
      </c>
      <c r="G35" s="34">
        <v>481.36363640000002</v>
      </c>
      <c r="H35" s="34">
        <v>514.54545450000001</v>
      </c>
      <c r="I35" s="34">
        <v>545.90909090000002</v>
      </c>
      <c r="J35" s="34">
        <v>577.72727269999996</v>
      </c>
      <c r="K35" s="35">
        <v>610.90909090000002</v>
      </c>
      <c r="L35" s="34">
        <v>2.86</v>
      </c>
      <c r="M35" s="34">
        <v>2.61</v>
      </c>
      <c r="N35" s="34">
        <v>2.4900000000000002</v>
      </c>
      <c r="O35" s="34">
        <v>2.44</v>
      </c>
      <c r="P35" s="34">
        <v>2.42</v>
      </c>
      <c r="Q35" s="34">
        <v>2.37</v>
      </c>
      <c r="R35" s="34">
        <v>2.31</v>
      </c>
      <c r="S35" s="34">
        <v>2.29</v>
      </c>
      <c r="T35" s="34">
        <v>2.31</v>
      </c>
      <c r="U35" s="34">
        <v>2.2400000000000002</v>
      </c>
      <c r="V35" s="34">
        <v>2.2599999999999998</v>
      </c>
      <c r="W35" s="34">
        <v>2.29</v>
      </c>
      <c r="X35" s="34">
        <v>2.27</v>
      </c>
      <c r="Y35" s="34">
        <v>2.3199999999999998</v>
      </c>
      <c r="Z35" s="34">
        <v>2.37</v>
      </c>
    </row>
    <row r="36" spans="1:26" ht="15.75" x14ac:dyDescent="0.25">
      <c r="A36" s="33">
        <v>2206</v>
      </c>
      <c r="B36" s="33">
        <v>2214</v>
      </c>
      <c r="C36" s="33" t="s">
        <v>14</v>
      </c>
      <c r="D36" s="33" t="s">
        <v>15</v>
      </c>
      <c r="E36" s="33" t="s">
        <v>15</v>
      </c>
      <c r="F36" s="34">
        <v>417.72727270000001</v>
      </c>
      <c r="G36" s="34">
        <v>444.54545450000001</v>
      </c>
      <c r="H36" s="34">
        <v>480.90909090000002</v>
      </c>
      <c r="I36" s="34">
        <v>512.72727269999996</v>
      </c>
      <c r="J36" s="34">
        <v>542.72727269999996</v>
      </c>
      <c r="K36" s="35">
        <v>539.09090909999998</v>
      </c>
      <c r="L36" s="34">
        <v>1.92</v>
      </c>
      <c r="M36" s="34">
        <v>2.2599999999999998</v>
      </c>
      <c r="N36" s="34">
        <v>2.2599999999999998</v>
      </c>
      <c r="O36" s="34">
        <v>2.23</v>
      </c>
      <c r="P36" s="34">
        <v>1.73</v>
      </c>
      <c r="Q36" s="34">
        <v>2.6</v>
      </c>
      <c r="R36" s="34">
        <v>2.44</v>
      </c>
      <c r="S36" s="34">
        <v>2.34</v>
      </c>
      <c r="T36" s="34">
        <v>1.69</v>
      </c>
      <c r="U36" s="34">
        <v>2.27</v>
      </c>
      <c r="V36" s="34">
        <v>2.21</v>
      </c>
      <c r="W36" s="34">
        <v>1.39</v>
      </c>
      <c r="X36" s="34">
        <v>2.14</v>
      </c>
      <c r="Y36" s="34">
        <v>0.94</v>
      </c>
      <c r="Z36" s="34">
        <v>-0.26</v>
      </c>
    </row>
    <row r="37" spans="1:26" ht="15.75" x14ac:dyDescent="0.25">
      <c r="A37" s="33">
        <v>2207</v>
      </c>
      <c r="B37" s="33">
        <v>2214</v>
      </c>
      <c r="C37" s="33" t="s">
        <v>20</v>
      </c>
      <c r="D37" s="33" t="s">
        <v>21</v>
      </c>
      <c r="E37" s="33" t="s">
        <v>15</v>
      </c>
      <c r="F37" s="34">
        <v>400.90909090000002</v>
      </c>
      <c r="G37" s="34">
        <v>434.09090909999998</v>
      </c>
      <c r="H37" s="34">
        <v>461.36363640000002</v>
      </c>
      <c r="I37" s="34">
        <v>484.54545450000001</v>
      </c>
      <c r="J37" s="34">
        <v>511.36363640000002</v>
      </c>
      <c r="K37" s="35">
        <v>512.27272730000004</v>
      </c>
      <c r="L37" s="34">
        <v>2.37</v>
      </c>
      <c r="M37" s="34">
        <v>2.16</v>
      </c>
      <c r="N37" s="34">
        <v>1.99</v>
      </c>
      <c r="O37" s="34">
        <v>1.97</v>
      </c>
      <c r="P37" s="34">
        <v>1.59</v>
      </c>
      <c r="Q37" s="34">
        <v>1.95</v>
      </c>
      <c r="R37" s="34">
        <v>1.8</v>
      </c>
      <c r="S37" s="34">
        <v>1.84</v>
      </c>
      <c r="T37" s="34">
        <v>1.4</v>
      </c>
      <c r="U37" s="34">
        <v>1.66</v>
      </c>
      <c r="V37" s="34">
        <v>1.79</v>
      </c>
      <c r="W37" s="34">
        <v>1.21</v>
      </c>
      <c r="X37" s="34">
        <v>1.92</v>
      </c>
      <c r="Y37" s="34">
        <v>0.99</v>
      </c>
      <c r="Z37" s="34">
        <v>0.06</v>
      </c>
    </row>
    <row r="38" spans="1:26" ht="15.75" x14ac:dyDescent="0.25">
      <c r="A38" s="33">
        <v>2208</v>
      </c>
      <c r="B38" s="33">
        <v>2214</v>
      </c>
      <c r="C38" s="33" t="s">
        <v>20</v>
      </c>
      <c r="D38" s="33" t="s">
        <v>21</v>
      </c>
      <c r="E38" s="33" t="s">
        <v>15</v>
      </c>
      <c r="F38" s="34">
        <v>364.54545450000001</v>
      </c>
      <c r="G38" s="34">
        <v>385.90909090000002</v>
      </c>
      <c r="H38" s="34">
        <v>428.18181820000001</v>
      </c>
      <c r="I38" s="34">
        <v>450.45454549999999</v>
      </c>
      <c r="J38" s="34">
        <v>479.54545450000001</v>
      </c>
      <c r="K38" s="35">
        <v>487.27272729999999</v>
      </c>
      <c r="L38" s="34">
        <v>1.53</v>
      </c>
      <c r="M38" s="34">
        <v>2.27</v>
      </c>
      <c r="N38" s="34">
        <v>2.0499999999999998</v>
      </c>
      <c r="O38" s="34">
        <v>2.0499999999999998</v>
      </c>
      <c r="P38" s="34">
        <v>1.75</v>
      </c>
      <c r="Q38" s="34">
        <v>3.02</v>
      </c>
      <c r="R38" s="34">
        <v>2.31</v>
      </c>
      <c r="S38" s="34">
        <v>2.23</v>
      </c>
      <c r="T38" s="34">
        <v>1.81</v>
      </c>
      <c r="U38" s="34">
        <v>1.59</v>
      </c>
      <c r="V38" s="34">
        <v>1.83</v>
      </c>
      <c r="W38" s="34">
        <v>1.41</v>
      </c>
      <c r="X38" s="34">
        <v>2.08</v>
      </c>
      <c r="Y38" s="34">
        <v>1.31</v>
      </c>
      <c r="Z38" s="34">
        <v>0.55000000000000004</v>
      </c>
    </row>
    <row r="39" spans="1:26" ht="15.75" x14ac:dyDescent="0.25">
      <c r="A39" s="33">
        <v>2209</v>
      </c>
      <c r="B39" s="33">
        <v>2214</v>
      </c>
      <c r="C39" s="33" t="s">
        <v>20</v>
      </c>
      <c r="D39" s="33" t="s">
        <v>21</v>
      </c>
      <c r="E39" s="33" t="s">
        <v>15</v>
      </c>
      <c r="F39" s="34">
        <v>349.09090909999998</v>
      </c>
      <c r="G39" s="34">
        <v>394.54545450000001</v>
      </c>
      <c r="H39" s="34">
        <v>428.63636359999998</v>
      </c>
      <c r="I39" s="34">
        <v>453.63636359999998</v>
      </c>
      <c r="J39" s="34">
        <v>494.09090909999998</v>
      </c>
      <c r="K39" s="35">
        <v>505.45454549999999</v>
      </c>
      <c r="L39" s="34">
        <v>3.25</v>
      </c>
      <c r="M39" s="34">
        <v>2.84</v>
      </c>
      <c r="N39" s="34">
        <v>2.4900000000000002</v>
      </c>
      <c r="O39" s="34">
        <v>2.59</v>
      </c>
      <c r="P39" s="34">
        <v>2.23</v>
      </c>
      <c r="Q39" s="34">
        <v>2.44</v>
      </c>
      <c r="R39" s="34">
        <v>2.11</v>
      </c>
      <c r="S39" s="34">
        <v>2.37</v>
      </c>
      <c r="T39" s="34">
        <v>1.98</v>
      </c>
      <c r="U39" s="34">
        <v>1.79</v>
      </c>
      <c r="V39" s="34">
        <v>2.34</v>
      </c>
      <c r="W39" s="34">
        <v>1.83</v>
      </c>
      <c r="X39" s="34">
        <v>2.89</v>
      </c>
      <c r="Y39" s="34">
        <v>1.85</v>
      </c>
      <c r="Z39" s="34">
        <v>0.81</v>
      </c>
    </row>
    <row r="40" spans="1:26" ht="15.75" x14ac:dyDescent="0.25">
      <c r="A40" s="33">
        <v>2211</v>
      </c>
      <c r="B40" s="33">
        <v>2214</v>
      </c>
      <c r="C40" s="33" t="s">
        <v>14</v>
      </c>
      <c r="D40" s="33" t="s">
        <v>15</v>
      </c>
      <c r="E40" s="33" t="s">
        <v>15</v>
      </c>
      <c r="F40" s="34">
        <v>393.63636359999998</v>
      </c>
      <c r="G40" s="34">
        <v>429.54545450000001</v>
      </c>
      <c r="H40" s="34">
        <v>455.45454549999999</v>
      </c>
      <c r="I40" s="34">
        <v>462.27272729999999</v>
      </c>
      <c r="J40" s="34">
        <v>506.81818179999999</v>
      </c>
      <c r="K40" s="35">
        <v>510.90909090000002</v>
      </c>
      <c r="L40" s="34">
        <v>2.56</v>
      </c>
      <c r="M40" s="34">
        <v>2.21</v>
      </c>
      <c r="N40" s="34">
        <v>1.63</v>
      </c>
      <c r="O40" s="34">
        <v>2.02</v>
      </c>
      <c r="P40" s="34">
        <v>1.68</v>
      </c>
      <c r="Q40" s="34">
        <v>1.85</v>
      </c>
      <c r="R40" s="34">
        <v>1.17</v>
      </c>
      <c r="S40" s="34">
        <v>1.84</v>
      </c>
      <c r="T40" s="34">
        <v>1.45</v>
      </c>
      <c r="U40" s="34">
        <v>0.49</v>
      </c>
      <c r="V40" s="34">
        <v>1.83</v>
      </c>
      <c r="W40" s="34">
        <v>1.32</v>
      </c>
      <c r="X40" s="34">
        <v>3.18</v>
      </c>
      <c r="Y40" s="34">
        <v>1.74</v>
      </c>
      <c r="Z40" s="34">
        <v>0.28999999999999998</v>
      </c>
    </row>
    <row r="41" spans="1:26" ht="15.75" x14ac:dyDescent="0.25">
      <c r="A41" s="33">
        <v>2215</v>
      </c>
      <c r="B41" s="33">
        <v>2214</v>
      </c>
      <c r="C41" s="33" t="s">
        <v>27</v>
      </c>
      <c r="D41" s="33" t="s">
        <v>15</v>
      </c>
      <c r="E41" s="33" t="s">
        <v>24</v>
      </c>
      <c r="F41" s="34">
        <v>377.27272729999999</v>
      </c>
      <c r="G41" s="34">
        <v>389.54545450000001</v>
      </c>
      <c r="H41" s="34">
        <v>440.90909090000002</v>
      </c>
      <c r="I41" s="34">
        <v>475</v>
      </c>
      <c r="J41" s="34">
        <v>462.27272729999999</v>
      </c>
      <c r="K41" s="35">
        <v>511.81818179999999</v>
      </c>
      <c r="L41" s="34">
        <v>0.88</v>
      </c>
      <c r="M41" s="34">
        <v>2.27</v>
      </c>
      <c r="N41" s="34">
        <v>2.33</v>
      </c>
      <c r="O41" s="34">
        <v>1.52</v>
      </c>
      <c r="P41" s="34">
        <v>1.92</v>
      </c>
      <c r="Q41" s="34">
        <v>3.67</v>
      </c>
      <c r="R41" s="34">
        <v>3.05</v>
      </c>
      <c r="S41" s="34">
        <v>1.73</v>
      </c>
      <c r="T41" s="34">
        <v>2.1800000000000002</v>
      </c>
      <c r="U41" s="34">
        <v>2.44</v>
      </c>
      <c r="V41" s="34">
        <v>0.76</v>
      </c>
      <c r="W41" s="34">
        <v>1.69</v>
      </c>
      <c r="X41" s="34">
        <v>-0.91</v>
      </c>
      <c r="Y41" s="34">
        <v>1.31</v>
      </c>
      <c r="Z41" s="34">
        <v>3.54</v>
      </c>
    </row>
    <row r="42" spans="1:26" ht="15.75" x14ac:dyDescent="0.25">
      <c r="A42" s="33">
        <v>2217</v>
      </c>
      <c r="B42" s="33">
        <v>2214</v>
      </c>
      <c r="C42" s="33" t="s">
        <v>27</v>
      </c>
      <c r="D42" s="33" t="s">
        <v>15</v>
      </c>
      <c r="E42" s="33" t="s">
        <v>24</v>
      </c>
      <c r="F42" s="34">
        <v>407.27272729999999</v>
      </c>
      <c r="G42" s="34">
        <v>446.36363640000002</v>
      </c>
      <c r="H42" s="34">
        <v>475.90909090000002</v>
      </c>
      <c r="I42" s="34">
        <v>498.63636359999998</v>
      </c>
      <c r="J42" s="34">
        <v>530.45454549999999</v>
      </c>
      <c r="K42" s="35">
        <v>527.27272730000004</v>
      </c>
      <c r="L42" s="34">
        <v>2.79</v>
      </c>
      <c r="M42" s="34">
        <v>2.4500000000000002</v>
      </c>
      <c r="N42" s="34">
        <v>2.1800000000000002</v>
      </c>
      <c r="O42" s="34">
        <v>2.2000000000000002</v>
      </c>
      <c r="P42" s="34">
        <v>1.71</v>
      </c>
      <c r="Q42" s="34">
        <v>2.11</v>
      </c>
      <c r="R42" s="34">
        <v>1.87</v>
      </c>
      <c r="S42" s="34">
        <v>2</v>
      </c>
      <c r="T42" s="34">
        <v>1.44</v>
      </c>
      <c r="U42" s="34">
        <v>1.62</v>
      </c>
      <c r="V42" s="34">
        <v>1.95</v>
      </c>
      <c r="W42" s="34">
        <v>1.22</v>
      </c>
      <c r="X42" s="34">
        <v>2.27</v>
      </c>
      <c r="Y42" s="34">
        <v>1.02</v>
      </c>
      <c r="Z42" s="34">
        <v>-0.23</v>
      </c>
    </row>
    <row r="43" spans="1:26" ht="15.75" x14ac:dyDescent="0.25">
      <c r="A43" s="33">
        <v>2219</v>
      </c>
      <c r="B43" s="33">
        <v>2214</v>
      </c>
      <c r="C43" s="33" t="s">
        <v>23</v>
      </c>
      <c r="D43" s="33" t="s">
        <v>21</v>
      </c>
      <c r="E43" s="33" t="s">
        <v>24</v>
      </c>
      <c r="F43" s="34">
        <v>405.90909090000002</v>
      </c>
      <c r="G43" s="34">
        <v>448.63636359999998</v>
      </c>
      <c r="H43" s="34">
        <v>501.81818179999999</v>
      </c>
      <c r="I43" s="34">
        <v>517.72727269999996</v>
      </c>
      <c r="J43" s="34">
        <v>549.09090909999998</v>
      </c>
      <c r="K43" s="35">
        <v>548.18181819999995</v>
      </c>
      <c r="L43" s="34">
        <v>3.05</v>
      </c>
      <c r="M43" s="34">
        <v>3.43</v>
      </c>
      <c r="N43" s="34">
        <v>2.66</v>
      </c>
      <c r="O43" s="34">
        <v>2.56</v>
      </c>
      <c r="P43" s="34">
        <v>2.0299999999999998</v>
      </c>
      <c r="Q43" s="34">
        <v>3.8</v>
      </c>
      <c r="R43" s="34">
        <v>2.4700000000000002</v>
      </c>
      <c r="S43" s="34">
        <v>2.39</v>
      </c>
      <c r="T43" s="34">
        <v>1.78</v>
      </c>
      <c r="U43" s="34">
        <v>1.1399999999999999</v>
      </c>
      <c r="V43" s="34">
        <v>1.69</v>
      </c>
      <c r="W43" s="34">
        <v>1.1000000000000001</v>
      </c>
      <c r="X43" s="34">
        <v>2.2400000000000002</v>
      </c>
      <c r="Y43" s="34">
        <v>1.0900000000000001</v>
      </c>
      <c r="Z43" s="34">
        <v>-0.06</v>
      </c>
    </row>
    <row r="44" spans="1:26" ht="15.75" x14ac:dyDescent="0.25">
      <c r="A44" s="33">
        <v>2221</v>
      </c>
      <c r="B44" s="33">
        <v>2214</v>
      </c>
      <c r="C44" s="33" t="s">
        <v>20</v>
      </c>
      <c r="D44" s="33" t="s">
        <v>21</v>
      </c>
      <c r="E44" s="33" t="s">
        <v>15</v>
      </c>
      <c r="F44" s="34">
        <v>347.27272729999999</v>
      </c>
      <c r="G44" s="34">
        <v>388.63636359999998</v>
      </c>
      <c r="H44" s="34">
        <v>398.18181820000001</v>
      </c>
      <c r="I44" s="34">
        <v>439.09090909999998</v>
      </c>
      <c r="J44" s="34">
        <v>459.54545450000001</v>
      </c>
      <c r="K44" s="35">
        <v>472.27272729999999</v>
      </c>
      <c r="L44" s="34">
        <v>2.95</v>
      </c>
      <c r="M44" s="34">
        <v>1.82</v>
      </c>
      <c r="N44" s="34">
        <v>2.19</v>
      </c>
      <c r="O44" s="34">
        <v>2</v>
      </c>
      <c r="P44" s="34">
        <v>1.79</v>
      </c>
      <c r="Q44" s="34">
        <v>0.68</v>
      </c>
      <c r="R44" s="34">
        <v>1.8</v>
      </c>
      <c r="S44" s="34">
        <v>1.69</v>
      </c>
      <c r="T44" s="34">
        <v>1.49</v>
      </c>
      <c r="U44" s="34">
        <v>2.92</v>
      </c>
      <c r="V44" s="34">
        <v>2.19</v>
      </c>
      <c r="W44" s="34">
        <v>1.76</v>
      </c>
      <c r="X44" s="34">
        <v>1.46</v>
      </c>
      <c r="Y44" s="34">
        <v>1.19</v>
      </c>
      <c r="Z44" s="34">
        <v>0.91</v>
      </c>
    </row>
    <row r="45" spans="1:26" ht="15.75" x14ac:dyDescent="0.25">
      <c r="A45" s="33">
        <v>2222</v>
      </c>
      <c r="B45" s="33">
        <v>2214</v>
      </c>
      <c r="C45" s="33" t="s">
        <v>23</v>
      </c>
      <c r="D45" s="33" t="s">
        <v>21</v>
      </c>
      <c r="E45" s="33" t="s">
        <v>24</v>
      </c>
      <c r="F45" s="34">
        <v>412.27272729999999</v>
      </c>
      <c r="G45" s="34">
        <v>448.63636359999998</v>
      </c>
      <c r="H45" s="34">
        <v>481.36363640000002</v>
      </c>
      <c r="I45" s="34">
        <v>514.09090909999998</v>
      </c>
      <c r="J45" s="34">
        <v>549.09090909999998</v>
      </c>
      <c r="K45" s="35">
        <v>579.09090909999998</v>
      </c>
      <c r="L45" s="34">
        <v>2.6</v>
      </c>
      <c r="M45" s="34">
        <v>2.4700000000000002</v>
      </c>
      <c r="N45" s="34">
        <v>2.42</v>
      </c>
      <c r="O45" s="34">
        <v>2.44</v>
      </c>
      <c r="P45" s="34">
        <v>2.38</v>
      </c>
      <c r="Q45" s="34">
        <v>2.34</v>
      </c>
      <c r="R45" s="34">
        <v>2.34</v>
      </c>
      <c r="S45" s="34">
        <v>2.39</v>
      </c>
      <c r="T45" s="34">
        <v>2.33</v>
      </c>
      <c r="U45" s="34">
        <v>2.34</v>
      </c>
      <c r="V45" s="34">
        <v>2.42</v>
      </c>
      <c r="W45" s="34">
        <v>2.33</v>
      </c>
      <c r="X45" s="34">
        <v>2.5</v>
      </c>
      <c r="Y45" s="34">
        <v>2.3199999999999998</v>
      </c>
      <c r="Z45" s="34">
        <v>2.14</v>
      </c>
    </row>
    <row r="46" spans="1:26" ht="15.75" x14ac:dyDescent="0.25">
      <c r="A46" s="33">
        <v>2223</v>
      </c>
      <c r="B46" s="33">
        <v>2214</v>
      </c>
      <c r="C46" s="33" t="s">
        <v>27</v>
      </c>
      <c r="D46" s="33" t="s">
        <v>15</v>
      </c>
      <c r="E46" s="33" t="s">
        <v>24</v>
      </c>
      <c r="F46" s="34">
        <v>341.81818179999999</v>
      </c>
      <c r="G46" s="34">
        <v>380.45454549999999</v>
      </c>
      <c r="H46" s="34">
        <v>404.09090909999998</v>
      </c>
      <c r="I46" s="34">
        <v>436.81818179999999</v>
      </c>
      <c r="J46" s="34">
        <v>466.36363640000002</v>
      </c>
      <c r="K46" s="35">
        <v>484.54545450000001</v>
      </c>
      <c r="L46" s="34">
        <v>2.76</v>
      </c>
      <c r="M46" s="34">
        <v>2.2200000000000002</v>
      </c>
      <c r="N46" s="34">
        <v>2.2599999999999998</v>
      </c>
      <c r="O46" s="34">
        <v>2.2200000000000002</v>
      </c>
      <c r="P46" s="34">
        <v>2.04</v>
      </c>
      <c r="Q46" s="34">
        <v>1.69</v>
      </c>
      <c r="R46" s="34">
        <v>2.0099999999999998</v>
      </c>
      <c r="S46" s="34">
        <v>2.0499999999999998</v>
      </c>
      <c r="T46" s="34">
        <v>1.86</v>
      </c>
      <c r="U46" s="34">
        <v>2.34</v>
      </c>
      <c r="V46" s="34">
        <v>2.2200000000000002</v>
      </c>
      <c r="W46" s="34">
        <v>1.92</v>
      </c>
      <c r="X46" s="34">
        <v>2.11</v>
      </c>
      <c r="Y46" s="34">
        <v>1.7</v>
      </c>
      <c r="Z46" s="34">
        <v>1.3</v>
      </c>
    </row>
    <row r="47" spans="1:26" ht="15.75" x14ac:dyDescent="0.25">
      <c r="A47" s="33">
        <v>2227</v>
      </c>
      <c r="B47" s="33">
        <v>2214</v>
      </c>
      <c r="C47" s="33" t="s">
        <v>23</v>
      </c>
      <c r="D47" s="33" t="s">
        <v>21</v>
      </c>
      <c r="E47" s="33" t="s">
        <v>24</v>
      </c>
      <c r="F47" s="34">
        <v>335.45454549999999</v>
      </c>
      <c r="G47" s="34">
        <v>365.90909090000002</v>
      </c>
      <c r="H47" s="34">
        <v>395.45454549999999</v>
      </c>
      <c r="I47" s="34">
        <v>391.36363640000002</v>
      </c>
      <c r="J47" s="34">
        <v>415</v>
      </c>
      <c r="K47" s="35">
        <v>430</v>
      </c>
      <c r="L47" s="34">
        <v>2.1800000000000002</v>
      </c>
      <c r="M47" s="34">
        <v>2.14</v>
      </c>
      <c r="N47" s="34">
        <v>1.33</v>
      </c>
      <c r="O47" s="34">
        <v>1.42</v>
      </c>
      <c r="P47" s="34">
        <v>1.35</v>
      </c>
      <c r="Q47" s="34">
        <v>2.11</v>
      </c>
      <c r="R47" s="34">
        <v>0.91</v>
      </c>
      <c r="S47" s="34">
        <v>1.17</v>
      </c>
      <c r="T47" s="34">
        <v>1.1399999999999999</v>
      </c>
      <c r="U47" s="34">
        <v>-0.28999999999999998</v>
      </c>
      <c r="V47" s="34">
        <v>0.7</v>
      </c>
      <c r="W47" s="34">
        <v>0.82</v>
      </c>
      <c r="X47" s="34">
        <v>1.69</v>
      </c>
      <c r="Y47" s="34">
        <v>1.38</v>
      </c>
      <c r="Z47" s="34">
        <v>1.07</v>
      </c>
    </row>
    <row r="48" spans="1:26" ht="15.75" x14ac:dyDescent="0.25">
      <c r="A48" s="33">
        <v>2229</v>
      </c>
      <c r="B48" s="33">
        <v>2214</v>
      </c>
      <c r="C48" s="33" t="s">
        <v>27</v>
      </c>
      <c r="D48" s="33" t="s">
        <v>15</v>
      </c>
      <c r="E48" s="33" t="s">
        <v>24</v>
      </c>
      <c r="F48" s="34">
        <v>278.63636359999998</v>
      </c>
      <c r="G48" s="34">
        <v>300.90909090000002</v>
      </c>
      <c r="H48" s="34">
        <v>333.63636359999998</v>
      </c>
      <c r="I48" s="34">
        <v>354.09090909999998</v>
      </c>
      <c r="J48" s="34">
        <v>389.54545450000001</v>
      </c>
      <c r="K48" s="35">
        <v>405.45454549999999</v>
      </c>
      <c r="L48" s="34">
        <v>1.59</v>
      </c>
      <c r="M48" s="34">
        <v>1.96</v>
      </c>
      <c r="N48" s="34">
        <v>1.8</v>
      </c>
      <c r="O48" s="34">
        <v>1.98</v>
      </c>
      <c r="P48" s="34">
        <v>1.81</v>
      </c>
      <c r="Q48" s="34">
        <v>2.34</v>
      </c>
      <c r="R48" s="34">
        <v>1.9</v>
      </c>
      <c r="S48" s="34">
        <v>2.11</v>
      </c>
      <c r="T48" s="34">
        <v>1.87</v>
      </c>
      <c r="U48" s="34">
        <v>1.46</v>
      </c>
      <c r="V48" s="34">
        <v>2</v>
      </c>
      <c r="W48" s="34">
        <v>1.71</v>
      </c>
      <c r="X48" s="34">
        <v>2.5299999999999998</v>
      </c>
      <c r="Y48" s="34">
        <v>1.83</v>
      </c>
      <c r="Z48" s="34">
        <v>1.1399999999999999</v>
      </c>
    </row>
    <row r="49" spans="1:26" ht="15.75" x14ac:dyDescent="0.25">
      <c r="A49" s="33">
        <v>2233</v>
      </c>
      <c r="B49" s="33">
        <v>2214</v>
      </c>
      <c r="C49" s="33" t="s">
        <v>20</v>
      </c>
      <c r="D49" s="33" t="s">
        <v>21</v>
      </c>
      <c r="E49" s="33" t="s">
        <v>15</v>
      </c>
      <c r="F49" s="34">
        <v>365.45454549999999</v>
      </c>
      <c r="G49" s="34">
        <v>399.09090909999998</v>
      </c>
      <c r="H49" s="34">
        <v>438.18181820000001</v>
      </c>
      <c r="I49" s="34">
        <v>449.54545450000001</v>
      </c>
      <c r="J49" s="34">
        <v>479.54545450000001</v>
      </c>
      <c r="K49" s="35">
        <v>461.81818179999999</v>
      </c>
      <c r="L49" s="34">
        <v>2.4</v>
      </c>
      <c r="M49" s="34">
        <v>2.6</v>
      </c>
      <c r="N49" s="34">
        <v>2</v>
      </c>
      <c r="O49" s="34">
        <v>2.04</v>
      </c>
      <c r="P49" s="34">
        <v>1.38</v>
      </c>
      <c r="Q49" s="34">
        <v>2.79</v>
      </c>
      <c r="R49" s="34">
        <v>1.8</v>
      </c>
      <c r="S49" s="34">
        <v>1.92</v>
      </c>
      <c r="T49" s="34">
        <v>1.1200000000000001</v>
      </c>
      <c r="U49" s="34">
        <v>0.81</v>
      </c>
      <c r="V49" s="34">
        <v>1.48</v>
      </c>
      <c r="W49" s="34">
        <v>0.56000000000000005</v>
      </c>
      <c r="X49" s="34">
        <v>2.14</v>
      </c>
      <c r="Y49" s="34">
        <v>0.44</v>
      </c>
      <c r="Z49" s="34">
        <v>-1.27</v>
      </c>
    </row>
    <row r="50" spans="1:26" ht="15.75" x14ac:dyDescent="0.25">
      <c r="A50" s="33">
        <v>2235</v>
      </c>
      <c r="B50" s="33">
        <v>2214</v>
      </c>
      <c r="C50" s="33" t="s">
        <v>20</v>
      </c>
      <c r="D50" s="33" t="s">
        <v>21</v>
      </c>
      <c r="E50" s="33" t="s">
        <v>15</v>
      </c>
      <c r="F50" s="34">
        <v>328.18181820000001</v>
      </c>
      <c r="G50" s="34">
        <v>378.63636359999998</v>
      </c>
      <c r="H50" s="34">
        <v>410.45454549999999</v>
      </c>
      <c r="I50" s="34">
        <v>437.27272729999999</v>
      </c>
      <c r="J50" s="34">
        <v>468.18181820000001</v>
      </c>
      <c r="K50" s="35">
        <v>487.27272729999999</v>
      </c>
      <c r="L50" s="34">
        <v>3.6</v>
      </c>
      <c r="M50" s="34">
        <v>2.94</v>
      </c>
      <c r="N50" s="34">
        <v>2.6</v>
      </c>
      <c r="O50" s="34">
        <v>2.5</v>
      </c>
      <c r="P50" s="34">
        <v>2.27</v>
      </c>
      <c r="Q50" s="34">
        <v>2.27</v>
      </c>
      <c r="R50" s="34">
        <v>2.09</v>
      </c>
      <c r="S50" s="34">
        <v>2.13</v>
      </c>
      <c r="T50" s="34">
        <v>1.94</v>
      </c>
      <c r="U50" s="34">
        <v>1.92</v>
      </c>
      <c r="V50" s="34">
        <v>2.06</v>
      </c>
      <c r="W50" s="34">
        <v>1.83</v>
      </c>
      <c r="X50" s="34">
        <v>2.21</v>
      </c>
      <c r="Y50" s="34">
        <v>1.79</v>
      </c>
      <c r="Z50" s="34">
        <v>1.36</v>
      </c>
    </row>
    <row r="51" spans="1:26" ht="15.75" x14ac:dyDescent="0.25">
      <c r="A51" s="33">
        <v>2236</v>
      </c>
      <c r="B51" s="33">
        <v>2214</v>
      </c>
      <c r="C51" s="33" t="s">
        <v>23</v>
      </c>
      <c r="D51" s="33" t="s">
        <v>21</v>
      </c>
      <c r="E51" s="33" t="s">
        <v>24</v>
      </c>
      <c r="F51" s="34">
        <v>390</v>
      </c>
      <c r="G51" s="34">
        <v>429.54545450000001</v>
      </c>
      <c r="H51" s="34">
        <v>465.90909090000002</v>
      </c>
      <c r="I51" s="34">
        <v>490.45454549999999</v>
      </c>
      <c r="J51" s="34">
        <v>520.90909090000002</v>
      </c>
      <c r="K51" s="35">
        <v>535</v>
      </c>
      <c r="L51" s="34">
        <v>2.82</v>
      </c>
      <c r="M51" s="34">
        <v>2.71</v>
      </c>
      <c r="N51" s="34">
        <v>2.39</v>
      </c>
      <c r="O51" s="34">
        <v>2.34</v>
      </c>
      <c r="P51" s="34">
        <v>2.0699999999999998</v>
      </c>
      <c r="Q51" s="34">
        <v>2.6</v>
      </c>
      <c r="R51" s="34">
        <v>2.1800000000000002</v>
      </c>
      <c r="S51" s="34">
        <v>2.1800000000000002</v>
      </c>
      <c r="T51" s="34">
        <v>1.88</v>
      </c>
      <c r="U51" s="34">
        <v>1.75</v>
      </c>
      <c r="V51" s="34">
        <v>1.96</v>
      </c>
      <c r="W51" s="34">
        <v>1.65</v>
      </c>
      <c r="X51" s="34">
        <v>2.1800000000000002</v>
      </c>
      <c r="Y51" s="34">
        <v>1.59</v>
      </c>
      <c r="Z51" s="34">
        <v>1.01</v>
      </c>
    </row>
    <row r="52" spans="1:26" ht="15.75" x14ac:dyDescent="0.25">
      <c r="A52" s="33">
        <v>2237</v>
      </c>
      <c r="B52" s="33">
        <v>2214</v>
      </c>
      <c r="C52" s="33" t="s">
        <v>23</v>
      </c>
      <c r="D52" s="33" t="s">
        <v>21</v>
      </c>
      <c r="E52" s="33" t="s">
        <v>24</v>
      </c>
      <c r="F52" s="34">
        <v>360</v>
      </c>
      <c r="G52" s="34">
        <v>400</v>
      </c>
      <c r="H52" s="34">
        <v>441.36363640000002</v>
      </c>
      <c r="I52" s="34">
        <v>463.63636359999998</v>
      </c>
      <c r="J52" s="34">
        <v>479.09090909999998</v>
      </c>
      <c r="K52" s="35">
        <v>472.72727270000001</v>
      </c>
      <c r="L52" s="34">
        <v>2.86</v>
      </c>
      <c r="M52" s="34">
        <v>2.91</v>
      </c>
      <c r="N52" s="34">
        <v>2.4700000000000002</v>
      </c>
      <c r="O52" s="34">
        <v>2.13</v>
      </c>
      <c r="P52" s="34">
        <v>1.61</v>
      </c>
      <c r="Q52" s="34">
        <v>2.95</v>
      </c>
      <c r="R52" s="34">
        <v>2.27</v>
      </c>
      <c r="S52" s="34">
        <v>1.88</v>
      </c>
      <c r="T52" s="34">
        <v>1.3</v>
      </c>
      <c r="U52" s="34">
        <v>1.59</v>
      </c>
      <c r="V52" s="34">
        <v>1.35</v>
      </c>
      <c r="W52" s="34">
        <v>0.75</v>
      </c>
      <c r="X52" s="34">
        <v>1.1000000000000001</v>
      </c>
      <c r="Y52" s="34">
        <v>0.32</v>
      </c>
      <c r="Z52" s="34">
        <v>-0.45</v>
      </c>
    </row>
    <row r="53" spans="1:26" ht="15.75" x14ac:dyDescent="0.25">
      <c r="A53" s="33">
        <v>2238</v>
      </c>
      <c r="B53" s="33">
        <v>2214</v>
      </c>
      <c r="C53" s="33" t="s">
        <v>20</v>
      </c>
      <c r="D53" s="33" t="s">
        <v>21</v>
      </c>
      <c r="E53" s="33" t="s">
        <v>15</v>
      </c>
      <c r="F53" s="34">
        <v>380.45454549999999</v>
      </c>
      <c r="G53" s="34">
        <v>387.72727270000001</v>
      </c>
      <c r="H53" s="34">
        <v>427.27272729999999</v>
      </c>
      <c r="I53" s="34">
        <v>446.36363640000002</v>
      </c>
      <c r="J53" s="34">
        <v>469.09090909999998</v>
      </c>
      <c r="K53" s="35">
        <v>468.18181820000001</v>
      </c>
      <c r="L53" s="34">
        <v>0.52</v>
      </c>
      <c r="M53" s="34">
        <v>1.67</v>
      </c>
      <c r="N53" s="34">
        <v>1.57</v>
      </c>
      <c r="O53" s="34">
        <v>1.58</v>
      </c>
      <c r="P53" s="34">
        <v>1.25</v>
      </c>
      <c r="Q53" s="34">
        <v>2.82</v>
      </c>
      <c r="R53" s="34">
        <v>2.09</v>
      </c>
      <c r="S53" s="34">
        <v>1.94</v>
      </c>
      <c r="T53" s="34">
        <v>1.44</v>
      </c>
      <c r="U53" s="34">
        <v>1.36</v>
      </c>
      <c r="V53" s="34">
        <v>1.49</v>
      </c>
      <c r="W53" s="34">
        <v>0.97</v>
      </c>
      <c r="X53" s="34">
        <v>1.62</v>
      </c>
      <c r="Y53" s="34">
        <v>0.78</v>
      </c>
      <c r="Z53" s="34">
        <v>-0.06</v>
      </c>
    </row>
    <row r="54" spans="1:26" ht="15.75" x14ac:dyDescent="0.25">
      <c r="A54" s="33">
        <v>2240</v>
      </c>
      <c r="B54" s="33">
        <v>2214</v>
      </c>
      <c r="C54" s="33" t="s">
        <v>20</v>
      </c>
      <c r="D54" s="33" t="s">
        <v>21</v>
      </c>
      <c r="E54" s="33" t="s">
        <v>15</v>
      </c>
      <c r="F54" s="34">
        <v>334.09090909999998</v>
      </c>
      <c r="G54" s="34">
        <v>362.72727270000001</v>
      </c>
      <c r="H54" s="34">
        <v>405.90909090000002</v>
      </c>
      <c r="I54" s="34">
        <v>434.09090909999998</v>
      </c>
      <c r="J54" s="34">
        <v>457.72727270000001</v>
      </c>
      <c r="K54" s="35">
        <v>475.90909090000002</v>
      </c>
      <c r="L54" s="34">
        <v>2.0499999999999998</v>
      </c>
      <c r="M54" s="34">
        <v>2.56</v>
      </c>
      <c r="N54" s="34">
        <v>2.38</v>
      </c>
      <c r="O54" s="34">
        <v>2.21</v>
      </c>
      <c r="P54" s="34">
        <v>2.0299999999999998</v>
      </c>
      <c r="Q54" s="34">
        <v>3.08</v>
      </c>
      <c r="R54" s="34">
        <v>2.5499999999999998</v>
      </c>
      <c r="S54" s="34">
        <v>2.2599999999999998</v>
      </c>
      <c r="T54" s="34">
        <v>2.02</v>
      </c>
      <c r="U54" s="34">
        <v>2.0099999999999998</v>
      </c>
      <c r="V54" s="34">
        <v>1.85</v>
      </c>
      <c r="W54" s="34">
        <v>1.67</v>
      </c>
      <c r="X54" s="34">
        <v>1.69</v>
      </c>
      <c r="Y54" s="34">
        <v>1.49</v>
      </c>
      <c r="Z54" s="34">
        <v>1.3</v>
      </c>
    </row>
    <row r="55" spans="1:26" ht="15.75" x14ac:dyDescent="0.25">
      <c r="A55" s="33">
        <v>2241</v>
      </c>
      <c r="B55" s="33">
        <v>2214</v>
      </c>
      <c r="C55" s="33" t="s">
        <v>20</v>
      </c>
      <c r="D55" s="33" t="s">
        <v>21</v>
      </c>
      <c r="E55" s="33" t="s">
        <v>15</v>
      </c>
      <c r="F55" s="34">
        <v>395.45454549999999</v>
      </c>
      <c r="G55" s="34">
        <v>438.63636359999998</v>
      </c>
      <c r="H55" s="34">
        <v>478.18181820000001</v>
      </c>
      <c r="I55" s="34">
        <v>489.09090909999998</v>
      </c>
      <c r="J55" s="34">
        <v>525</v>
      </c>
      <c r="K55" s="35">
        <v>520.90909090000002</v>
      </c>
      <c r="L55" s="34">
        <v>3.08</v>
      </c>
      <c r="M55" s="34">
        <v>2.95</v>
      </c>
      <c r="N55" s="34">
        <v>2.23</v>
      </c>
      <c r="O55" s="34">
        <v>2.31</v>
      </c>
      <c r="P55" s="34">
        <v>1.79</v>
      </c>
      <c r="Q55" s="34">
        <v>2.82</v>
      </c>
      <c r="R55" s="34">
        <v>1.8</v>
      </c>
      <c r="S55" s="34">
        <v>2.06</v>
      </c>
      <c r="T55" s="34">
        <v>1.47</v>
      </c>
      <c r="U55" s="34">
        <v>0.78</v>
      </c>
      <c r="V55" s="34">
        <v>1.67</v>
      </c>
      <c r="W55" s="34">
        <v>1.02</v>
      </c>
      <c r="X55" s="34">
        <v>2.56</v>
      </c>
      <c r="Y55" s="34">
        <v>1.1399999999999999</v>
      </c>
      <c r="Z55" s="34">
        <v>-0.28999999999999998</v>
      </c>
    </row>
    <row r="56" spans="1:26" ht="15.75" x14ac:dyDescent="0.25">
      <c r="A56" s="33">
        <v>2244</v>
      </c>
      <c r="B56" s="33">
        <v>2214</v>
      </c>
      <c r="C56" s="33" t="s">
        <v>20</v>
      </c>
      <c r="D56" s="33" t="s">
        <v>21</v>
      </c>
      <c r="E56" s="33" t="s">
        <v>15</v>
      </c>
      <c r="F56" s="34">
        <v>342.27272729999999</v>
      </c>
      <c r="G56" s="34">
        <v>378.18181820000001</v>
      </c>
      <c r="H56" s="34">
        <v>428.18181820000001</v>
      </c>
      <c r="I56" s="34">
        <v>441.36363640000002</v>
      </c>
      <c r="J56" s="34">
        <v>481.36363640000002</v>
      </c>
      <c r="K56" s="35">
        <v>481.36363640000002</v>
      </c>
      <c r="L56" s="34">
        <v>2.56</v>
      </c>
      <c r="M56" s="34">
        <v>3.07</v>
      </c>
      <c r="N56" s="34">
        <v>2.36</v>
      </c>
      <c r="O56" s="34">
        <v>2.48</v>
      </c>
      <c r="P56" s="34">
        <v>1.99</v>
      </c>
      <c r="Q56" s="34">
        <v>3.57</v>
      </c>
      <c r="R56" s="34">
        <v>2.2599999999999998</v>
      </c>
      <c r="S56" s="34">
        <v>2.46</v>
      </c>
      <c r="T56" s="34">
        <v>1.84</v>
      </c>
      <c r="U56" s="34">
        <v>0.94</v>
      </c>
      <c r="V56" s="34">
        <v>1.9</v>
      </c>
      <c r="W56" s="34">
        <v>1.27</v>
      </c>
      <c r="X56" s="34">
        <v>2.86</v>
      </c>
      <c r="Y56" s="34">
        <v>1.43</v>
      </c>
      <c r="Z56" s="34">
        <v>0</v>
      </c>
    </row>
    <row r="57" spans="1:26" ht="15.75" x14ac:dyDescent="0.25">
      <c r="A57" s="33">
        <v>2245</v>
      </c>
      <c r="B57" s="33">
        <v>2214</v>
      </c>
      <c r="C57" s="33" t="s">
        <v>20</v>
      </c>
      <c r="D57" s="33" t="s">
        <v>21</v>
      </c>
      <c r="E57" s="33" t="s">
        <v>15</v>
      </c>
      <c r="F57" s="34">
        <v>271.36363640000002</v>
      </c>
      <c r="G57" s="34">
        <v>314.54545450000001</v>
      </c>
      <c r="H57" s="34">
        <v>342.72727270000001</v>
      </c>
      <c r="I57" s="34">
        <v>373.18181820000001</v>
      </c>
      <c r="J57" s="34">
        <v>405.45454549999999</v>
      </c>
      <c r="K57" s="35">
        <v>395</v>
      </c>
      <c r="L57" s="34">
        <v>3.08</v>
      </c>
      <c r="M57" s="34">
        <v>2.5499999999999998</v>
      </c>
      <c r="N57" s="34">
        <v>2.42</v>
      </c>
      <c r="O57" s="34">
        <v>2.39</v>
      </c>
      <c r="P57" s="34">
        <v>1.77</v>
      </c>
      <c r="Q57" s="34">
        <v>2.0099999999999998</v>
      </c>
      <c r="R57" s="34">
        <v>2.09</v>
      </c>
      <c r="S57" s="34">
        <v>2.16</v>
      </c>
      <c r="T57" s="34">
        <v>1.44</v>
      </c>
      <c r="U57" s="34">
        <v>2.1800000000000002</v>
      </c>
      <c r="V57" s="34">
        <v>2.2400000000000002</v>
      </c>
      <c r="W57" s="34">
        <v>1.24</v>
      </c>
      <c r="X57" s="34">
        <v>2.31</v>
      </c>
      <c r="Y57" s="34">
        <v>0.78</v>
      </c>
      <c r="Z57" s="34">
        <v>-0.75</v>
      </c>
    </row>
    <row r="58" spans="1:26" ht="15.75" x14ac:dyDescent="0.25">
      <c r="A58" s="33">
        <v>2246</v>
      </c>
      <c r="B58" s="33">
        <v>2214</v>
      </c>
      <c r="C58" s="33" t="s">
        <v>20</v>
      </c>
      <c r="D58" s="33" t="s">
        <v>21</v>
      </c>
      <c r="E58" s="33" t="s">
        <v>15</v>
      </c>
      <c r="F58" s="34">
        <v>402.27272729999999</v>
      </c>
      <c r="G58" s="34">
        <v>455</v>
      </c>
      <c r="H58" s="34">
        <v>471.36363640000002</v>
      </c>
      <c r="I58" s="34">
        <v>501.81818179999999</v>
      </c>
      <c r="J58" s="34">
        <v>533.63636359999998</v>
      </c>
      <c r="K58" s="35">
        <v>546.36363640000002</v>
      </c>
      <c r="L58" s="34">
        <v>3.77</v>
      </c>
      <c r="M58" s="34">
        <v>2.4700000000000002</v>
      </c>
      <c r="N58" s="34">
        <v>2.37</v>
      </c>
      <c r="O58" s="34">
        <v>2.35</v>
      </c>
      <c r="P58" s="34">
        <v>2.06</v>
      </c>
      <c r="Q58" s="34">
        <v>1.17</v>
      </c>
      <c r="R58" s="34">
        <v>1.67</v>
      </c>
      <c r="S58" s="34">
        <v>1.87</v>
      </c>
      <c r="T58" s="34">
        <v>1.63</v>
      </c>
      <c r="U58" s="34">
        <v>2.1800000000000002</v>
      </c>
      <c r="V58" s="34">
        <v>2.2200000000000002</v>
      </c>
      <c r="W58" s="34">
        <v>1.79</v>
      </c>
      <c r="X58" s="34">
        <v>2.27</v>
      </c>
      <c r="Y58" s="34">
        <v>1.59</v>
      </c>
      <c r="Z58" s="34">
        <v>0.91</v>
      </c>
    </row>
    <row r="59" spans="1:26" ht="15.75" x14ac:dyDescent="0.25">
      <c r="A59" s="33">
        <v>2239</v>
      </c>
      <c r="B59" s="33">
        <v>2214</v>
      </c>
      <c r="C59" s="33" t="s">
        <v>23</v>
      </c>
      <c r="D59" s="33" t="s">
        <v>21</v>
      </c>
      <c r="E59" s="33" t="s">
        <v>24</v>
      </c>
      <c r="F59" s="35">
        <v>361.81818179999999</v>
      </c>
      <c r="G59" s="35">
        <v>386.81818179999999</v>
      </c>
      <c r="H59" s="35">
        <v>400.45454549999999</v>
      </c>
      <c r="I59" s="35">
        <v>382.27272729999999</v>
      </c>
      <c r="J59" s="35" t="s">
        <v>39</v>
      </c>
      <c r="K59" s="35" t="s">
        <v>39</v>
      </c>
      <c r="L59" s="35">
        <v>1.79</v>
      </c>
      <c r="M59" s="35">
        <v>1.38</v>
      </c>
      <c r="N59" s="35">
        <v>0.49</v>
      </c>
      <c r="O59" s="35" t="s">
        <v>39</v>
      </c>
      <c r="P59" s="35" t="s">
        <v>39</v>
      </c>
      <c r="Q59" s="35">
        <v>0.97</v>
      </c>
      <c r="R59" s="35">
        <v>-0.16</v>
      </c>
      <c r="S59" s="35" t="s">
        <v>39</v>
      </c>
      <c r="T59" s="35" t="s">
        <v>39</v>
      </c>
      <c r="U59" s="35">
        <v>-1.3</v>
      </c>
      <c r="V59" s="35" t="s">
        <v>39</v>
      </c>
      <c r="W59" s="35" t="s">
        <v>39</v>
      </c>
      <c r="X59" s="35" t="s">
        <v>39</v>
      </c>
      <c r="Y59" s="35" t="s">
        <v>39</v>
      </c>
      <c r="Z59" s="35" t="s">
        <v>39</v>
      </c>
    </row>
    <row r="60" spans="1:26" ht="15.75" x14ac:dyDescent="0.25">
      <c r="A60" s="33">
        <v>2001</v>
      </c>
      <c r="B60" s="33">
        <v>2214</v>
      </c>
      <c r="C60" s="33" t="s">
        <v>23</v>
      </c>
      <c r="D60" s="33" t="s">
        <v>21</v>
      </c>
      <c r="E60" s="33" t="s">
        <v>24</v>
      </c>
      <c r="F60" s="35">
        <v>337.72727270000001</v>
      </c>
      <c r="G60" s="35">
        <v>374.54545450000001</v>
      </c>
      <c r="H60" s="35">
        <v>395</v>
      </c>
      <c r="I60" s="35" t="s">
        <v>39</v>
      </c>
      <c r="J60" s="35" t="s">
        <v>39</v>
      </c>
      <c r="K60" s="35" t="s">
        <v>39</v>
      </c>
      <c r="L60" s="35">
        <v>2.63</v>
      </c>
      <c r="M60" s="35">
        <v>2.0499999999999998</v>
      </c>
      <c r="N60" s="35" t="s">
        <v>39</v>
      </c>
      <c r="O60" s="35" t="s">
        <v>39</v>
      </c>
      <c r="P60" s="35" t="s">
        <v>39</v>
      </c>
      <c r="Q60" s="35">
        <v>1.46</v>
      </c>
      <c r="R60" s="35" t="s">
        <v>39</v>
      </c>
      <c r="S60" s="35" t="s">
        <v>39</v>
      </c>
      <c r="T60" s="35" t="s">
        <v>39</v>
      </c>
      <c r="U60" s="35" t="s">
        <v>39</v>
      </c>
      <c r="V60" s="35" t="s">
        <v>39</v>
      </c>
      <c r="W60" s="35" t="s">
        <v>39</v>
      </c>
      <c r="X60" s="35" t="s">
        <v>39</v>
      </c>
      <c r="Y60" s="35" t="s">
        <v>39</v>
      </c>
      <c r="Z60" s="35" t="s">
        <v>39</v>
      </c>
    </row>
    <row r="61" spans="1:26" ht="18.75" x14ac:dyDescent="0.3">
      <c r="A61" s="36">
        <v>2502</v>
      </c>
      <c r="B61" s="33">
        <v>2304</v>
      </c>
      <c r="C61" s="33" t="s">
        <v>20</v>
      </c>
      <c r="D61" s="33" t="s">
        <v>21</v>
      </c>
      <c r="E61" s="33" t="s">
        <v>15</v>
      </c>
      <c r="F61" s="36">
        <v>430.45454549999999</v>
      </c>
      <c r="G61" s="36">
        <v>446.81818179999999</v>
      </c>
      <c r="H61" s="36">
        <v>465.45454549999999</v>
      </c>
      <c r="I61" s="36">
        <v>492.72727270000001</v>
      </c>
      <c r="J61" s="36">
        <v>522.72727269999996</v>
      </c>
      <c r="K61" s="36">
        <v>562.27272730000004</v>
      </c>
      <c r="L61" s="34">
        <v>1.1688311689999999</v>
      </c>
      <c r="M61" s="34">
        <v>1.25</v>
      </c>
      <c r="N61" s="34">
        <v>1.482683983</v>
      </c>
      <c r="O61" s="34">
        <v>1.6477272730000001</v>
      </c>
      <c r="P61" s="34">
        <v>1.883116883</v>
      </c>
      <c r="Q61" s="34">
        <v>1.3311688310000001</v>
      </c>
      <c r="R61" s="34">
        <v>1.6396103900000001</v>
      </c>
      <c r="S61" s="34">
        <v>1.807359307</v>
      </c>
      <c r="T61" s="34">
        <v>2.0616883119999998</v>
      </c>
      <c r="U61" s="34">
        <v>1.948051948</v>
      </c>
      <c r="V61" s="34">
        <v>2.0454545450000001</v>
      </c>
      <c r="W61" s="34">
        <v>2.3051948050000002</v>
      </c>
      <c r="X61" s="34">
        <v>2.1428571430000001</v>
      </c>
      <c r="Y61" s="34">
        <v>2.483766234</v>
      </c>
      <c r="Z61" s="34">
        <v>2.8246753249999998</v>
      </c>
    </row>
    <row r="62" spans="1:26" ht="18.75" x14ac:dyDescent="0.3">
      <c r="A62" s="36">
        <v>2505</v>
      </c>
      <c r="B62" s="33">
        <v>2304</v>
      </c>
      <c r="C62" s="33" t="s">
        <v>14</v>
      </c>
      <c r="D62" s="33" t="s">
        <v>15</v>
      </c>
      <c r="E62" s="33" t="s">
        <v>15</v>
      </c>
      <c r="F62" s="36">
        <v>412.27272729999999</v>
      </c>
      <c r="G62" s="36">
        <v>433.18181820000001</v>
      </c>
      <c r="H62" s="36">
        <v>457.27272729999999</v>
      </c>
      <c r="I62" s="36">
        <v>474.09090909999998</v>
      </c>
      <c r="J62" s="36">
        <v>494.54545450000001</v>
      </c>
      <c r="K62" s="36">
        <v>516.36363640000002</v>
      </c>
      <c r="L62" s="34">
        <v>1.493506494</v>
      </c>
      <c r="M62" s="34">
        <v>1.6071428569999999</v>
      </c>
      <c r="N62" s="34">
        <v>1.4718614720000001</v>
      </c>
      <c r="O62" s="34">
        <v>1.4691558440000001</v>
      </c>
      <c r="P62" s="34">
        <v>1.487012987</v>
      </c>
      <c r="Q62" s="34">
        <v>1.7207792209999999</v>
      </c>
      <c r="R62" s="34">
        <v>1.4610389610000001</v>
      </c>
      <c r="S62" s="34">
        <v>1.4610389610000001</v>
      </c>
      <c r="T62" s="34">
        <v>1.4853896099999999</v>
      </c>
      <c r="U62" s="34">
        <v>1.201298701</v>
      </c>
      <c r="V62" s="34">
        <v>1.3311688310000001</v>
      </c>
      <c r="W62" s="34">
        <v>1.406926407</v>
      </c>
      <c r="X62" s="34">
        <v>1.4610389610000001</v>
      </c>
      <c r="Y62" s="34">
        <v>1.5097402600000001</v>
      </c>
      <c r="Z62" s="34">
        <v>1.5584415579999999</v>
      </c>
    </row>
    <row r="63" spans="1:26" ht="18.75" x14ac:dyDescent="0.3">
      <c r="A63" s="36">
        <v>2510</v>
      </c>
      <c r="B63" s="33">
        <v>2304</v>
      </c>
      <c r="C63" s="33" t="s">
        <v>14</v>
      </c>
      <c r="D63" s="33" t="s">
        <v>15</v>
      </c>
      <c r="E63" s="33" t="s">
        <v>15</v>
      </c>
      <c r="F63" s="36">
        <v>419.09090909999998</v>
      </c>
      <c r="G63" s="36">
        <v>457.27272729999999</v>
      </c>
      <c r="H63" s="36">
        <v>468.18181820000001</v>
      </c>
      <c r="I63" s="36">
        <v>459.54545450000001</v>
      </c>
      <c r="J63" s="36">
        <v>478.18181820000001</v>
      </c>
      <c r="K63" s="36">
        <v>500.90909090000002</v>
      </c>
      <c r="L63" s="34">
        <v>2.7272727269999999</v>
      </c>
      <c r="M63" s="34">
        <v>1.753246753</v>
      </c>
      <c r="N63" s="34">
        <v>0.96320346300000004</v>
      </c>
      <c r="O63" s="34">
        <v>1.055194805</v>
      </c>
      <c r="P63" s="34">
        <v>1.1688311689999999</v>
      </c>
      <c r="Q63" s="34">
        <v>0.77922077899999997</v>
      </c>
      <c r="R63" s="34">
        <v>8.1168830999999997E-2</v>
      </c>
      <c r="S63" s="34">
        <v>0.49783549799999999</v>
      </c>
      <c r="T63" s="34">
        <v>0.77922077899999997</v>
      </c>
      <c r="U63" s="34">
        <v>-0.61688311699999998</v>
      </c>
      <c r="V63" s="34">
        <v>0.35714285699999998</v>
      </c>
      <c r="W63" s="34">
        <v>0.77922077899999997</v>
      </c>
      <c r="X63" s="34">
        <v>1.3311688310000001</v>
      </c>
      <c r="Y63" s="34">
        <v>1.4772727269999999</v>
      </c>
      <c r="Z63" s="34">
        <v>1.623376623</v>
      </c>
    </row>
    <row r="64" spans="1:26" ht="18.75" x14ac:dyDescent="0.3">
      <c r="A64" s="36">
        <v>2512</v>
      </c>
      <c r="B64" s="33">
        <v>2304</v>
      </c>
      <c r="C64" s="33" t="s">
        <v>20</v>
      </c>
      <c r="D64" s="33" t="s">
        <v>21</v>
      </c>
      <c r="E64" s="33" t="s">
        <v>15</v>
      </c>
      <c r="F64" s="36">
        <v>416.36363640000002</v>
      </c>
      <c r="G64" s="36">
        <v>443.18181820000001</v>
      </c>
      <c r="H64" s="36">
        <v>468.18181820000001</v>
      </c>
      <c r="I64" s="36">
        <v>481.36363640000002</v>
      </c>
      <c r="J64" s="36">
        <v>516.36363640000002</v>
      </c>
      <c r="K64" s="36">
        <v>540.45454549999999</v>
      </c>
      <c r="L64" s="34">
        <v>1.915584416</v>
      </c>
      <c r="M64" s="34">
        <v>1.8506493509999999</v>
      </c>
      <c r="N64" s="34">
        <v>1.5476190480000001</v>
      </c>
      <c r="O64" s="34">
        <v>1.7857142859999999</v>
      </c>
      <c r="P64" s="34">
        <v>1.7727272730000001</v>
      </c>
      <c r="Q64" s="34">
        <v>1.7857142859999999</v>
      </c>
      <c r="R64" s="34">
        <v>1.363636364</v>
      </c>
      <c r="S64" s="34">
        <v>1.742424242</v>
      </c>
      <c r="T64" s="34">
        <v>1.737012987</v>
      </c>
      <c r="U64" s="34">
        <v>0.94155844200000005</v>
      </c>
      <c r="V64" s="34">
        <v>1.7207792209999999</v>
      </c>
      <c r="W64" s="34">
        <v>1.7207792209999999</v>
      </c>
      <c r="X64" s="34">
        <v>2.5</v>
      </c>
      <c r="Y64" s="34">
        <v>2.1103896099999999</v>
      </c>
      <c r="Z64" s="34">
        <v>1.7207792209999999</v>
      </c>
    </row>
    <row r="65" spans="1:26" ht="18.75" x14ac:dyDescent="0.3">
      <c r="A65" s="36">
        <v>2514</v>
      </c>
      <c r="B65" s="33">
        <v>2304</v>
      </c>
      <c r="C65" s="33" t="s">
        <v>20</v>
      </c>
      <c r="D65" s="33" t="s">
        <v>21</v>
      </c>
      <c r="E65" s="33" t="s">
        <v>15</v>
      </c>
      <c r="F65" s="36">
        <v>362.27272729999999</v>
      </c>
      <c r="G65" s="36">
        <v>391.81818179999999</v>
      </c>
      <c r="H65" s="36">
        <v>415</v>
      </c>
      <c r="I65" s="36">
        <v>424.54545450000001</v>
      </c>
      <c r="J65" s="36">
        <v>470</v>
      </c>
      <c r="K65" s="36">
        <v>489.09090909999998</v>
      </c>
      <c r="L65" s="34">
        <v>2.1103896099999999</v>
      </c>
      <c r="M65" s="34">
        <v>1.883116883</v>
      </c>
      <c r="N65" s="34">
        <v>1.482683983</v>
      </c>
      <c r="O65" s="34">
        <v>1.923701299</v>
      </c>
      <c r="P65" s="34">
        <v>1.811688312</v>
      </c>
      <c r="Q65" s="34">
        <v>1.6558441559999999</v>
      </c>
      <c r="R65" s="34">
        <v>1.1688311689999999</v>
      </c>
      <c r="S65" s="34">
        <v>1.8614718610000001</v>
      </c>
      <c r="T65" s="34">
        <v>1.737012987</v>
      </c>
      <c r="U65" s="34">
        <v>0.68181818199999999</v>
      </c>
      <c r="V65" s="34">
        <v>1.9642857140000001</v>
      </c>
      <c r="W65" s="34">
        <v>1.764069264</v>
      </c>
      <c r="X65" s="34">
        <v>3.246753247</v>
      </c>
      <c r="Y65" s="34">
        <v>2.3051948050000002</v>
      </c>
      <c r="Z65" s="34">
        <v>1.363636364</v>
      </c>
    </row>
    <row r="66" spans="1:26" ht="18.75" x14ac:dyDescent="0.3">
      <c r="A66" s="36">
        <v>2517</v>
      </c>
      <c r="B66" s="33">
        <v>2304</v>
      </c>
      <c r="C66" s="33" t="s">
        <v>14</v>
      </c>
      <c r="D66" s="33" t="s">
        <v>15</v>
      </c>
      <c r="E66" s="33" t="s">
        <v>15</v>
      </c>
      <c r="F66" s="36">
        <v>500.90909090000002</v>
      </c>
      <c r="G66" s="36">
        <v>520.90909090000002</v>
      </c>
      <c r="H66" s="36">
        <v>540</v>
      </c>
      <c r="I66" s="36">
        <v>532.27272730000004</v>
      </c>
      <c r="J66" s="36">
        <v>569.09090909999998</v>
      </c>
      <c r="K66" s="36">
        <v>588.63636359999998</v>
      </c>
      <c r="L66" s="34">
        <v>1.428571429</v>
      </c>
      <c r="M66" s="34">
        <v>1.3961038960000001</v>
      </c>
      <c r="N66" s="34">
        <v>0.74675324700000001</v>
      </c>
      <c r="O66" s="34">
        <v>1.2175324679999999</v>
      </c>
      <c r="P66" s="34">
        <v>1.253246753</v>
      </c>
      <c r="Q66" s="34">
        <v>1.363636364</v>
      </c>
      <c r="R66" s="34">
        <v>0.40584415600000001</v>
      </c>
      <c r="S66" s="34">
        <v>1.147186147</v>
      </c>
      <c r="T66" s="34">
        <v>1.209415584</v>
      </c>
      <c r="U66" s="34">
        <v>-0.55194805199999997</v>
      </c>
      <c r="V66" s="34">
        <v>1.0389610389999999</v>
      </c>
      <c r="W66" s="34">
        <v>1.158008658</v>
      </c>
      <c r="X66" s="34">
        <v>2.62987013</v>
      </c>
      <c r="Y66" s="34">
        <v>2.012987013</v>
      </c>
      <c r="Z66" s="34">
        <v>1.3961038960000001</v>
      </c>
    </row>
    <row r="67" spans="1:26" ht="18.75" x14ac:dyDescent="0.3">
      <c r="A67" s="36">
        <v>2520</v>
      </c>
      <c r="B67" s="33">
        <v>2304</v>
      </c>
      <c r="C67" s="33" t="s">
        <v>20</v>
      </c>
      <c r="D67" s="33" t="s">
        <v>21</v>
      </c>
      <c r="E67" s="33" t="s">
        <v>15</v>
      </c>
      <c r="F67" s="36">
        <v>416.81818179999999</v>
      </c>
      <c r="G67" s="36">
        <v>448.63636359999998</v>
      </c>
      <c r="H67" s="36">
        <v>468.63636359999998</v>
      </c>
      <c r="I67" s="36">
        <v>489.54545450000001</v>
      </c>
      <c r="J67" s="36">
        <v>534.54545450000001</v>
      </c>
      <c r="K67" s="36">
        <v>581.36363640000002</v>
      </c>
      <c r="L67" s="34">
        <v>2.2727272730000001</v>
      </c>
      <c r="M67" s="34">
        <v>1.8506493509999999</v>
      </c>
      <c r="N67" s="34">
        <v>1.7316017319999999</v>
      </c>
      <c r="O67" s="34">
        <v>2.1022727269999999</v>
      </c>
      <c r="P67" s="34">
        <v>2.3506493509999999</v>
      </c>
      <c r="Q67" s="34">
        <v>1.428571429</v>
      </c>
      <c r="R67" s="34">
        <v>1.4610389610000001</v>
      </c>
      <c r="S67" s="34">
        <v>2.0454545450000001</v>
      </c>
      <c r="T67" s="34">
        <v>2.37012987</v>
      </c>
      <c r="U67" s="34">
        <v>1.493506494</v>
      </c>
      <c r="V67" s="34">
        <v>2.3538961039999999</v>
      </c>
      <c r="W67" s="34">
        <v>2.6839826840000001</v>
      </c>
      <c r="X67" s="34">
        <v>3.2142857139999998</v>
      </c>
      <c r="Y67" s="34">
        <v>3.2792207790000001</v>
      </c>
      <c r="Z67" s="34">
        <v>3.3441558439999999</v>
      </c>
    </row>
    <row r="68" spans="1:26" ht="18.75" x14ac:dyDescent="0.3">
      <c r="A68" s="36">
        <v>2523</v>
      </c>
      <c r="B68" s="33">
        <v>2304</v>
      </c>
      <c r="C68" s="33" t="s">
        <v>14</v>
      </c>
      <c r="D68" s="33" t="s">
        <v>15</v>
      </c>
      <c r="E68" s="33" t="s">
        <v>15</v>
      </c>
      <c r="F68" s="36">
        <v>468.18181820000001</v>
      </c>
      <c r="G68" s="36">
        <v>490.90909090000002</v>
      </c>
      <c r="H68" s="36">
        <v>530</v>
      </c>
      <c r="I68" s="36">
        <v>535</v>
      </c>
      <c r="J68" s="36">
        <v>555.45454549999999</v>
      </c>
      <c r="K68" s="36">
        <v>585</v>
      </c>
      <c r="L68" s="34">
        <v>1.623376623</v>
      </c>
      <c r="M68" s="34">
        <v>2.2077922079999999</v>
      </c>
      <c r="N68" s="34">
        <v>1.5909090910000001</v>
      </c>
      <c r="O68" s="34">
        <v>1.5584415579999999</v>
      </c>
      <c r="P68" s="34">
        <v>1.6688311689999999</v>
      </c>
      <c r="Q68" s="34">
        <v>2.7922077920000001</v>
      </c>
      <c r="R68" s="34">
        <v>1.5746753250000001</v>
      </c>
      <c r="S68" s="34">
        <v>1.5367965370000001</v>
      </c>
      <c r="T68" s="34">
        <v>1.680194805</v>
      </c>
      <c r="U68" s="34">
        <v>0.35714285699999998</v>
      </c>
      <c r="V68" s="34">
        <v>0.909090909</v>
      </c>
      <c r="W68" s="34">
        <v>1.30952381</v>
      </c>
      <c r="X68" s="34">
        <v>1.4610389610000001</v>
      </c>
      <c r="Y68" s="34">
        <v>1.7857142859999999</v>
      </c>
      <c r="Z68" s="34">
        <v>2.1103896099999999</v>
      </c>
    </row>
    <row r="69" spans="1:26" ht="18.75" x14ac:dyDescent="0.3">
      <c r="A69" s="36">
        <v>2526</v>
      </c>
      <c r="B69" s="33">
        <v>2304</v>
      </c>
      <c r="C69" s="33" t="s">
        <v>23</v>
      </c>
      <c r="D69" s="33" t="s">
        <v>21</v>
      </c>
      <c r="E69" s="33" t="s">
        <v>24</v>
      </c>
      <c r="F69" s="36">
        <v>405.90909090000002</v>
      </c>
      <c r="G69" s="36">
        <v>470</v>
      </c>
      <c r="H69" s="36">
        <v>477.27272729999999</v>
      </c>
      <c r="I69" s="36">
        <v>497.72727270000001</v>
      </c>
      <c r="J69" s="36">
        <v>512.27272730000004</v>
      </c>
      <c r="K69" s="36">
        <v>547.72727269999996</v>
      </c>
      <c r="L69" s="34">
        <v>4.5779220780000003</v>
      </c>
      <c r="M69" s="34">
        <v>2.5487012990000002</v>
      </c>
      <c r="N69" s="34">
        <v>2.1861471859999999</v>
      </c>
      <c r="O69" s="34">
        <v>1.8993506490000001</v>
      </c>
      <c r="P69" s="34">
        <v>2.0259740260000001</v>
      </c>
      <c r="Q69" s="34">
        <v>0.51948051900000003</v>
      </c>
      <c r="R69" s="34">
        <v>0.99025974000000005</v>
      </c>
      <c r="S69" s="34">
        <v>1.006493506</v>
      </c>
      <c r="T69" s="34">
        <v>1.387987013</v>
      </c>
      <c r="U69" s="34">
        <v>1.4610389610000001</v>
      </c>
      <c r="V69" s="34">
        <v>1.25</v>
      </c>
      <c r="W69" s="34">
        <v>1.677489177</v>
      </c>
      <c r="X69" s="34">
        <v>1.0389610389999999</v>
      </c>
      <c r="Y69" s="34">
        <v>1.7857142859999999</v>
      </c>
      <c r="Z69" s="34">
        <v>2.5324675320000001</v>
      </c>
    </row>
    <row r="70" spans="1:26" ht="18.75" x14ac:dyDescent="0.3">
      <c r="A70" s="36">
        <v>2534</v>
      </c>
      <c r="B70" s="33">
        <v>2304</v>
      </c>
      <c r="C70" s="33" t="s">
        <v>14</v>
      </c>
      <c r="D70" s="33" t="s">
        <v>15</v>
      </c>
      <c r="E70" s="33" t="s">
        <v>15</v>
      </c>
      <c r="F70" s="36">
        <v>441.36363640000002</v>
      </c>
      <c r="G70" s="36">
        <v>461.81818179999999</v>
      </c>
      <c r="H70" s="36">
        <v>480.90909090000002</v>
      </c>
      <c r="I70" s="36">
        <v>499.09090909999998</v>
      </c>
      <c r="J70" s="36">
        <v>520.90909090000002</v>
      </c>
      <c r="K70" s="36">
        <v>565</v>
      </c>
      <c r="L70" s="34">
        <v>1.4610389610000001</v>
      </c>
      <c r="M70" s="34">
        <v>1.4123376620000001</v>
      </c>
      <c r="N70" s="34">
        <v>1.3744588740000001</v>
      </c>
      <c r="O70" s="34">
        <v>1.4204545449999999</v>
      </c>
      <c r="P70" s="34">
        <v>1.766233766</v>
      </c>
      <c r="Q70" s="34">
        <v>1.363636364</v>
      </c>
      <c r="R70" s="34">
        <v>1.3311688310000001</v>
      </c>
      <c r="S70" s="34">
        <v>1.406926407</v>
      </c>
      <c r="T70" s="34">
        <v>1.8425324679999999</v>
      </c>
      <c r="U70" s="34">
        <v>1.298701299</v>
      </c>
      <c r="V70" s="34">
        <v>1.428571429</v>
      </c>
      <c r="W70" s="34">
        <v>2.0021645019999998</v>
      </c>
      <c r="X70" s="34">
        <v>1.5584415579999999</v>
      </c>
      <c r="Y70" s="34">
        <v>2.3538961039999999</v>
      </c>
      <c r="Z70" s="34">
        <v>3.1493506490000001</v>
      </c>
    </row>
    <row r="71" spans="1:26" ht="18.75" x14ac:dyDescent="0.3">
      <c r="A71" s="36">
        <v>2537</v>
      </c>
      <c r="B71" s="33">
        <v>2304</v>
      </c>
      <c r="C71" s="33" t="s">
        <v>23</v>
      </c>
      <c r="D71" s="33" t="s">
        <v>21</v>
      </c>
      <c r="E71" s="33" t="s">
        <v>24</v>
      </c>
      <c r="F71" s="36">
        <v>373.63636359999998</v>
      </c>
      <c r="G71" s="36">
        <v>406.81818179999999</v>
      </c>
      <c r="H71" s="36">
        <v>411.36363640000002</v>
      </c>
      <c r="I71" s="36">
        <v>421.36363640000002</v>
      </c>
      <c r="J71" s="36">
        <v>435</v>
      </c>
      <c r="K71" s="36">
        <v>455.90909090000002</v>
      </c>
      <c r="L71" s="34">
        <v>2.37012987</v>
      </c>
      <c r="M71" s="34">
        <v>1.3474025970000001</v>
      </c>
      <c r="N71" s="34">
        <v>1.136363636</v>
      </c>
      <c r="O71" s="34">
        <v>1.0957792209999999</v>
      </c>
      <c r="P71" s="34">
        <v>1.1753246749999999</v>
      </c>
      <c r="Q71" s="34">
        <v>0.32467532500000001</v>
      </c>
      <c r="R71" s="34">
        <v>0.51948051900000003</v>
      </c>
      <c r="S71" s="34">
        <v>0.67099567100000002</v>
      </c>
      <c r="T71" s="34">
        <v>0.87662337700000004</v>
      </c>
      <c r="U71" s="34">
        <v>0.71428571399999996</v>
      </c>
      <c r="V71" s="34">
        <v>0.84415584399999999</v>
      </c>
      <c r="W71" s="34">
        <v>1.0606060610000001</v>
      </c>
      <c r="X71" s="34">
        <v>0.97402597400000002</v>
      </c>
      <c r="Y71" s="34">
        <v>1.233766234</v>
      </c>
      <c r="Z71" s="34">
        <v>1.493506494</v>
      </c>
    </row>
    <row r="72" spans="1:26" ht="18.75" x14ac:dyDescent="0.3">
      <c r="A72" s="36">
        <v>2548</v>
      </c>
      <c r="B72" s="33">
        <v>2304</v>
      </c>
      <c r="C72" s="33" t="s">
        <v>14</v>
      </c>
      <c r="D72" s="33" t="s">
        <v>15</v>
      </c>
      <c r="E72" s="33" t="s">
        <v>15</v>
      </c>
      <c r="F72" s="36">
        <v>470.90909090000002</v>
      </c>
      <c r="G72" s="36">
        <v>492.27272729999999</v>
      </c>
      <c r="H72" s="36">
        <v>522.72727269999996</v>
      </c>
      <c r="I72" s="36">
        <v>528.63636359999998</v>
      </c>
      <c r="J72" s="36">
        <v>557.27272730000004</v>
      </c>
      <c r="K72" s="36">
        <v>565.90909090000002</v>
      </c>
      <c r="L72" s="34">
        <v>1.5259740260000001</v>
      </c>
      <c r="M72" s="34">
        <v>1.8506493509999999</v>
      </c>
      <c r="N72" s="34">
        <v>1.3744588740000001</v>
      </c>
      <c r="O72" s="34">
        <v>1.5422077919999999</v>
      </c>
      <c r="P72" s="34">
        <v>1.3571428569999999</v>
      </c>
      <c r="Q72" s="34">
        <v>2.1753246750000002</v>
      </c>
      <c r="R72" s="34">
        <v>1.298701299</v>
      </c>
      <c r="S72" s="34">
        <v>1.5476190480000001</v>
      </c>
      <c r="T72" s="34">
        <v>1.314935065</v>
      </c>
      <c r="U72" s="34">
        <v>0.42207792199999999</v>
      </c>
      <c r="V72" s="34">
        <v>1.233766234</v>
      </c>
      <c r="W72" s="34">
        <v>1.0281385279999999</v>
      </c>
      <c r="X72" s="34">
        <v>2.0454545450000001</v>
      </c>
      <c r="Y72" s="34">
        <v>1.3311688310000001</v>
      </c>
      <c r="Z72" s="34">
        <v>0.61688311699999998</v>
      </c>
    </row>
    <row r="73" spans="1:26" ht="18.75" x14ac:dyDescent="0.3">
      <c r="A73" s="36">
        <v>2553</v>
      </c>
      <c r="B73" s="33">
        <v>2304</v>
      </c>
      <c r="C73" s="33" t="s">
        <v>20</v>
      </c>
      <c r="D73" s="33" t="s">
        <v>21</v>
      </c>
      <c r="E73" s="33" t="s">
        <v>15</v>
      </c>
      <c r="F73" s="36">
        <v>405</v>
      </c>
      <c r="G73" s="36">
        <v>432.27272729999999</v>
      </c>
      <c r="H73" s="36">
        <v>448.63636359999998</v>
      </c>
      <c r="I73" s="36">
        <v>458.18181820000001</v>
      </c>
      <c r="J73" s="36">
        <v>500.90909090000002</v>
      </c>
      <c r="K73" s="36">
        <v>511.81818179999999</v>
      </c>
      <c r="L73" s="34">
        <v>1.948051948</v>
      </c>
      <c r="M73" s="34">
        <v>1.5584415579999999</v>
      </c>
      <c r="N73" s="34">
        <v>1.266233766</v>
      </c>
      <c r="O73" s="34">
        <v>1.7126623379999999</v>
      </c>
      <c r="P73" s="34">
        <v>1.5259740260000001</v>
      </c>
      <c r="Q73" s="34">
        <v>1.1688311689999999</v>
      </c>
      <c r="R73" s="34">
        <v>0.92532467500000004</v>
      </c>
      <c r="S73" s="34">
        <v>1.6341991339999999</v>
      </c>
      <c r="T73" s="34">
        <v>1.4204545449999999</v>
      </c>
      <c r="U73" s="34">
        <v>0.68181818199999999</v>
      </c>
      <c r="V73" s="34">
        <v>1.866883117</v>
      </c>
      <c r="W73" s="34">
        <v>1.5043290039999999</v>
      </c>
      <c r="X73" s="34">
        <v>3.0519480520000002</v>
      </c>
      <c r="Y73" s="34">
        <v>1.915584416</v>
      </c>
      <c r="Z73" s="34">
        <v>0.77922077899999997</v>
      </c>
    </row>
    <row r="74" spans="1:26" ht="18.75" x14ac:dyDescent="0.3">
      <c r="A74" s="36">
        <v>2554</v>
      </c>
      <c r="B74" s="33">
        <v>2304</v>
      </c>
      <c r="C74" s="33" t="s">
        <v>23</v>
      </c>
      <c r="D74" s="33" t="s">
        <v>21</v>
      </c>
      <c r="E74" s="33" t="s">
        <v>24</v>
      </c>
      <c r="F74" s="36">
        <v>435.90909090000002</v>
      </c>
      <c r="G74" s="36">
        <v>470.45454549999999</v>
      </c>
      <c r="H74" s="36">
        <v>490</v>
      </c>
      <c r="I74" s="36">
        <v>510</v>
      </c>
      <c r="J74" s="36">
        <v>545</v>
      </c>
      <c r="K74" s="36">
        <v>546.36363640000002</v>
      </c>
      <c r="L74" s="34">
        <v>2.4675324679999999</v>
      </c>
      <c r="M74" s="34">
        <v>1.931818182</v>
      </c>
      <c r="N74" s="34">
        <v>1.764069264</v>
      </c>
      <c r="O74" s="34">
        <v>1.948051948</v>
      </c>
      <c r="P74" s="34">
        <v>1.5779220780000001</v>
      </c>
      <c r="Q74" s="34">
        <v>1.3961038960000001</v>
      </c>
      <c r="R74" s="34">
        <v>1.4123376620000001</v>
      </c>
      <c r="S74" s="34">
        <v>1.7748917749999999</v>
      </c>
      <c r="T74" s="34">
        <v>1.355519481</v>
      </c>
      <c r="U74" s="34">
        <v>1.428571429</v>
      </c>
      <c r="V74" s="34">
        <v>1.9642857140000001</v>
      </c>
      <c r="W74" s="34">
        <v>1.341991342</v>
      </c>
      <c r="X74" s="34">
        <v>2.5</v>
      </c>
      <c r="Y74" s="34">
        <v>1.298701299</v>
      </c>
      <c r="Z74" s="34">
        <v>9.7402596999999994E-2</v>
      </c>
    </row>
    <row r="75" spans="1:26" ht="18.75" x14ac:dyDescent="0.3">
      <c r="A75" s="36">
        <v>2555</v>
      </c>
      <c r="B75" s="33">
        <v>2304</v>
      </c>
      <c r="C75" s="33" t="s">
        <v>27</v>
      </c>
      <c r="D75" s="33" t="s">
        <v>15</v>
      </c>
      <c r="E75" s="33" t="s">
        <v>24</v>
      </c>
      <c r="F75" s="36">
        <v>409.09090909999998</v>
      </c>
      <c r="G75" s="36">
        <v>450</v>
      </c>
      <c r="H75" s="36">
        <v>474.54545450000001</v>
      </c>
      <c r="I75" s="36">
        <v>478.18181820000001</v>
      </c>
      <c r="J75" s="36">
        <v>504.54545450000001</v>
      </c>
      <c r="K75" s="36">
        <v>531.36363640000002</v>
      </c>
      <c r="L75" s="34">
        <v>2.9220779220000002</v>
      </c>
      <c r="M75" s="34">
        <v>2.3376623379999999</v>
      </c>
      <c r="N75" s="34">
        <v>1.6450216449999999</v>
      </c>
      <c r="O75" s="34">
        <v>1.7045454550000001</v>
      </c>
      <c r="P75" s="34">
        <v>1.746753247</v>
      </c>
      <c r="Q75" s="34">
        <v>1.753246753</v>
      </c>
      <c r="R75" s="34">
        <v>1.006493506</v>
      </c>
      <c r="S75" s="34">
        <v>1.298701299</v>
      </c>
      <c r="T75" s="34">
        <v>1.4529220780000001</v>
      </c>
      <c r="U75" s="34">
        <v>0.25974026</v>
      </c>
      <c r="V75" s="34">
        <v>1.071428571</v>
      </c>
      <c r="W75" s="34">
        <v>1.352813853</v>
      </c>
      <c r="X75" s="34">
        <v>1.883116883</v>
      </c>
      <c r="Y75" s="34">
        <v>1.8993506490000001</v>
      </c>
      <c r="Z75" s="34">
        <v>1.915584416</v>
      </c>
    </row>
    <row r="76" spans="1:26" ht="18.75" x14ac:dyDescent="0.3">
      <c r="A76" s="36">
        <v>2557</v>
      </c>
      <c r="B76" s="33">
        <v>2304</v>
      </c>
      <c r="C76" s="33" t="s">
        <v>23</v>
      </c>
      <c r="D76" s="33" t="s">
        <v>21</v>
      </c>
      <c r="E76" s="33" t="s">
        <v>24</v>
      </c>
      <c r="F76" s="36">
        <v>419.54545450000001</v>
      </c>
      <c r="G76" s="36">
        <v>438.63636359999998</v>
      </c>
      <c r="H76" s="36">
        <v>455.45454549999999</v>
      </c>
      <c r="I76" s="36">
        <v>486.36363640000002</v>
      </c>
      <c r="J76" s="36">
        <v>504.54545450000001</v>
      </c>
      <c r="K76" s="36">
        <v>528.63636359999998</v>
      </c>
      <c r="L76" s="34">
        <v>1.363636364</v>
      </c>
      <c r="M76" s="34">
        <v>1.2824675320000001</v>
      </c>
      <c r="N76" s="34">
        <v>1.5909090910000001</v>
      </c>
      <c r="O76" s="34">
        <v>1.5178571430000001</v>
      </c>
      <c r="P76" s="34">
        <v>1.5584415579999999</v>
      </c>
      <c r="Q76" s="34">
        <v>1.201298701</v>
      </c>
      <c r="R76" s="34">
        <v>1.7045454550000001</v>
      </c>
      <c r="S76" s="34">
        <v>1.5692640689999999</v>
      </c>
      <c r="T76" s="34">
        <v>1.6071428569999999</v>
      </c>
      <c r="U76" s="34">
        <v>2.2077922079999999</v>
      </c>
      <c r="V76" s="34">
        <v>1.753246753</v>
      </c>
      <c r="W76" s="34">
        <v>1.742424242</v>
      </c>
      <c r="X76" s="34">
        <v>1.298701299</v>
      </c>
      <c r="Y76" s="34">
        <v>1.5097402600000001</v>
      </c>
      <c r="Z76" s="34">
        <v>1.7207792209999999</v>
      </c>
    </row>
    <row r="77" spans="1:26" ht="18.75" x14ac:dyDescent="0.3">
      <c r="A77" s="36">
        <v>2558</v>
      </c>
      <c r="B77" s="33">
        <v>2304</v>
      </c>
      <c r="C77" s="33" t="s">
        <v>14</v>
      </c>
      <c r="D77" s="33" t="s">
        <v>15</v>
      </c>
      <c r="E77" s="33" t="s">
        <v>15</v>
      </c>
      <c r="F77" s="36">
        <v>417.72727270000001</v>
      </c>
      <c r="G77" s="36">
        <v>438.63636359999998</v>
      </c>
      <c r="H77" s="36">
        <v>458.63636359999998</v>
      </c>
      <c r="I77" s="36">
        <v>478.18181820000001</v>
      </c>
      <c r="J77" s="36">
        <v>502.27272729999999</v>
      </c>
      <c r="K77" s="36">
        <v>508.63636359999998</v>
      </c>
      <c r="L77" s="34">
        <v>1.493506494</v>
      </c>
      <c r="M77" s="34">
        <v>1.4610389610000001</v>
      </c>
      <c r="N77" s="34">
        <v>1.4393939389999999</v>
      </c>
      <c r="O77" s="34">
        <v>1.5097402600000001</v>
      </c>
      <c r="P77" s="34">
        <v>1.298701299</v>
      </c>
      <c r="Q77" s="34">
        <v>1.428571429</v>
      </c>
      <c r="R77" s="34">
        <v>1.4123376620000001</v>
      </c>
      <c r="S77" s="34">
        <v>1.5151515149999999</v>
      </c>
      <c r="T77" s="34">
        <v>1.25</v>
      </c>
      <c r="U77" s="34">
        <v>1.3961038960000001</v>
      </c>
      <c r="V77" s="34">
        <v>1.5584415579999999</v>
      </c>
      <c r="W77" s="34">
        <v>1.19047619</v>
      </c>
      <c r="X77" s="34">
        <v>1.7207792209999999</v>
      </c>
      <c r="Y77" s="34">
        <v>1.0876623379999999</v>
      </c>
      <c r="Z77" s="34">
        <v>0.45454545499999999</v>
      </c>
    </row>
    <row r="78" spans="1:26" ht="18.75" x14ac:dyDescent="0.3">
      <c r="A78" s="36">
        <v>2561</v>
      </c>
      <c r="B78" s="33">
        <v>2304</v>
      </c>
      <c r="C78" s="33" t="s">
        <v>27</v>
      </c>
      <c r="D78" s="33" t="s">
        <v>15</v>
      </c>
      <c r="E78" s="33" t="s">
        <v>24</v>
      </c>
      <c r="F78" s="36">
        <v>358.18181820000001</v>
      </c>
      <c r="G78" s="36">
        <v>408.18181820000001</v>
      </c>
      <c r="H78" s="36">
        <v>414.54545450000001</v>
      </c>
      <c r="I78" s="36">
        <v>440.45454549999999</v>
      </c>
      <c r="J78" s="36">
        <v>456.36363640000002</v>
      </c>
      <c r="K78" s="36">
        <v>488.18181820000001</v>
      </c>
      <c r="L78" s="34">
        <v>3.5714285710000002</v>
      </c>
      <c r="M78" s="34">
        <v>2.012987013</v>
      </c>
      <c r="N78" s="34">
        <v>1.958874459</v>
      </c>
      <c r="O78" s="34">
        <v>1.753246753</v>
      </c>
      <c r="P78" s="34">
        <v>1.8571428569999999</v>
      </c>
      <c r="Q78" s="34">
        <v>0.45454545499999999</v>
      </c>
      <c r="R78" s="34">
        <v>1.1525974029999999</v>
      </c>
      <c r="S78" s="34">
        <v>1.147186147</v>
      </c>
      <c r="T78" s="34">
        <v>1.428571429</v>
      </c>
      <c r="U78" s="34">
        <v>1.8506493509999999</v>
      </c>
      <c r="V78" s="34">
        <v>1.493506494</v>
      </c>
      <c r="W78" s="34">
        <v>1.753246753</v>
      </c>
      <c r="X78" s="34">
        <v>1.136363636</v>
      </c>
      <c r="Y78" s="34">
        <v>1.7045454550000001</v>
      </c>
      <c r="Z78" s="34">
        <v>2.2727272730000001</v>
      </c>
    </row>
    <row r="79" spans="1:26" ht="18.75" x14ac:dyDescent="0.3">
      <c r="A79" s="36">
        <v>2562</v>
      </c>
      <c r="B79" s="33">
        <v>2304</v>
      </c>
      <c r="C79" s="33" t="s">
        <v>14</v>
      </c>
      <c r="D79" s="33" t="s">
        <v>15</v>
      </c>
      <c r="E79" s="33" t="s">
        <v>15</v>
      </c>
      <c r="F79" s="36">
        <v>435.90909090000002</v>
      </c>
      <c r="G79" s="36">
        <v>460.90909090000002</v>
      </c>
      <c r="H79" s="36">
        <v>503.63636359999998</v>
      </c>
      <c r="I79" s="36">
        <v>501.81818179999999</v>
      </c>
      <c r="J79" s="36">
        <v>514.09090909999998</v>
      </c>
      <c r="K79" s="36">
        <v>545</v>
      </c>
      <c r="L79" s="34">
        <v>1.7857142859999999</v>
      </c>
      <c r="M79" s="34">
        <v>2.4188311690000002</v>
      </c>
      <c r="N79" s="34">
        <v>1.5692640689999999</v>
      </c>
      <c r="O79" s="34">
        <v>1.3961038960000001</v>
      </c>
      <c r="P79" s="34">
        <v>1.5584415579999999</v>
      </c>
      <c r="Q79" s="34">
        <v>3.0519480520000002</v>
      </c>
      <c r="R79" s="34">
        <v>1.4610389610000001</v>
      </c>
      <c r="S79" s="34">
        <v>1.266233766</v>
      </c>
      <c r="T79" s="34">
        <v>1.501623377</v>
      </c>
      <c r="U79" s="34">
        <v>-0.12987013</v>
      </c>
      <c r="V79" s="34">
        <v>0.37337662300000002</v>
      </c>
      <c r="W79" s="34">
        <v>0.984848485</v>
      </c>
      <c r="X79" s="34">
        <v>0.87662337700000004</v>
      </c>
      <c r="Y79" s="34">
        <v>1.5422077919999999</v>
      </c>
      <c r="Z79" s="34">
        <v>2.2077922079999999</v>
      </c>
    </row>
    <row r="80" spans="1:26" ht="18.75" x14ac:dyDescent="0.3">
      <c r="A80" s="36">
        <v>2564</v>
      </c>
      <c r="B80" s="33">
        <v>2304</v>
      </c>
      <c r="C80" s="33" t="s">
        <v>20</v>
      </c>
      <c r="D80" s="33" t="s">
        <v>21</v>
      </c>
      <c r="E80" s="33" t="s">
        <v>15</v>
      </c>
      <c r="F80" s="36">
        <v>445</v>
      </c>
      <c r="G80" s="36">
        <v>476.36363640000002</v>
      </c>
      <c r="H80" s="36">
        <v>495</v>
      </c>
      <c r="I80" s="36">
        <v>517.27272730000004</v>
      </c>
      <c r="J80" s="36">
        <v>559.54545450000001</v>
      </c>
      <c r="K80" s="36">
        <v>566.36363640000002</v>
      </c>
      <c r="L80" s="34">
        <v>2.2402597399999999</v>
      </c>
      <c r="M80" s="34">
        <v>1.7857142859999999</v>
      </c>
      <c r="N80" s="34">
        <v>1.7207792209999999</v>
      </c>
      <c r="O80" s="34">
        <v>2.0454545450000001</v>
      </c>
      <c r="P80" s="34">
        <v>1.733766234</v>
      </c>
      <c r="Q80" s="34">
        <v>1.3311688310000001</v>
      </c>
      <c r="R80" s="34">
        <v>1.4610389610000001</v>
      </c>
      <c r="S80" s="34">
        <v>1.980519481</v>
      </c>
      <c r="T80" s="34">
        <v>1.6071428569999999</v>
      </c>
      <c r="U80" s="34">
        <v>1.5909090910000001</v>
      </c>
      <c r="V80" s="34">
        <v>2.3051948050000002</v>
      </c>
      <c r="W80" s="34">
        <v>1.699134199</v>
      </c>
      <c r="X80" s="34">
        <v>3.019480519</v>
      </c>
      <c r="Y80" s="34">
        <v>1.753246753</v>
      </c>
      <c r="Z80" s="34">
        <v>0.48701298700000001</v>
      </c>
    </row>
    <row r="81" spans="1:26" ht="18.75" x14ac:dyDescent="0.3">
      <c r="A81" s="36">
        <v>2565</v>
      </c>
      <c r="B81" s="33">
        <v>2304</v>
      </c>
      <c r="C81" s="33" t="s">
        <v>27</v>
      </c>
      <c r="D81" s="33" t="s">
        <v>15</v>
      </c>
      <c r="E81" s="33" t="s">
        <v>24</v>
      </c>
      <c r="F81" s="36">
        <v>432.72727270000001</v>
      </c>
      <c r="G81" s="36">
        <v>470.90909090000002</v>
      </c>
      <c r="H81" s="36">
        <v>499.54545450000001</v>
      </c>
      <c r="I81" s="36">
        <v>530</v>
      </c>
      <c r="J81" s="36">
        <v>551.81818180000005</v>
      </c>
      <c r="K81" s="36">
        <v>568.18181819999995</v>
      </c>
      <c r="L81" s="34">
        <v>2.7272727269999999</v>
      </c>
      <c r="M81" s="34">
        <v>2.386363636</v>
      </c>
      <c r="N81" s="34">
        <v>2.3160173159999999</v>
      </c>
      <c r="O81" s="34">
        <v>2.126623377</v>
      </c>
      <c r="P81" s="34">
        <v>1.935064935</v>
      </c>
      <c r="Q81" s="34">
        <v>2.0454545450000001</v>
      </c>
      <c r="R81" s="34">
        <v>2.1103896099999999</v>
      </c>
      <c r="S81" s="34">
        <v>1.9264069260000001</v>
      </c>
      <c r="T81" s="34">
        <v>1.737012987</v>
      </c>
      <c r="U81" s="34">
        <v>2.1753246750000002</v>
      </c>
      <c r="V81" s="34">
        <v>1.866883117</v>
      </c>
      <c r="W81" s="34">
        <v>1.6341991339999999</v>
      </c>
      <c r="X81" s="34">
        <v>1.5584415579999999</v>
      </c>
      <c r="Y81" s="34">
        <v>1.363636364</v>
      </c>
      <c r="Z81" s="34">
        <v>1.1688311689999999</v>
      </c>
    </row>
    <row r="82" spans="1:26" ht="18.75" x14ac:dyDescent="0.3">
      <c r="A82" s="36">
        <v>2566</v>
      </c>
      <c r="B82" s="33">
        <v>2304</v>
      </c>
      <c r="C82" s="33" t="s">
        <v>20</v>
      </c>
      <c r="D82" s="33" t="s">
        <v>21</v>
      </c>
      <c r="E82" s="33" t="s">
        <v>15</v>
      </c>
      <c r="F82" s="36">
        <v>424.54545450000001</v>
      </c>
      <c r="G82" s="36">
        <v>461.36363640000002</v>
      </c>
      <c r="H82" s="36">
        <v>475.45454549999999</v>
      </c>
      <c r="I82" s="36">
        <v>493.18181820000001</v>
      </c>
      <c r="J82" s="36">
        <v>520</v>
      </c>
      <c r="K82" s="36">
        <v>539.54545450000001</v>
      </c>
      <c r="L82" s="34">
        <v>2.62987013</v>
      </c>
      <c r="M82" s="34">
        <v>1.818181818</v>
      </c>
      <c r="N82" s="34">
        <v>1.6341991339999999</v>
      </c>
      <c r="O82" s="34">
        <v>1.7045454550000001</v>
      </c>
      <c r="P82" s="34">
        <v>1.6428571430000001</v>
      </c>
      <c r="Q82" s="34">
        <v>1.006493506</v>
      </c>
      <c r="R82" s="34">
        <v>1.136363636</v>
      </c>
      <c r="S82" s="34">
        <v>1.3961038960000001</v>
      </c>
      <c r="T82" s="34">
        <v>1.3961038960000001</v>
      </c>
      <c r="U82" s="34">
        <v>1.266233766</v>
      </c>
      <c r="V82" s="34">
        <v>1.5909090910000001</v>
      </c>
      <c r="W82" s="34">
        <v>1.5259740260000001</v>
      </c>
      <c r="X82" s="34">
        <v>1.915584416</v>
      </c>
      <c r="Y82" s="34">
        <v>1.6558441559999999</v>
      </c>
      <c r="Z82" s="34">
        <v>1.3961038960000001</v>
      </c>
    </row>
    <row r="83" spans="1:26" ht="18.75" x14ac:dyDescent="0.3">
      <c r="A83" s="36">
        <v>2568</v>
      </c>
      <c r="B83" s="33">
        <v>2304</v>
      </c>
      <c r="C83" s="33" t="s">
        <v>27</v>
      </c>
      <c r="D83" s="33" t="s">
        <v>15</v>
      </c>
      <c r="E83" s="33" t="s">
        <v>24</v>
      </c>
      <c r="F83" s="36">
        <v>427.27272729999999</v>
      </c>
      <c r="G83" s="36">
        <v>458.18181820000001</v>
      </c>
      <c r="H83" s="36">
        <v>482.72727270000001</v>
      </c>
      <c r="I83" s="36">
        <v>505</v>
      </c>
      <c r="J83" s="36">
        <v>505.45454549999999</v>
      </c>
      <c r="K83" s="36">
        <v>559.09090909999998</v>
      </c>
      <c r="L83" s="34">
        <v>2.2077922079999999</v>
      </c>
      <c r="M83" s="34">
        <v>1.980519481</v>
      </c>
      <c r="N83" s="34">
        <v>1.8506493509999999</v>
      </c>
      <c r="O83" s="34">
        <v>1.3961038960000001</v>
      </c>
      <c r="P83" s="34">
        <v>1.883116883</v>
      </c>
      <c r="Q83" s="34">
        <v>1.753246753</v>
      </c>
      <c r="R83" s="34">
        <v>1.6720779219999999</v>
      </c>
      <c r="S83" s="34">
        <v>1.1255411259999999</v>
      </c>
      <c r="T83" s="34">
        <v>1.801948052</v>
      </c>
      <c r="U83" s="34">
        <v>1.5909090910000001</v>
      </c>
      <c r="V83" s="34">
        <v>0.81168831200000002</v>
      </c>
      <c r="W83" s="34">
        <v>1.818181818</v>
      </c>
      <c r="X83" s="34">
        <v>3.2467532E-2</v>
      </c>
      <c r="Y83" s="34">
        <v>1.931818182</v>
      </c>
      <c r="Z83" s="34">
        <v>3.8311688309999998</v>
      </c>
    </row>
    <row r="84" spans="1:26" ht="18.75" x14ac:dyDescent="0.3">
      <c r="A84" s="36">
        <v>2569</v>
      </c>
      <c r="B84" s="33">
        <v>2304</v>
      </c>
      <c r="C84" s="33" t="s">
        <v>27</v>
      </c>
      <c r="D84" s="33" t="s">
        <v>15</v>
      </c>
      <c r="E84" s="33" t="s">
        <v>24</v>
      </c>
      <c r="F84" s="36">
        <v>405</v>
      </c>
      <c r="G84" s="36">
        <v>435.45454549999999</v>
      </c>
      <c r="H84" s="36">
        <v>441.36363640000002</v>
      </c>
      <c r="I84" s="36">
        <v>470.45454549999999</v>
      </c>
      <c r="J84" s="36">
        <v>493.63636359999998</v>
      </c>
      <c r="K84" s="36">
        <v>493.18181820000001</v>
      </c>
      <c r="L84" s="34">
        <v>2.1753246750000002</v>
      </c>
      <c r="M84" s="34">
        <v>1.298701299</v>
      </c>
      <c r="N84" s="34">
        <v>1.5584415579999999</v>
      </c>
      <c r="O84" s="34">
        <v>1.5827922080000001</v>
      </c>
      <c r="P84" s="34">
        <v>1.2597402600000001</v>
      </c>
      <c r="Q84" s="34">
        <v>0.42207792199999999</v>
      </c>
      <c r="R84" s="34">
        <v>1.25</v>
      </c>
      <c r="S84" s="34">
        <v>1.3852813850000001</v>
      </c>
      <c r="T84" s="34">
        <v>1.0308441559999999</v>
      </c>
      <c r="U84" s="34">
        <v>2.0779220779999998</v>
      </c>
      <c r="V84" s="34">
        <v>1.866883117</v>
      </c>
      <c r="W84" s="34">
        <v>1.233766234</v>
      </c>
      <c r="X84" s="34">
        <v>1.6558441559999999</v>
      </c>
      <c r="Y84" s="34">
        <v>0.81168831200000002</v>
      </c>
      <c r="Z84" s="34">
        <v>-3.2467532E-2</v>
      </c>
    </row>
    <row r="85" spans="1:26" ht="18.75" x14ac:dyDescent="0.3">
      <c r="A85" s="36">
        <v>2571</v>
      </c>
      <c r="B85" s="33">
        <v>2304</v>
      </c>
      <c r="C85" s="33" t="s">
        <v>27</v>
      </c>
      <c r="D85" s="33" t="s">
        <v>15</v>
      </c>
      <c r="E85" s="33" t="s">
        <v>24</v>
      </c>
      <c r="F85" s="36">
        <v>470.45454549999999</v>
      </c>
      <c r="G85" s="36">
        <v>500.90909090000002</v>
      </c>
      <c r="H85" s="36">
        <v>517.72727269999996</v>
      </c>
      <c r="I85" s="36">
        <v>526.36363640000002</v>
      </c>
      <c r="J85" s="36">
        <v>550.45454549999999</v>
      </c>
      <c r="K85" s="36">
        <v>555.90909090000002</v>
      </c>
      <c r="L85" s="34">
        <v>2.1753246750000002</v>
      </c>
      <c r="M85" s="34">
        <v>1.688311688</v>
      </c>
      <c r="N85" s="34">
        <v>1.3311688310000001</v>
      </c>
      <c r="O85" s="34">
        <v>1.428571429</v>
      </c>
      <c r="P85" s="34">
        <v>1.2207792209999999</v>
      </c>
      <c r="Q85" s="34">
        <v>1.201298701</v>
      </c>
      <c r="R85" s="34">
        <v>0.909090909</v>
      </c>
      <c r="S85" s="34">
        <v>1.1796536799999999</v>
      </c>
      <c r="T85" s="34">
        <v>0.98214285700000004</v>
      </c>
      <c r="U85" s="34">
        <v>0.61688311699999998</v>
      </c>
      <c r="V85" s="34">
        <v>1.1688311689999999</v>
      </c>
      <c r="W85" s="34">
        <v>0.909090909</v>
      </c>
      <c r="X85" s="34">
        <v>1.7207792209999999</v>
      </c>
      <c r="Y85" s="34">
        <v>1.055194805</v>
      </c>
      <c r="Z85" s="34">
        <v>0.38961038999999997</v>
      </c>
    </row>
    <row r="86" spans="1:26" ht="18.75" x14ac:dyDescent="0.3">
      <c r="A86" s="36">
        <v>2572</v>
      </c>
      <c r="B86" s="33">
        <v>2304</v>
      </c>
      <c r="C86" s="33" t="s">
        <v>14</v>
      </c>
      <c r="D86" s="33" t="s">
        <v>15</v>
      </c>
      <c r="E86" s="33" t="s">
        <v>15</v>
      </c>
      <c r="F86" s="36">
        <v>447.27272729999999</v>
      </c>
      <c r="G86" s="36">
        <v>480.45454549999999</v>
      </c>
      <c r="H86" s="36">
        <v>491.36363640000002</v>
      </c>
      <c r="I86" s="36">
        <v>515.90909090000002</v>
      </c>
      <c r="J86" s="36">
        <v>512.27272730000004</v>
      </c>
      <c r="K86" s="36">
        <v>561.81818180000005</v>
      </c>
      <c r="L86" s="34">
        <v>2.37012987</v>
      </c>
      <c r="M86" s="34">
        <v>1.5746753250000001</v>
      </c>
      <c r="N86" s="34">
        <v>1.6341991339999999</v>
      </c>
      <c r="O86" s="34">
        <v>1.1607142859999999</v>
      </c>
      <c r="P86" s="34">
        <v>1.636363636</v>
      </c>
      <c r="Q86" s="34">
        <v>0.77922077899999997</v>
      </c>
      <c r="R86" s="34">
        <v>1.266233766</v>
      </c>
      <c r="S86" s="34">
        <v>0.75757575799999999</v>
      </c>
      <c r="T86" s="34">
        <v>1.4529220780000001</v>
      </c>
      <c r="U86" s="34">
        <v>1.753246753</v>
      </c>
      <c r="V86" s="34">
        <v>0.74675324700000001</v>
      </c>
      <c r="W86" s="34">
        <v>1.677489177</v>
      </c>
      <c r="X86" s="34">
        <v>-0.25974026</v>
      </c>
      <c r="Y86" s="34">
        <v>1.6396103900000001</v>
      </c>
      <c r="Z86" s="34">
        <v>3.5389610390000001</v>
      </c>
    </row>
    <row r="87" spans="1:26" ht="18.75" x14ac:dyDescent="0.3">
      <c r="A87" s="36">
        <v>2575</v>
      </c>
      <c r="B87" s="33">
        <v>2304</v>
      </c>
      <c r="C87" s="33" t="s">
        <v>20</v>
      </c>
      <c r="D87" s="33" t="s">
        <v>21</v>
      </c>
      <c r="E87" s="33" t="s">
        <v>15</v>
      </c>
      <c r="F87" s="36">
        <v>392.72727270000001</v>
      </c>
      <c r="G87" s="36">
        <v>429.54545450000001</v>
      </c>
      <c r="H87" s="36">
        <v>453.18181820000001</v>
      </c>
      <c r="I87" s="36">
        <v>467.27272729999999</v>
      </c>
      <c r="J87" s="36">
        <v>499.54545450000001</v>
      </c>
      <c r="K87" s="36">
        <v>500</v>
      </c>
      <c r="L87" s="34">
        <v>2.62987013</v>
      </c>
      <c r="M87" s="34">
        <v>2.1590909090000001</v>
      </c>
      <c r="N87" s="34">
        <v>1.7748917749999999</v>
      </c>
      <c r="O87" s="34">
        <v>1.9074675320000001</v>
      </c>
      <c r="P87" s="34">
        <v>1.5324675320000001</v>
      </c>
      <c r="Q87" s="34">
        <v>1.688311688</v>
      </c>
      <c r="R87" s="34">
        <v>1.3474025970000001</v>
      </c>
      <c r="S87" s="34">
        <v>1.6666666670000001</v>
      </c>
      <c r="T87" s="34">
        <v>1.258116883</v>
      </c>
      <c r="U87" s="34">
        <v>1.006493506</v>
      </c>
      <c r="V87" s="34">
        <v>1.6558441559999999</v>
      </c>
      <c r="W87" s="34">
        <v>1.1147186149999999</v>
      </c>
      <c r="X87" s="34">
        <v>2.3051948050000002</v>
      </c>
      <c r="Y87" s="34">
        <v>1.1688311689999999</v>
      </c>
      <c r="Z87" s="34">
        <v>3.2467532E-2</v>
      </c>
    </row>
    <row r="88" spans="1:26" ht="18.75" x14ac:dyDescent="0.3">
      <c r="A88" s="36">
        <v>2578</v>
      </c>
      <c r="B88" s="33">
        <v>2304</v>
      </c>
      <c r="C88" s="33" t="s">
        <v>27</v>
      </c>
      <c r="D88" s="33" t="s">
        <v>15</v>
      </c>
      <c r="E88" s="33" t="s">
        <v>24</v>
      </c>
      <c r="F88" s="36">
        <v>480.45454549999999</v>
      </c>
      <c r="G88" s="36">
        <v>531.81818180000005</v>
      </c>
      <c r="H88" s="36">
        <v>536.81818180000005</v>
      </c>
      <c r="I88" s="36">
        <v>541.81818180000005</v>
      </c>
      <c r="J88" s="36">
        <v>570</v>
      </c>
      <c r="K88" s="36">
        <v>608.63636359999998</v>
      </c>
      <c r="L88" s="34">
        <v>3.6688311690000002</v>
      </c>
      <c r="M88" s="34">
        <v>2.012987013</v>
      </c>
      <c r="N88" s="34">
        <v>1.4610389610000001</v>
      </c>
      <c r="O88" s="34">
        <v>1.5990259739999999</v>
      </c>
      <c r="P88" s="34">
        <v>1.8311688310000001</v>
      </c>
      <c r="Q88" s="34">
        <v>0.35714285699999998</v>
      </c>
      <c r="R88" s="34">
        <v>0.35714285699999998</v>
      </c>
      <c r="S88" s="34">
        <v>0.909090909</v>
      </c>
      <c r="T88" s="34">
        <v>1.371753247</v>
      </c>
      <c r="U88" s="34">
        <v>0.35714285699999998</v>
      </c>
      <c r="V88" s="34">
        <v>1.185064935</v>
      </c>
      <c r="W88" s="34">
        <v>1.7099567099999999</v>
      </c>
      <c r="X88" s="34">
        <v>2.012987013</v>
      </c>
      <c r="Y88" s="34">
        <v>2.386363636</v>
      </c>
      <c r="Z88" s="34">
        <v>2.7597402600000001</v>
      </c>
    </row>
    <row r="89" spans="1:26" ht="18.75" x14ac:dyDescent="0.3">
      <c r="A89" s="36">
        <v>2579</v>
      </c>
      <c r="B89" s="33">
        <v>2304</v>
      </c>
      <c r="C89" s="33" t="s">
        <v>20</v>
      </c>
      <c r="D89" s="33" t="s">
        <v>21</v>
      </c>
      <c r="E89" s="33" t="s">
        <v>15</v>
      </c>
      <c r="F89" s="36">
        <v>420.45454549999999</v>
      </c>
      <c r="G89" s="36">
        <v>445.90909090000002</v>
      </c>
      <c r="H89" s="36">
        <v>472.72727270000001</v>
      </c>
      <c r="I89" s="36">
        <v>467.72727270000001</v>
      </c>
      <c r="J89" s="36">
        <v>514.54545450000001</v>
      </c>
      <c r="K89" s="36">
        <v>523.18181819999995</v>
      </c>
      <c r="L89" s="34">
        <v>1.818181818</v>
      </c>
      <c r="M89" s="34">
        <v>1.866883117</v>
      </c>
      <c r="N89" s="34">
        <v>1.1255411259999999</v>
      </c>
      <c r="O89" s="34">
        <v>1.680194805</v>
      </c>
      <c r="P89" s="34">
        <v>1.4675324679999999</v>
      </c>
      <c r="Q89" s="34">
        <v>1.915584416</v>
      </c>
      <c r="R89" s="34">
        <v>0.77922077899999997</v>
      </c>
      <c r="S89" s="34">
        <v>1.6341991339999999</v>
      </c>
      <c r="T89" s="34">
        <v>1.37987013</v>
      </c>
      <c r="U89" s="34">
        <v>-0.35714285699999998</v>
      </c>
      <c r="V89" s="34">
        <v>1.493506494</v>
      </c>
      <c r="W89" s="34">
        <v>1.201298701</v>
      </c>
      <c r="X89" s="34">
        <v>3.3441558439999999</v>
      </c>
      <c r="Y89" s="34">
        <v>1.980519481</v>
      </c>
      <c r="Z89" s="34">
        <v>0.61688311699999998</v>
      </c>
    </row>
    <row r="90" spans="1:26" ht="18.75" x14ac:dyDescent="0.3">
      <c r="A90" s="36">
        <v>2581</v>
      </c>
      <c r="B90" s="33">
        <v>2304</v>
      </c>
      <c r="C90" s="33" t="s">
        <v>23</v>
      </c>
      <c r="D90" s="33" t="s">
        <v>21</v>
      </c>
      <c r="E90" s="33" t="s">
        <v>24</v>
      </c>
      <c r="F90" s="36">
        <v>417.27272729999999</v>
      </c>
      <c r="G90" s="36">
        <v>464.54545450000001</v>
      </c>
      <c r="H90" s="36">
        <v>470</v>
      </c>
      <c r="I90" s="36">
        <v>493.63636359999998</v>
      </c>
      <c r="J90" s="36">
        <v>502.27272729999999</v>
      </c>
      <c r="K90" s="36">
        <v>521.36363640000002</v>
      </c>
      <c r="L90" s="34">
        <v>3.376623377</v>
      </c>
      <c r="M90" s="34">
        <v>1.883116883</v>
      </c>
      <c r="N90" s="34">
        <v>1.818181818</v>
      </c>
      <c r="O90" s="34">
        <v>1.5178571430000001</v>
      </c>
      <c r="P90" s="34">
        <v>1.487012987</v>
      </c>
      <c r="Q90" s="34">
        <v>0.38961038999999997</v>
      </c>
      <c r="R90" s="34">
        <v>1.0389610389999999</v>
      </c>
      <c r="S90" s="34">
        <v>0.89826839800000002</v>
      </c>
      <c r="T90" s="34">
        <v>1.0146103900000001</v>
      </c>
      <c r="U90" s="34">
        <v>1.688311688</v>
      </c>
      <c r="V90" s="34">
        <v>1.1525974029999999</v>
      </c>
      <c r="W90" s="34">
        <v>1.222943723</v>
      </c>
      <c r="X90" s="34">
        <v>0.61688311699999998</v>
      </c>
      <c r="Y90" s="34">
        <v>0.99025974000000005</v>
      </c>
      <c r="Z90" s="34">
        <v>1.363636364</v>
      </c>
    </row>
    <row r="91" spans="1:26" ht="18.75" x14ac:dyDescent="0.3">
      <c r="A91" s="36">
        <v>2589</v>
      </c>
      <c r="B91" s="33">
        <v>2304</v>
      </c>
      <c r="C91" s="33" t="s">
        <v>14</v>
      </c>
      <c r="D91" s="33" t="s">
        <v>15</v>
      </c>
      <c r="E91" s="33" t="s">
        <v>15</v>
      </c>
      <c r="F91" s="36">
        <v>461.81818179999999</v>
      </c>
      <c r="G91" s="36">
        <v>493.63636359999998</v>
      </c>
      <c r="H91" s="36">
        <v>518.63636359999998</v>
      </c>
      <c r="I91" s="36">
        <v>522.27272730000004</v>
      </c>
      <c r="J91" s="36">
        <v>561.81818180000005</v>
      </c>
      <c r="K91" s="36">
        <v>567.72727269999996</v>
      </c>
      <c r="L91" s="34">
        <v>2.2727272730000001</v>
      </c>
      <c r="M91" s="34">
        <v>2.0292207790000001</v>
      </c>
      <c r="N91" s="34">
        <v>1.4393939389999999</v>
      </c>
      <c r="O91" s="34">
        <v>1.7857142859999999</v>
      </c>
      <c r="P91" s="34">
        <v>1.512987013</v>
      </c>
      <c r="Q91" s="34">
        <v>1.7857142859999999</v>
      </c>
      <c r="R91" s="34">
        <v>1.0227272730000001</v>
      </c>
      <c r="S91" s="34">
        <v>1.623376623</v>
      </c>
      <c r="T91" s="34">
        <v>1.323051948</v>
      </c>
      <c r="U91" s="34">
        <v>0.25974026</v>
      </c>
      <c r="V91" s="34">
        <v>1.5422077919999999</v>
      </c>
      <c r="W91" s="34">
        <v>1.1688311689999999</v>
      </c>
      <c r="X91" s="34">
        <v>2.8246753249999998</v>
      </c>
      <c r="Y91" s="34">
        <v>1.623376623</v>
      </c>
      <c r="Z91" s="34">
        <v>0.42207792199999999</v>
      </c>
    </row>
    <row r="92" spans="1:26" ht="18.75" x14ac:dyDescent="0.3">
      <c r="A92" s="36">
        <v>2590</v>
      </c>
      <c r="B92" s="33">
        <v>2304</v>
      </c>
      <c r="C92" s="33" t="s">
        <v>20</v>
      </c>
      <c r="D92" s="33" t="s">
        <v>21</v>
      </c>
      <c r="E92" s="33" t="s">
        <v>15</v>
      </c>
      <c r="F92" s="36">
        <v>409.09090909999998</v>
      </c>
      <c r="G92" s="36">
        <v>432.27272729999999</v>
      </c>
      <c r="H92" s="36">
        <v>466.81818179999999</v>
      </c>
      <c r="I92" s="36">
        <v>484.09090909999998</v>
      </c>
      <c r="J92" s="36">
        <v>492.27272729999999</v>
      </c>
      <c r="K92" s="36">
        <v>501.36363640000002</v>
      </c>
      <c r="L92" s="34">
        <v>1.6558441559999999</v>
      </c>
      <c r="M92" s="34">
        <v>2.0616883119999998</v>
      </c>
      <c r="N92" s="34">
        <v>1.7857142859999999</v>
      </c>
      <c r="O92" s="34">
        <v>1.4853896099999999</v>
      </c>
      <c r="P92" s="34">
        <v>1.318181818</v>
      </c>
      <c r="Q92" s="34">
        <v>2.4675324679999999</v>
      </c>
      <c r="R92" s="34">
        <v>1.8506493509999999</v>
      </c>
      <c r="S92" s="34">
        <v>1.428571429</v>
      </c>
      <c r="T92" s="34">
        <v>1.233766234</v>
      </c>
      <c r="U92" s="34">
        <v>1.233766234</v>
      </c>
      <c r="V92" s="34">
        <v>0.909090909</v>
      </c>
      <c r="W92" s="34">
        <v>0.822510823</v>
      </c>
      <c r="X92" s="34">
        <v>0.58441558400000004</v>
      </c>
      <c r="Y92" s="34">
        <v>0.61688311699999998</v>
      </c>
      <c r="Z92" s="34">
        <v>0.64935064899999995</v>
      </c>
    </row>
    <row r="93" spans="1:26" ht="18.75" x14ac:dyDescent="0.3">
      <c r="A93" s="36">
        <v>2591</v>
      </c>
      <c r="B93" s="33">
        <v>2304</v>
      </c>
      <c r="C93" s="33" t="s">
        <v>27</v>
      </c>
      <c r="D93" s="33" t="s">
        <v>15</v>
      </c>
      <c r="E93" s="33" t="s">
        <v>24</v>
      </c>
      <c r="F93" s="36">
        <v>500</v>
      </c>
      <c r="G93" s="36">
        <v>528.63636359999998</v>
      </c>
      <c r="H93" s="36">
        <v>545</v>
      </c>
      <c r="I93" s="36">
        <v>566.36363640000002</v>
      </c>
      <c r="J93" s="36">
        <v>638.18181819999995</v>
      </c>
      <c r="K93" s="36">
        <v>638.63636359999998</v>
      </c>
      <c r="L93" s="34">
        <v>2.0454545450000001</v>
      </c>
      <c r="M93" s="34">
        <v>1.6071428569999999</v>
      </c>
      <c r="N93" s="34">
        <v>1.5800865799999999</v>
      </c>
      <c r="O93" s="34">
        <v>2.4675324679999999</v>
      </c>
      <c r="P93" s="34">
        <v>1.980519481</v>
      </c>
      <c r="Q93" s="34">
        <v>1.1688311689999999</v>
      </c>
      <c r="R93" s="34">
        <v>1.3474025970000001</v>
      </c>
      <c r="S93" s="34">
        <v>2.6082251080000001</v>
      </c>
      <c r="T93" s="34">
        <v>1.9642857140000001</v>
      </c>
      <c r="U93" s="34">
        <v>1.5259740260000001</v>
      </c>
      <c r="V93" s="34">
        <v>3.3279220779999998</v>
      </c>
      <c r="W93" s="34">
        <v>2.2294372290000002</v>
      </c>
      <c r="X93" s="34">
        <v>5.1298701299999996</v>
      </c>
      <c r="Y93" s="34">
        <v>2.5811688309999998</v>
      </c>
      <c r="Z93" s="34">
        <v>3.2467532E-2</v>
      </c>
    </row>
    <row r="94" spans="1:26" ht="18.75" x14ac:dyDescent="0.3">
      <c r="A94" s="36">
        <v>2592</v>
      </c>
      <c r="B94" s="33">
        <v>2304</v>
      </c>
      <c r="C94" s="33" t="s">
        <v>20</v>
      </c>
      <c r="D94" s="33" t="s">
        <v>21</v>
      </c>
      <c r="E94" s="33" t="s">
        <v>15</v>
      </c>
      <c r="F94" s="36">
        <v>419.54545450000001</v>
      </c>
      <c r="G94" s="36">
        <v>453.18181820000001</v>
      </c>
      <c r="H94" s="36">
        <v>472.27272729999999</v>
      </c>
      <c r="I94" s="36">
        <v>496.81818179999999</v>
      </c>
      <c r="J94" s="36">
        <v>546.81818180000005</v>
      </c>
      <c r="K94" s="36">
        <v>556.36363640000002</v>
      </c>
      <c r="L94" s="34">
        <v>2.4025974030000001</v>
      </c>
      <c r="M94" s="34">
        <v>1.883116883</v>
      </c>
      <c r="N94" s="34">
        <v>1.83982684</v>
      </c>
      <c r="O94" s="34">
        <v>2.2727272730000001</v>
      </c>
      <c r="P94" s="34">
        <v>1.9545454550000001</v>
      </c>
      <c r="Q94" s="34">
        <v>1.363636364</v>
      </c>
      <c r="R94" s="34">
        <v>1.5584415579999999</v>
      </c>
      <c r="S94" s="34">
        <v>2.2294372290000002</v>
      </c>
      <c r="T94" s="34">
        <v>1.8425324679999999</v>
      </c>
      <c r="U94" s="34">
        <v>1.753246753</v>
      </c>
      <c r="V94" s="34">
        <v>2.6623376620000001</v>
      </c>
      <c r="W94" s="34">
        <v>2.0021645019999998</v>
      </c>
      <c r="X94" s="34">
        <v>3.5714285710000002</v>
      </c>
      <c r="Y94" s="34">
        <v>2.126623377</v>
      </c>
      <c r="Z94" s="34">
        <v>0.68181818199999999</v>
      </c>
    </row>
    <row r="95" spans="1:26" ht="18.75" x14ac:dyDescent="0.3">
      <c r="A95" s="36">
        <v>2593</v>
      </c>
      <c r="B95" s="33">
        <v>2304</v>
      </c>
      <c r="C95" s="33" t="s">
        <v>20</v>
      </c>
      <c r="D95" s="33" t="s">
        <v>21</v>
      </c>
      <c r="E95" s="33" t="s">
        <v>15</v>
      </c>
      <c r="F95" s="36">
        <v>432.27272729999999</v>
      </c>
      <c r="G95" s="36">
        <v>465.90909090000002</v>
      </c>
      <c r="H95" s="36">
        <v>476.36363640000002</v>
      </c>
      <c r="I95" s="36">
        <v>486.81818179999999</v>
      </c>
      <c r="J95" s="36">
        <v>501.36363640000002</v>
      </c>
      <c r="K95" s="36">
        <v>539.54545450000001</v>
      </c>
      <c r="L95" s="34">
        <v>2.4025974030000001</v>
      </c>
      <c r="M95" s="34">
        <v>1.5746753250000001</v>
      </c>
      <c r="N95" s="34">
        <v>1.298701299</v>
      </c>
      <c r="O95" s="34">
        <v>1.233766234</v>
      </c>
      <c r="P95" s="34">
        <v>1.5324675320000001</v>
      </c>
      <c r="Q95" s="34">
        <v>0.74675324700000001</v>
      </c>
      <c r="R95" s="34">
        <v>0.74675324700000001</v>
      </c>
      <c r="S95" s="34">
        <v>0.84415584399999999</v>
      </c>
      <c r="T95" s="34">
        <v>1.314935065</v>
      </c>
      <c r="U95" s="34">
        <v>0.74675324700000001</v>
      </c>
      <c r="V95" s="34">
        <v>0.89285714299999996</v>
      </c>
      <c r="W95" s="34">
        <v>1.5043290039999999</v>
      </c>
      <c r="X95" s="34">
        <v>1.0389610389999999</v>
      </c>
      <c r="Y95" s="34">
        <v>1.883116883</v>
      </c>
      <c r="Z95" s="34">
        <v>2.7272727269999999</v>
      </c>
    </row>
    <row r="96" spans="1:26" ht="18.75" x14ac:dyDescent="0.3">
      <c r="A96" s="36">
        <v>2595</v>
      </c>
      <c r="B96" s="33">
        <v>2304</v>
      </c>
      <c r="C96" s="33" t="s">
        <v>20</v>
      </c>
      <c r="D96" s="33" t="s">
        <v>21</v>
      </c>
      <c r="E96" s="33" t="s">
        <v>15</v>
      </c>
      <c r="F96" s="36">
        <v>395</v>
      </c>
      <c r="G96" s="36">
        <v>405</v>
      </c>
      <c r="H96" s="36">
        <v>431.81818179999999</v>
      </c>
      <c r="I96" s="36">
        <v>435</v>
      </c>
      <c r="J96" s="36">
        <v>457.27272729999999</v>
      </c>
      <c r="K96" s="36">
        <v>498.63636359999998</v>
      </c>
      <c r="L96" s="34">
        <v>0.71428571399999996</v>
      </c>
      <c r="M96" s="34">
        <v>1.314935065</v>
      </c>
      <c r="N96" s="34">
        <v>0.95238095199999995</v>
      </c>
      <c r="O96" s="34">
        <v>1.112012987</v>
      </c>
      <c r="P96" s="34">
        <v>1.480519481</v>
      </c>
      <c r="Q96" s="34">
        <v>1.915584416</v>
      </c>
      <c r="R96" s="34">
        <v>1.071428571</v>
      </c>
      <c r="S96" s="34">
        <v>1.2445887449999999</v>
      </c>
      <c r="T96" s="34">
        <v>1.6720779219999999</v>
      </c>
      <c r="U96" s="34">
        <v>0.22727272700000001</v>
      </c>
      <c r="V96" s="34">
        <v>0.909090909</v>
      </c>
      <c r="W96" s="34">
        <v>1.5909090910000001</v>
      </c>
      <c r="X96" s="34">
        <v>1.5909090910000001</v>
      </c>
      <c r="Y96" s="34">
        <v>2.2727272730000001</v>
      </c>
      <c r="Z96" s="34">
        <v>2.9545454549999999</v>
      </c>
    </row>
    <row r="97" spans="1:26" ht="18.75" x14ac:dyDescent="0.3">
      <c r="A97" s="36">
        <v>2598</v>
      </c>
      <c r="B97" s="33">
        <v>2304</v>
      </c>
      <c r="C97" s="33" t="s">
        <v>20</v>
      </c>
      <c r="D97" s="33" t="s">
        <v>21</v>
      </c>
      <c r="E97" s="33" t="s">
        <v>15</v>
      </c>
      <c r="F97" s="36">
        <v>356.81818179999999</v>
      </c>
      <c r="G97" s="36">
        <v>374.09090909999998</v>
      </c>
      <c r="H97" s="36">
        <v>393.63636359999998</v>
      </c>
      <c r="I97" s="36">
        <v>404.54545450000001</v>
      </c>
      <c r="J97" s="36">
        <v>430</v>
      </c>
      <c r="K97" s="36">
        <v>442.27272729999999</v>
      </c>
      <c r="L97" s="34">
        <v>1.233766234</v>
      </c>
      <c r="M97" s="34">
        <v>1.314935065</v>
      </c>
      <c r="N97" s="34">
        <v>1.136363636</v>
      </c>
      <c r="O97" s="34">
        <v>1.306818182</v>
      </c>
      <c r="P97" s="34">
        <v>1.2207792209999999</v>
      </c>
      <c r="Q97" s="34">
        <v>1.3961038960000001</v>
      </c>
      <c r="R97" s="34">
        <v>1.0876623379999999</v>
      </c>
      <c r="S97" s="34">
        <v>1.3311688310000001</v>
      </c>
      <c r="T97" s="34">
        <v>1.2175324679999999</v>
      </c>
      <c r="U97" s="34">
        <v>0.77922077899999997</v>
      </c>
      <c r="V97" s="34">
        <v>1.298701299</v>
      </c>
      <c r="W97" s="34">
        <v>1.158008658</v>
      </c>
      <c r="X97" s="34">
        <v>1.818181818</v>
      </c>
      <c r="Y97" s="34">
        <v>1.3474025970000001</v>
      </c>
      <c r="Z97" s="34">
        <v>0.87662337700000004</v>
      </c>
    </row>
    <row r="98" spans="1:26" ht="18.75" x14ac:dyDescent="0.3">
      <c r="A98" s="36">
        <v>2609</v>
      </c>
      <c r="B98" s="33">
        <v>2304</v>
      </c>
      <c r="C98" s="33" t="s">
        <v>20</v>
      </c>
      <c r="D98" s="33" t="s">
        <v>21</v>
      </c>
      <c r="E98" s="33" t="s">
        <v>15</v>
      </c>
      <c r="F98" s="36">
        <v>426.36363640000002</v>
      </c>
      <c r="G98" s="36">
        <v>471.81818179999999</v>
      </c>
      <c r="H98" s="36">
        <v>489.54545450000001</v>
      </c>
      <c r="I98" s="36">
        <v>504.54545450000001</v>
      </c>
      <c r="J98" s="36">
        <v>520.45454549999999</v>
      </c>
      <c r="K98" s="36">
        <v>563.63636359999998</v>
      </c>
      <c r="L98" s="34">
        <v>3.246753247</v>
      </c>
      <c r="M98" s="34">
        <v>2.256493506</v>
      </c>
      <c r="N98" s="34">
        <v>1.8614718610000001</v>
      </c>
      <c r="O98" s="34">
        <v>1.680194805</v>
      </c>
      <c r="P98" s="34">
        <v>1.9610389610000001</v>
      </c>
      <c r="Q98" s="34">
        <v>1.266233766</v>
      </c>
      <c r="R98" s="34">
        <v>1.1688311689999999</v>
      </c>
      <c r="S98" s="34">
        <v>1.158008658</v>
      </c>
      <c r="T98" s="34">
        <v>1.6396103900000001</v>
      </c>
      <c r="U98" s="34">
        <v>1.071428571</v>
      </c>
      <c r="V98" s="34">
        <v>1.1038961039999999</v>
      </c>
      <c r="W98" s="34">
        <v>1.764069264</v>
      </c>
      <c r="X98" s="34">
        <v>1.136363636</v>
      </c>
      <c r="Y98" s="34">
        <v>2.1103896099999999</v>
      </c>
      <c r="Z98" s="34">
        <v>3.0844155839999998</v>
      </c>
    </row>
    <row r="99" spans="1:26" ht="18.75" x14ac:dyDescent="0.3">
      <c r="A99" s="36">
        <v>2613</v>
      </c>
      <c r="B99" s="33">
        <v>2304</v>
      </c>
      <c r="C99" s="33" t="s">
        <v>23</v>
      </c>
      <c r="D99" s="33" t="s">
        <v>21</v>
      </c>
      <c r="E99" s="33" t="s">
        <v>24</v>
      </c>
      <c r="F99" s="36">
        <v>343.63636359999998</v>
      </c>
      <c r="G99" s="36">
        <v>381.81818179999999</v>
      </c>
      <c r="H99" s="36">
        <v>392.27272729999999</v>
      </c>
      <c r="I99" s="36">
        <v>389.09090909999998</v>
      </c>
      <c r="J99" s="36">
        <v>389.09090909999998</v>
      </c>
      <c r="K99" s="36" t="s">
        <v>39</v>
      </c>
      <c r="L99" s="34">
        <v>2.7272727269999999</v>
      </c>
      <c r="M99" s="34">
        <v>1.737012987</v>
      </c>
      <c r="N99" s="34">
        <v>1.082251082</v>
      </c>
      <c r="O99" s="34">
        <v>0.81168831200000002</v>
      </c>
      <c r="P99" s="34" t="s">
        <v>39</v>
      </c>
      <c r="Q99" s="34">
        <v>0.74675324700000001</v>
      </c>
      <c r="R99" s="34">
        <v>0.25974026</v>
      </c>
      <c r="S99" s="34">
        <v>0.173160173</v>
      </c>
      <c r="T99" s="34" t="s">
        <v>39</v>
      </c>
      <c r="U99" s="34">
        <v>-0.22727272700000001</v>
      </c>
      <c r="V99" s="34">
        <v>-0.113636364</v>
      </c>
      <c r="W99" s="34" t="s">
        <v>39</v>
      </c>
      <c r="X99" s="34">
        <v>0</v>
      </c>
      <c r="Y99" s="34" t="s">
        <v>39</v>
      </c>
      <c r="Z99" s="34" t="s">
        <v>39</v>
      </c>
    </row>
    <row r="100" spans="1:26" ht="18.75" x14ac:dyDescent="0.3">
      <c r="A100" s="36">
        <v>2615</v>
      </c>
      <c r="B100" s="33">
        <v>2304</v>
      </c>
      <c r="C100" s="33" t="s">
        <v>14</v>
      </c>
      <c r="D100" s="33" t="s">
        <v>15</v>
      </c>
      <c r="E100" s="33" t="s">
        <v>15</v>
      </c>
      <c r="F100" s="36">
        <v>450.90909090000002</v>
      </c>
      <c r="G100" s="36">
        <v>482.72727270000001</v>
      </c>
      <c r="H100" s="36">
        <v>495.45454549999999</v>
      </c>
      <c r="I100" s="36">
        <v>530.45454549999999</v>
      </c>
      <c r="J100" s="36">
        <v>542.72727269999996</v>
      </c>
      <c r="K100" s="36">
        <v>554.54545450000001</v>
      </c>
      <c r="L100" s="34">
        <v>2.2727272730000001</v>
      </c>
      <c r="M100" s="34">
        <v>1.5909090910000001</v>
      </c>
      <c r="N100" s="34">
        <v>1.893939394</v>
      </c>
      <c r="O100" s="34">
        <v>1.6396103900000001</v>
      </c>
      <c r="P100" s="34">
        <v>1.480519481</v>
      </c>
      <c r="Q100" s="34">
        <v>0.909090909</v>
      </c>
      <c r="R100" s="34">
        <v>1.7045454550000001</v>
      </c>
      <c r="S100" s="34">
        <v>1.428571429</v>
      </c>
      <c r="T100" s="34">
        <v>1.2824675320000001</v>
      </c>
      <c r="U100" s="34">
        <v>2.5</v>
      </c>
      <c r="V100" s="34">
        <v>1.688311688</v>
      </c>
      <c r="W100" s="34">
        <v>1.406926407</v>
      </c>
      <c r="X100" s="34">
        <v>0.87662337700000004</v>
      </c>
      <c r="Y100" s="34">
        <v>0.86038961000000003</v>
      </c>
      <c r="Z100" s="34">
        <v>0.84415584399999999</v>
      </c>
    </row>
    <row r="101" spans="1:26" ht="18.75" x14ac:dyDescent="0.3">
      <c r="A101" s="36">
        <v>2618</v>
      </c>
      <c r="B101" s="33">
        <v>2304</v>
      </c>
      <c r="C101" s="33" t="s">
        <v>14</v>
      </c>
      <c r="D101" s="33" t="s">
        <v>15</v>
      </c>
      <c r="E101" s="33" t="s">
        <v>15</v>
      </c>
      <c r="F101" s="36">
        <v>450</v>
      </c>
      <c r="G101" s="36">
        <v>479.54545450000001</v>
      </c>
      <c r="H101" s="36">
        <v>509.09090909999998</v>
      </c>
      <c r="I101" s="36">
        <v>517.72727269999996</v>
      </c>
      <c r="J101" s="36">
        <v>518.63636359999998</v>
      </c>
      <c r="K101" s="36">
        <v>573.63636359999998</v>
      </c>
      <c r="L101" s="34">
        <v>2.1103896099999999</v>
      </c>
      <c r="M101" s="34">
        <v>2.1103896099999999</v>
      </c>
      <c r="N101" s="34">
        <v>1.6125541130000001</v>
      </c>
      <c r="O101" s="34">
        <v>1.2256493509999999</v>
      </c>
      <c r="P101" s="34">
        <v>1.766233766</v>
      </c>
      <c r="Q101" s="34">
        <v>2.1103896099999999</v>
      </c>
      <c r="R101" s="34">
        <v>1.363636364</v>
      </c>
      <c r="S101" s="34">
        <v>0.93073593099999996</v>
      </c>
      <c r="T101" s="34">
        <v>1.680194805</v>
      </c>
      <c r="U101" s="34">
        <v>0.61688311699999998</v>
      </c>
      <c r="V101" s="34">
        <v>0.340909091</v>
      </c>
      <c r="W101" s="34">
        <v>1.5367965370000001</v>
      </c>
      <c r="X101" s="34">
        <v>6.4935065E-2</v>
      </c>
      <c r="Y101" s="34">
        <v>1.996753247</v>
      </c>
      <c r="Z101" s="34">
        <v>3.9285714289999998</v>
      </c>
    </row>
    <row r="102" spans="1:26" ht="18.75" x14ac:dyDescent="0.3">
      <c r="A102" s="36">
        <v>2620</v>
      </c>
      <c r="B102" s="33">
        <v>2304</v>
      </c>
      <c r="C102" s="33" t="s">
        <v>20</v>
      </c>
      <c r="D102" s="33" t="s">
        <v>21</v>
      </c>
      <c r="E102" s="33" t="s">
        <v>15</v>
      </c>
      <c r="F102" s="36">
        <v>433.18181820000001</v>
      </c>
      <c r="G102" s="36">
        <v>463.63636359999998</v>
      </c>
      <c r="H102" s="36">
        <v>478.63636359999998</v>
      </c>
      <c r="I102" s="36">
        <v>506.36363640000002</v>
      </c>
      <c r="J102" s="36">
        <v>495.45454549999999</v>
      </c>
      <c r="K102" s="36">
        <v>539.09090909999998</v>
      </c>
      <c r="L102" s="34">
        <v>2.1753246750000002</v>
      </c>
      <c r="M102" s="34">
        <v>1.623376623</v>
      </c>
      <c r="N102" s="34">
        <v>1.742424242</v>
      </c>
      <c r="O102" s="34">
        <v>1.112012987</v>
      </c>
      <c r="P102" s="34">
        <v>1.512987013</v>
      </c>
      <c r="Q102" s="34">
        <v>1.071428571</v>
      </c>
      <c r="R102" s="34">
        <v>1.5259740260000001</v>
      </c>
      <c r="S102" s="34">
        <v>0.75757575799999999</v>
      </c>
      <c r="T102" s="34">
        <v>1.3474025970000001</v>
      </c>
      <c r="U102" s="34">
        <v>1.980519481</v>
      </c>
      <c r="V102" s="34">
        <v>0.60064935100000005</v>
      </c>
      <c r="W102" s="34">
        <v>1.4393939389999999</v>
      </c>
      <c r="X102" s="34">
        <v>-0.77922077899999997</v>
      </c>
      <c r="Y102" s="34">
        <v>1.1688311689999999</v>
      </c>
      <c r="Z102" s="34">
        <v>3.116883117</v>
      </c>
    </row>
    <row r="103" spans="1:26" ht="18.75" x14ac:dyDescent="0.3">
      <c r="A103" s="36">
        <v>2624</v>
      </c>
      <c r="B103" s="33">
        <v>2304</v>
      </c>
      <c r="C103" s="33" t="s">
        <v>20</v>
      </c>
      <c r="D103" s="33" t="s">
        <v>21</v>
      </c>
      <c r="E103" s="33" t="s">
        <v>15</v>
      </c>
      <c r="F103" s="36">
        <v>397.27272729999999</v>
      </c>
      <c r="G103" s="36">
        <v>429.09090909999998</v>
      </c>
      <c r="H103" s="36">
        <v>442.72727270000001</v>
      </c>
      <c r="I103" s="36">
        <v>456.81818179999999</v>
      </c>
      <c r="J103" s="36">
        <v>483.18181820000001</v>
      </c>
      <c r="K103" s="36">
        <v>503.18181820000001</v>
      </c>
      <c r="L103" s="34">
        <v>2.2727272730000001</v>
      </c>
      <c r="M103" s="34">
        <v>1.623376623</v>
      </c>
      <c r="N103" s="34">
        <v>1.417748918</v>
      </c>
      <c r="O103" s="34">
        <v>1.5340909089999999</v>
      </c>
      <c r="P103" s="34">
        <v>1.512987013</v>
      </c>
      <c r="Q103" s="34">
        <v>0.97402597400000002</v>
      </c>
      <c r="R103" s="34">
        <v>0.99025974000000005</v>
      </c>
      <c r="S103" s="34">
        <v>1.287878788</v>
      </c>
      <c r="T103" s="34">
        <v>1.323051948</v>
      </c>
      <c r="U103" s="34">
        <v>1.006493506</v>
      </c>
      <c r="V103" s="34">
        <v>1.444805195</v>
      </c>
      <c r="W103" s="34">
        <v>1.4393939389999999</v>
      </c>
      <c r="X103" s="34">
        <v>1.883116883</v>
      </c>
      <c r="Y103" s="34">
        <v>1.6558441559999999</v>
      </c>
      <c r="Z103" s="34">
        <v>1.428571429</v>
      </c>
    </row>
    <row r="104" spans="1:26" ht="18.75" x14ac:dyDescent="0.3">
      <c r="A104" s="36">
        <v>2626</v>
      </c>
      <c r="B104" s="33">
        <v>2304</v>
      </c>
      <c r="C104" s="33" t="s">
        <v>20</v>
      </c>
      <c r="D104" s="33" t="s">
        <v>21</v>
      </c>
      <c r="E104" s="33" t="s">
        <v>15</v>
      </c>
      <c r="F104" s="36">
        <v>400.45454549999999</v>
      </c>
      <c r="G104" s="36">
        <v>434.54545450000001</v>
      </c>
      <c r="H104" s="36">
        <v>440.45454549999999</v>
      </c>
      <c r="I104" s="36">
        <v>454.09090909999998</v>
      </c>
      <c r="J104" s="36">
        <v>468.63636359999998</v>
      </c>
      <c r="K104" s="36">
        <v>492.27272729999999</v>
      </c>
      <c r="L104" s="34">
        <v>2.4350649350000002</v>
      </c>
      <c r="M104" s="34">
        <v>1.428571429</v>
      </c>
      <c r="N104" s="34">
        <v>1.277056277</v>
      </c>
      <c r="O104" s="34">
        <v>1.2175324679999999</v>
      </c>
      <c r="P104" s="34">
        <v>1.311688312</v>
      </c>
      <c r="Q104" s="34">
        <v>0.42207792199999999</v>
      </c>
      <c r="R104" s="34">
        <v>0.69805194800000003</v>
      </c>
      <c r="S104" s="34">
        <v>0.81168831200000002</v>
      </c>
      <c r="T104" s="34">
        <v>1.0308441559999999</v>
      </c>
      <c r="U104" s="34">
        <v>0.97402597400000002</v>
      </c>
      <c r="V104" s="34">
        <v>1.006493506</v>
      </c>
      <c r="W104" s="34">
        <v>1.233766234</v>
      </c>
      <c r="X104" s="34">
        <v>1.0389610389999999</v>
      </c>
      <c r="Y104" s="34">
        <v>1.363636364</v>
      </c>
      <c r="Z104" s="34">
        <v>1.688311688</v>
      </c>
    </row>
    <row r="105" spans="1:26" ht="18.75" x14ac:dyDescent="0.3">
      <c r="A105" s="36">
        <v>2627</v>
      </c>
      <c r="B105" s="33">
        <v>2304</v>
      </c>
      <c r="C105" s="33" t="s">
        <v>14</v>
      </c>
      <c r="D105" s="33" t="s">
        <v>15</v>
      </c>
      <c r="E105" s="33" t="s">
        <v>15</v>
      </c>
      <c r="F105" s="36">
        <v>345</v>
      </c>
      <c r="G105" s="36">
        <v>367.72727270000001</v>
      </c>
      <c r="H105" s="36">
        <v>385.90909090000002</v>
      </c>
      <c r="I105" s="36">
        <v>395.90909090000002</v>
      </c>
      <c r="J105" s="36">
        <v>426.81818179999999</v>
      </c>
      <c r="K105" s="36">
        <v>443.63636359999998</v>
      </c>
      <c r="L105" s="34">
        <v>1.623376623</v>
      </c>
      <c r="M105" s="34">
        <v>1.4610389610000001</v>
      </c>
      <c r="N105" s="34">
        <v>1.212121212</v>
      </c>
      <c r="O105" s="34">
        <v>1.4610389610000001</v>
      </c>
      <c r="P105" s="34" t="s">
        <v>39</v>
      </c>
      <c r="Q105" s="34">
        <v>1.298701299</v>
      </c>
      <c r="R105" s="34">
        <v>1.006493506</v>
      </c>
      <c r="S105" s="34">
        <v>1.406926407</v>
      </c>
      <c r="T105" s="34" t="s">
        <v>39</v>
      </c>
      <c r="U105" s="34">
        <v>0.71428571399999996</v>
      </c>
      <c r="V105" s="34">
        <v>1.4610389610000001</v>
      </c>
      <c r="W105" s="34" t="s">
        <v>39</v>
      </c>
      <c r="X105" s="34">
        <v>2.2077922079999999</v>
      </c>
      <c r="Y105" s="34" t="s">
        <v>39</v>
      </c>
      <c r="Z105" s="34">
        <v>1.201298701</v>
      </c>
    </row>
    <row r="106" spans="1:26" ht="18.75" x14ac:dyDescent="0.3">
      <c r="A106" s="36">
        <v>2629</v>
      </c>
      <c r="B106" s="33">
        <v>2304</v>
      </c>
      <c r="C106" s="33" t="s">
        <v>14</v>
      </c>
      <c r="D106" s="33" t="s">
        <v>15</v>
      </c>
      <c r="E106" s="33" t="s">
        <v>15</v>
      </c>
      <c r="F106" s="36">
        <v>497.27272729999999</v>
      </c>
      <c r="G106" s="36">
        <v>527.72727269999996</v>
      </c>
      <c r="H106" s="36">
        <v>551.36363640000002</v>
      </c>
      <c r="I106" s="36">
        <v>556.36363640000002</v>
      </c>
      <c r="J106" s="36">
        <v>590</v>
      </c>
      <c r="K106" s="36">
        <v>641.36363640000002</v>
      </c>
      <c r="L106" s="34">
        <v>2.1753246750000002</v>
      </c>
      <c r="M106" s="34">
        <v>1.931818182</v>
      </c>
      <c r="N106" s="34">
        <v>1.406926407</v>
      </c>
      <c r="O106" s="34">
        <v>1.6558441559999999</v>
      </c>
      <c r="P106" s="34">
        <v>2.0584415580000002</v>
      </c>
      <c r="Q106" s="34">
        <v>1.688311688</v>
      </c>
      <c r="R106" s="34">
        <v>1.0227272730000001</v>
      </c>
      <c r="S106" s="34">
        <v>1.482683983</v>
      </c>
      <c r="T106" s="34">
        <v>2.0292207790000001</v>
      </c>
      <c r="U106" s="34">
        <v>0.35714285699999998</v>
      </c>
      <c r="V106" s="34">
        <v>1.37987013</v>
      </c>
      <c r="W106" s="34">
        <v>2.1428571430000001</v>
      </c>
      <c r="X106" s="34">
        <v>2.4025974030000001</v>
      </c>
      <c r="Y106" s="34">
        <v>3.0357142860000002</v>
      </c>
      <c r="Z106" s="34">
        <v>3.6688311690000002</v>
      </c>
    </row>
    <row r="107" spans="1:26" ht="18.75" x14ac:dyDescent="0.3">
      <c r="A107" s="36">
        <v>2630</v>
      </c>
      <c r="B107" s="33">
        <v>2304</v>
      </c>
      <c r="C107" s="33" t="s">
        <v>14</v>
      </c>
      <c r="D107" s="33" t="s">
        <v>15</v>
      </c>
      <c r="E107" s="33" t="s">
        <v>15</v>
      </c>
      <c r="F107" s="36">
        <v>388.18181820000001</v>
      </c>
      <c r="G107" s="36">
        <v>415.45454549999999</v>
      </c>
      <c r="H107" s="36">
        <v>445.90909090000002</v>
      </c>
      <c r="I107" s="36">
        <v>463.18181820000001</v>
      </c>
      <c r="J107" s="36">
        <v>481.36363640000002</v>
      </c>
      <c r="K107" s="36">
        <v>487.27272729999999</v>
      </c>
      <c r="L107" s="34">
        <v>1.948051948</v>
      </c>
      <c r="M107" s="34">
        <v>2.0616883119999998</v>
      </c>
      <c r="N107" s="34">
        <v>1.7857142859999999</v>
      </c>
      <c r="O107" s="34">
        <v>1.6639610389999999</v>
      </c>
      <c r="P107" s="34">
        <v>1.415584416</v>
      </c>
      <c r="Q107" s="34">
        <v>2.1753246750000002</v>
      </c>
      <c r="R107" s="34">
        <v>1.7045454550000001</v>
      </c>
      <c r="S107" s="34">
        <v>1.5692640689999999</v>
      </c>
      <c r="T107" s="34">
        <v>1.2824675320000001</v>
      </c>
      <c r="U107" s="34">
        <v>1.233766234</v>
      </c>
      <c r="V107" s="34">
        <v>1.266233766</v>
      </c>
      <c r="W107" s="34">
        <v>0.984848485</v>
      </c>
      <c r="X107" s="34">
        <v>1.298701299</v>
      </c>
      <c r="Y107" s="34">
        <v>0.86038961000000003</v>
      </c>
      <c r="Z107" s="34">
        <v>0.42207792199999999</v>
      </c>
    </row>
    <row r="108" spans="1:26" ht="18.75" x14ac:dyDescent="0.3">
      <c r="A108" s="36">
        <v>2634</v>
      </c>
      <c r="B108" s="33">
        <v>2304</v>
      </c>
      <c r="C108" s="33" t="s">
        <v>20</v>
      </c>
      <c r="D108" s="33" t="s">
        <v>21</v>
      </c>
      <c r="E108" s="33" t="s">
        <v>15</v>
      </c>
      <c r="F108" s="36">
        <v>370.90909090000002</v>
      </c>
      <c r="G108" s="36">
        <v>403.63636359999998</v>
      </c>
      <c r="H108" s="36">
        <v>411.81818179999999</v>
      </c>
      <c r="I108" s="36">
        <v>434.09090909999998</v>
      </c>
      <c r="J108" s="36">
        <v>472.27272729999999</v>
      </c>
      <c r="K108" s="36">
        <v>468.18181820000001</v>
      </c>
      <c r="L108" s="34">
        <v>2.3376623379999999</v>
      </c>
      <c r="M108" s="34">
        <v>1.4610389610000001</v>
      </c>
      <c r="N108" s="34">
        <v>1.5043290039999999</v>
      </c>
      <c r="O108" s="34">
        <v>1.810064935</v>
      </c>
      <c r="P108" s="34">
        <v>1.3896103900000001</v>
      </c>
      <c r="Q108" s="34">
        <v>0.58441558400000004</v>
      </c>
      <c r="R108" s="34">
        <v>1.0876623379999999</v>
      </c>
      <c r="S108" s="34">
        <v>1.6341991339999999</v>
      </c>
      <c r="T108" s="34">
        <v>1.1525974029999999</v>
      </c>
      <c r="U108" s="34">
        <v>1.5909090910000001</v>
      </c>
      <c r="V108" s="34">
        <v>2.1590909090000001</v>
      </c>
      <c r="W108" s="34">
        <v>1.341991342</v>
      </c>
      <c r="X108" s="34">
        <v>2.7272727269999999</v>
      </c>
      <c r="Y108" s="34">
        <v>1.2175324679999999</v>
      </c>
      <c r="Z108" s="34">
        <v>-0.29220779200000002</v>
      </c>
    </row>
    <row r="109" spans="1:26" ht="18.75" x14ac:dyDescent="0.3">
      <c r="A109" s="36">
        <v>2635</v>
      </c>
      <c r="B109" s="33">
        <v>2304</v>
      </c>
      <c r="C109" s="33" t="s">
        <v>14</v>
      </c>
      <c r="D109" s="33" t="s">
        <v>15</v>
      </c>
      <c r="E109" s="33" t="s">
        <v>15</v>
      </c>
      <c r="F109" s="36">
        <v>400</v>
      </c>
      <c r="G109" s="36">
        <v>422.27272729999999</v>
      </c>
      <c r="H109" s="36">
        <v>439.54545450000001</v>
      </c>
      <c r="I109" s="36">
        <v>463.63636359999998</v>
      </c>
      <c r="J109" s="36">
        <v>490.90909090000002</v>
      </c>
      <c r="K109" s="36">
        <v>478.63636359999998</v>
      </c>
      <c r="L109" s="34">
        <v>1.5909090910000001</v>
      </c>
      <c r="M109" s="34">
        <v>1.4123376620000001</v>
      </c>
      <c r="N109" s="34">
        <v>1.5151515149999999</v>
      </c>
      <c r="O109" s="34">
        <v>1.623376623</v>
      </c>
      <c r="P109" s="34">
        <v>1.123376623</v>
      </c>
      <c r="Q109" s="34">
        <v>1.233766234</v>
      </c>
      <c r="R109" s="34">
        <v>1.4772727269999999</v>
      </c>
      <c r="S109" s="34">
        <v>1.6341991339999999</v>
      </c>
      <c r="T109" s="34">
        <v>1.006493506</v>
      </c>
      <c r="U109" s="34">
        <v>1.7207792209999999</v>
      </c>
      <c r="V109" s="34">
        <v>1.834415584</v>
      </c>
      <c r="W109" s="34">
        <v>0.93073593099999996</v>
      </c>
      <c r="X109" s="34">
        <v>1.948051948</v>
      </c>
      <c r="Y109" s="34">
        <v>0.53571428600000004</v>
      </c>
      <c r="Z109" s="34">
        <v>-0.87662337700000004</v>
      </c>
    </row>
    <row r="110" spans="1:26" ht="18.75" x14ac:dyDescent="0.3">
      <c r="A110" s="36">
        <v>2638</v>
      </c>
      <c r="B110" s="33">
        <v>2304</v>
      </c>
      <c r="C110" s="33" t="s">
        <v>14</v>
      </c>
      <c r="D110" s="33" t="s">
        <v>15</v>
      </c>
      <c r="E110" s="33" t="s">
        <v>15</v>
      </c>
      <c r="F110" s="36">
        <v>376.36363640000002</v>
      </c>
      <c r="G110" s="36">
        <v>397.72727270000001</v>
      </c>
      <c r="H110" s="36">
        <v>412.27272729999999</v>
      </c>
      <c r="I110" s="36">
        <v>437.27272729999999</v>
      </c>
      <c r="J110" s="36">
        <v>443.63636359999998</v>
      </c>
      <c r="K110" s="36">
        <v>473.63636359999998</v>
      </c>
      <c r="L110" s="34">
        <v>1.5259740260000001</v>
      </c>
      <c r="M110" s="34">
        <v>1.2824675320000001</v>
      </c>
      <c r="N110" s="34">
        <v>1.4502164500000001</v>
      </c>
      <c r="O110" s="34">
        <v>1.201298701</v>
      </c>
      <c r="P110" s="34">
        <v>1.3896103900000001</v>
      </c>
      <c r="Q110" s="34">
        <v>1.0389610389999999</v>
      </c>
      <c r="R110" s="34">
        <v>1.4123376620000001</v>
      </c>
      <c r="S110" s="34">
        <v>1.093073593</v>
      </c>
      <c r="T110" s="34">
        <v>1.355519481</v>
      </c>
      <c r="U110" s="34">
        <v>1.7857142859999999</v>
      </c>
      <c r="V110" s="34">
        <v>1.12012987</v>
      </c>
      <c r="W110" s="34">
        <v>1.4610389610000001</v>
      </c>
      <c r="X110" s="34">
        <v>0.45454545499999999</v>
      </c>
      <c r="Y110" s="34">
        <v>1.298701299</v>
      </c>
      <c r="Z110" s="34">
        <v>2.1428571430000001</v>
      </c>
    </row>
    <row r="111" spans="1:26" ht="18.75" x14ac:dyDescent="0.3">
      <c r="A111" s="36">
        <v>2645</v>
      </c>
      <c r="B111" s="33">
        <v>2304</v>
      </c>
      <c r="C111" s="33" t="s">
        <v>14</v>
      </c>
      <c r="D111" s="33" t="s">
        <v>15</v>
      </c>
      <c r="E111" s="33" t="s">
        <v>15</v>
      </c>
      <c r="F111" s="36">
        <v>452.27272729999999</v>
      </c>
      <c r="G111" s="36">
        <v>482.27272729999999</v>
      </c>
      <c r="H111" s="36">
        <v>515</v>
      </c>
      <c r="I111" s="36">
        <v>531.81818180000005</v>
      </c>
      <c r="J111" s="36">
        <v>556.36363640000002</v>
      </c>
      <c r="K111" s="36">
        <v>578.18181819999995</v>
      </c>
      <c r="L111" s="34">
        <v>2.1428571430000001</v>
      </c>
      <c r="M111" s="34">
        <v>2.2402597399999999</v>
      </c>
      <c r="N111" s="34">
        <v>1.893939394</v>
      </c>
      <c r="O111" s="34">
        <v>1.858766234</v>
      </c>
      <c r="P111" s="34">
        <v>1.798701299</v>
      </c>
      <c r="Q111" s="34">
        <v>2.3376623379999999</v>
      </c>
      <c r="R111" s="34">
        <v>1.769480519</v>
      </c>
      <c r="S111" s="34">
        <v>1.764069264</v>
      </c>
      <c r="T111" s="34">
        <v>1.7126623379999999</v>
      </c>
      <c r="U111" s="34">
        <v>1.201298701</v>
      </c>
      <c r="V111" s="34">
        <v>1.4772727269999999</v>
      </c>
      <c r="W111" s="34">
        <v>1.5043290039999999</v>
      </c>
      <c r="X111" s="34">
        <v>1.753246753</v>
      </c>
      <c r="Y111" s="34">
        <v>1.6558441559999999</v>
      </c>
      <c r="Z111" s="34">
        <v>1.5584415579999999</v>
      </c>
    </row>
    <row r="112" spans="1:26" ht="18.75" x14ac:dyDescent="0.3">
      <c r="A112" s="37">
        <v>2656</v>
      </c>
      <c r="B112" s="33">
        <v>2304</v>
      </c>
      <c r="C112" s="33" t="s">
        <v>20</v>
      </c>
      <c r="D112" s="33" t="s">
        <v>21</v>
      </c>
      <c r="E112" s="33" t="s">
        <v>15</v>
      </c>
      <c r="F112" s="36">
        <v>342.27272729999999</v>
      </c>
      <c r="G112" s="36">
        <v>370.90909090000002</v>
      </c>
      <c r="H112" s="36">
        <v>385.45454549999999</v>
      </c>
      <c r="I112" s="36">
        <v>405</v>
      </c>
      <c r="J112" s="36">
        <v>421.36363640000002</v>
      </c>
      <c r="K112" s="36">
        <v>440.90909090000002</v>
      </c>
      <c r="L112" s="34">
        <v>2.0454545450000001</v>
      </c>
      <c r="M112" s="34">
        <v>1.5422077919999999</v>
      </c>
      <c r="N112" s="34">
        <v>1.493506494</v>
      </c>
      <c r="O112" s="34">
        <v>1.4123376620000001</v>
      </c>
      <c r="P112" s="34">
        <v>1.4090909089999999</v>
      </c>
      <c r="Q112" s="34">
        <v>1.0389610389999999</v>
      </c>
      <c r="R112" s="34">
        <v>1.2175324679999999</v>
      </c>
      <c r="S112" s="34">
        <v>1.201298701</v>
      </c>
      <c r="T112" s="34">
        <v>1.25</v>
      </c>
      <c r="U112" s="34">
        <v>1.3961038960000001</v>
      </c>
      <c r="V112" s="34">
        <v>1.2824675320000001</v>
      </c>
      <c r="W112" s="34">
        <v>1.3203463200000001</v>
      </c>
      <c r="X112" s="34">
        <v>1.1688311689999999</v>
      </c>
      <c r="Y112" s="34">
        <v>1.2824675320000001</v>
      </c>
      <c r="Z112" s="34">
        <v>1.3961038960000001</v>
      </c>
    </row>
    <row r="113" spans="1:26" ht="18.75" x14ac:dyDescent="0.3">
      <c r="A113" s="37">
        <v>2662</v>
      </c>
      <c r="B113" s="33">
        <v>2304</v>
      </c>
      <c r="C113" s="33" t="s">
        <v>14</v>
      </c>
      <c r="D113" s="33" t="s">
        <v>15</v>
      </c>
      <c r="E113" s="33" t="s">
        <v>15</v>
      </c>
      <c r="F113" s="36">
        <v>406.36363640000002</v>
      </c>
      <c r="G113" s="36">
        <v>424.09090909999998</v>
      </c>
      <c r="H113" s="36">
        <v>456.81818179999999</v>
      </c>
      <c r="I113" s="36">
        <v>464.54545450000001</v>
      </c>
      <c r="J113" s="36">
        <v>460</v>
      </c>
      <c r="K113" s="36">
        <v>509.09090909999998</v>
      </c>
      <c r="L113" s="34">
        <v>1.266233766</v>
      </c>
      <c r="M113" s="34">
        <v>1.801948052</v>
      </c>
      <c r="N113" s="34">
        <v>1.3852813850000001</v>
      </c>
      <c r="O113" s="34">
        <v>0.95779220799999998</v>
      </c>
      <c r="P113" s="34">
        <v>1.4675324679999999</v>
      </c>
      <c r="Q113" s="34">
        <v>2.3376623379999999</v>
      </c>
      <c r="R113" s="34">
        <v>1.444805195</v>
      </c>
      <c r="S113" s="34">
        <v>0.85497835499999997</v>
      </c>
      <c r="T113" s="34">
        <v>1.5178571430000001</v>
      </c>
      <c r="U113" s="34">
        <v>0.55194805199999997</v>
      </c>
      <c r="V113" s="34">
        <v>0.113636364</v>
      </c>
      <c r="W113" s="34">
        <v>1.2445887449999999</v>
      </c>
      <c r="X113" s="34">
        <v>-0.32467532500000001</v>
      </c>
      <c r="Y113" s="34">
        <v>1.5909090910000001</v>
      </c>
      <c r="Z113" s="34">
        <v>3.506493506</v>
      </c>
    </row>
    <row r="114" spans="1:26" ht="18.75" x14ac:dyDescent="0.3">
      <c r="A114" s="37">
        <v>2663</v>
      </c>
      <c r="B114" s="33">
        <v>2304</v>
      </c>
      <c r="C114" s="33" t="s">
        <v>14</v>
      </c>
      <c r="D114" s="33" t="s">
        <v>15</v>
      </c>
      <c r="E114" s="33" t="s">
        <v>15</v>
      </c>
      <c r="F114" s="36">
        <v>403.18181820000001</v>
      </c>
      <c r="G114" s="36">
        <v>412.72727270000001</v>
      </c>
      <c r="H114" s="36">
        <v>455.90909090000002</v>
      </c>
      <c r="I114" s="36">
        <v>469.54545450000001</v>
      </c>
      <c r="J114" s="36">
        <v>481.36363640000002</v>
      </c>
      <c r="K114" s="36">
        <v>529.54545450000001</v>
      </c>
      <c r="L114" s="34">
        <v>0.68181818199999999</v>
      </c>
      <c r="M114" s="34">
        <v>1.883116883</v>
      </c>
      <c r="N114" s="34">
        <v>1.5800865799999999</v>
      </c>
      <c r="O114" s="34">
        <v>1.3961038960000001</v>
      </c>
      <c r="P114" s="34">
        <v>1.805194805</v>
      </c>
      <c r="Q114" s="34">
        <v>3.0844155839999998</v>
      </c>
      <c r="R114" s="34">
        <v>2.0292207790000001</v>
      </c>
      <c r="S114" s="34">
        <v>1.6341991339999999</v>
      </c>
      <c r="T114" s="34">
        <v>2.0860389609999999</v>
      </c>
      <c r="U114" s="34">
        <v>0.97402597400000002</v>
      </c>
      <c r="V114" s="34">
        <v>0.909090909</v>
      </c>
      <c r="W114" s="34">
        <v>1.753246753</v>
      </c>
      <c r="X114" s="34">
        <v>0.84415584399999999</v>
      </c>
      <c r="Y114" s="34">
        <v>2.1428571430000001</v>
      </c>
      <c r="Z114" s="34">
        <v>3.4415584419999998</v>
      </c>
    </row>
    <row r="115" spans="1:26" ht="18.75" x14ac:dyDescent="0.3">
      <c r="A115" s="36">
        <v>2670</v>
      </c>
      <c r="B115" s="33">
        <v>2304</v>
      </c>
      <c r="C115" s="33" t="s">
        <v>23</v>
      </c>
      <c r="D115" s="33" t="s">
        <v>21</v>
      </c>
      <c r="E115" s="33" t="s">
        <v>24</v>
      </c>
      <c r="F115" s="36">
        <v>435.90909090000002</v>
      </c>
      <c r="G115" s="36">
        <v>466.36363640000002</v>
      </c>
      <c r="H115" s="36">
        <v>486.36363640000002</v>
      </c>
      <c r="I115" s="36">
        <v>496.36363640000002</v>
      </c>
      <c r="J115" s="36">
        <v>530</v>
      </c>
      <c r="K115" s="36">
        <v>544.54545450000001</v>
      </c>
      <c r="L115" s="34">
        <v>2.1753246750000002</v>
      </c>
      <c r="M115" s="34">
        <v>1.801948052</v>
      </c>
      <c r="N115" s="34">
        <v>1.4393939389999999</v>
      </c>
      <c r="O115" s="34">
        <v>1.680194805</v>
      </c>
      <c r="P115" s="34">
        <v>1.551948052</v>
      </c>
      <c r="Q115" s="34">
        <v>1.428571429</v>
      </c>
      <c r="R115" s="34">
        <v>1.071428571</v>
      </c>
      <c r="S115" s="34">
        <v>1.5151515149999999</v>
      </c>
      <c r="T115" s="34">
        <v>1.3961038960000001</v>
      </c>
      <c r="U115" s="34">
        <v>0.71428571399999996</v>
      </c>
      <c r="V115" s="34">
        <v>1.5584415579999999</v>
      </c>
      <c r="W115" s="34">
        <v>1.3852813850000001</v>
      </c>
      <c r="X115" s="34">
        <v>2.4025974030000001</v>
      </c>
      <c r="Y115" s="34">
        <v>1.7207792209999999</v>
      </c>
      <c r="Z115" s="34">
        <v>1.0389610389999999</v>
      </c>
    </row>
    <row r="116" spans="1:26" ht="18.75" x14ac:dyDescent="0.3">
      <c r="A116" s="37">
        <v>2671</v>
      </c>
      <c r="B116" s="33">
        <v>2304</v>
      </c>
      <c r="C116" s="33" t="s">
        <v>20</v>
      </c>
      <c r="D116" s="33" t="s">
        <v>21</v>
      </c>
      <c r="E116" s="33" t="s">
        <v>15</v>
      </c>
      <c r="F116" s="36">
        <v>404.09090909999998</v>
      </c>
      <c r="G116" s="36">
        <v>436.36363640000002</v>
      </c>
      <c r="H116" s="36">
        <v>453.63636359999998</v>
      </c>
      <c r="I116" s="36">
        <v>445.90909090000002</v>
      </c>
      <c r="J116" s="36">
        <v>478.63636359999998</v>
      </c>
      <c r="K116" s="36">
        <v>490.90909090000002</v>
      </c>
      <c r="L116" s="34">
        <v>2.3051948050000002</v>
      </c>
      <c r="M116" s="34">
        <v>1.769480519</v>
      </c>
      <c r="N116" s="34">
        <v>0.99567099599999997</v>
      </c>
      <c r="O116" s="34">
        <v>1.3311688310000001</v>
      </c>
      <c r="P116" s="34">
        <v>1.2402597399999999</v>
      </c>
      <c r="Q116" s="34">
        <v>1.233766234</v>
      </c>
      <c r="R116" s="34">
        <v>0.340909091</v>
      </c>
      <c r="S116" s="34">
        <v>1.006493506</v>
      </c>
      <c r="T116" s="34">
        <v>0.97402597400000002</v>
      </c>
      <c r="U116" s="34">
        <v>-0.55194805199999997</v>
      </c>
      <c r="V116" s="34">
        <v>0.89285714299999996</v>
      </c>
      <c r="W116" s="34">
        <v>0.88744588700000004</v>
      </c>
      <c r="X116" s="34">
        <v>2.3376623379999999</v>
      </c>
      <c r="Y116" s="34">
        <v>1.6071428569999999</v>
      </c>
      <c r="Z116" s="34">
        <v>0.87662337700000004</v>
      </c>
    </row>
    <row r="117" spans="1:26" ht="18.75" x14ac:dyDescent="0.3">
      <c r="A117" s="37">
        <v>2674</v>
      </c>
      <c r="B117" s="33">
        <v>2304</v>
      </c>
      <c r="C117" s="33" t="s">
        <v>14</v>
      </c>
      <c r="D117" s="33" t="s">
        <v>15</v>
      </c>
      <c r="E117" s="33" t="s">
        <v>15</v>
      </c>
      <c r="F117" s="36">
        <v>435</v>
      </c>
      <c r="G117" s="36">
        <v>462.27272729999999</v>
      </c>
      <c r="H117" s="36">
        <v>470.90909090000002</v>
      </c>
      <c r="I117" s="36">
        <v>494.54545450000001</v>
      </c>
      <c r="J117" s="36">
        <v>531.81818180000005</v>
      </c>
      <c r="K117" s="36">
        <v>544.54545450000001</v>
      </c>
      <c r="L117" s="34">
        <v>1.948051948</v>
      </c>
      <c r="M117" s="34">
        <v>1.2824675320000001</v>
      </c>
      <c r="N117" s="34">
        <v>1.417748918</v>
      </c>
      <c r="O117" s="34">
        <v>1.7288961039999999</v>
      </c>
      <c r="P117" s="34">
        <v>1.564935065</v>
      </c>
      <c r="Q117" s="34">
        <v>0.61688311699999998</v>
      </c>
      <c r="R117" s="34">
        <v>1.1525974029999999</v>
      </c>
      <c r="S117" s="34">
        <v>1.6558441559999999</v>
      </c>
      <c r="T117" s="34">
        <v>1.4691558440000001</v>
      </c>
      <c r="U117" s="34">
        <v>1.688311688</v>
      </c>
      <c r="V117" s="34">
        <v>2.1753246750000002</v>
      </c>
      <c r="W117" s="34">
        <v>1.753246753</v>
      </c>
      <c r="X117" s="34">
        <v>2.6623376620000001</v>
      </c>
      <c r="Y117" s="34">
        <v>1.7857142859999999</v>
      </c>
      <c r="Z117" s="34">
        <v>0.909090909</v>
      </c>
    </row>
    <row r="118" spans="1:26" ht="18.75" x14ac:dyDescent="0.3">
      <c r="A118" s="37">
        <v>2676</v>
      </c>
      <c r="B118" s="33">
        <v>2304</v>
      </c>
      <c r="C118" s="33" t="s">
        <v>14</v>
      </c>
      <c r="D118" s="33" t="s">
        <v>15</v>
      </c>
      <c r="E118" s="33" t="s">
        <v>15</v>
      </c>
      <c r="F118" s="36">
        <v>381.81818179999999</v>
      </c>
      <c r="G118" s="36">
        <v>424.54545450000001</v>
      </c>
      <c r="H118" s="36">
        <v>455</v>
      </c>
      <c r="I118" s="36">
        <v>483.63636359999998</v>
      </c>
      <c r="J118" s="36">
        <v>491.36363640000002</v>
      </c>
      <c r="K118" s="36">
        <v>510.90909090000002</v>
      </c>
      <c r="L118" s="34">
        <v>3.0519480520000002</v>
      </c>
      <c r="M118" s="34">
        <v>2.613636364</v>
      </c>
      <c r="N118" s="34">
        <v>2.424242424</v>
      </c>
      <c r="O118" s="34">
        <v>1.9561688310000001</v>
      </c>
      <c r="P118" s="34">
        <v>1.8441558440000001</v>
      </c>
      <c r="Q118" s="34">
        <v>2.1753246750000002</v>
      </c>
      <c r="R118" s="34">
        <v>2.1103896099999999</v>
      </c>
      <c r="S118" s="34">
        <v>1.5909090910000001</v>
      </c>
      <c r="T118" s="34">
        <v>1.5422077919999999</v>
      </c>
      <c r="U118" s="34">
        <v>2.0454545450000001</v>
      </c>
      <c r="V118" s="34">
        <v>1.298701299</v>
      </c>
      <c r="W118" s="34">
        <v>1.3311688310000001</v>
      </c>
      <c r="X118" s="34">
        <v>0.55194805199999997</v>
      </c>
      <c r="Y118" s="34">
        <v>0.97402597400000002</v>
      </c>
      <c r="Z118" s="34">
        <v>1.3961038960000001</v>
      </c>
    </row>
    <row r="119" spans="1:26" ht="18.75" x14ac:dyDescent="0.3">
      <c r="A119" s="37">
        <v>2697</v>
      </c>
      <c r="B119" s="33">
        <v>2304</v>
      </c>
      <c r="C119" s="33" t="s">
        <v>20</v>
      </c>
      <c r="D119" s="33" t="s">
        <v>21</v>
      </c>
      <c r="E119" s="33" t="s">
        <v>15</v>
      </c>
      <c r="F119" s="36">
        <v>303.18181820000001</v>
      </c>
      <c r="G119" s="36">
        <v>331.81818179999999</v>
      </c>
      <c r="H119" s="36">
        <v>355.90909090000002</v>
      </c>
      <c r="I119" s="36">
        <v>370.90909090000002</v>
      </c>
      <c r="J119" s="36">
        <v>385.90909090000002</v>
      </c>
      <c r="K119" s="36">
        <v>412.27272729999999</v>
      </c>
      <c r="L119" s="34">
        <v>2.0454545450000001</v>
      </c>
      <c r="M119" s="34">
        <v>1.883116883</v>
      </c>
      <c r="N119" s="34">
        <v>1.6125541130000001</v>
      </c>
      <c r="O119" s="34">
        <v>1.4772727269999999</v>
      </c>
      <c r="P119" s="34">
        <v>1.5584415579999999</v>
      </c>
      <c r="Q119" s="34">
        <v>1.7207792209999999</v>
      </c>
      <c r="R119" s="34">
        <v>1.3961038960000001</v>
      </c>
      <c r="S119" s="34">
        <v>1.287878788</v>
      </c>
      <c r="T119" s="34">
        <v>1.436688312</v>
      </c>
      <c r="U119" s="34">
        <v>1.071428571</v>
      </c>
      <c r="V119" s="34">
        <v>1.071428571</v>
      </c>
      <c r="W119" s="34">
        <v>1.341991342</v>
      </c>
      <c r="X119" s="34">
        <v>1.071428571</v>
      </c>
      <c r="Y119" s="34">
        <v>1.4772727269999999</v>
      </c>
      <c r="Z119" s="34">
        <v>1.883116883</v>
      </c>
    </row>
    <row r="120" spans="1:26" ht="18.75" x14ac:dyDescent="0.25">
      <c r="A120" s="37">
        <v>3003</v>
      </c>
      <c r="B120" s="33">
        <v>2311</v>
      </c>
      <c r="C120" s="33" t="s">
        <v>20</v>
      </c>
      <c r="D120" s="33" t="s">
        <v>21</v>
      </c>
      <c r="E120" s="33" t="s">
        <v>15</v>
      </c>
      <c r="F120" s="38">
        <v>423.18181820000001</v>
      </c>
      <c r="G120" s="34">
        <v>452.72727270000001</v>
      </c>
      <c r="H120" s="34">
        <v>470.90909090000002</v>
      </c>
      <c r="I120" s="34">
        <v>505</v>
      </c>
      <c r="J120" s="34">
        <v>522.72727269999996</v>
      </c>
      <c r="K120" s="34">
        <v>545.45454549999999</v>
      </c>
      <c r="L120" s="34">
        <v>2.1103896099999999</v>
      </c>
      <c r="M120" s="34">
        <v>1.7045454550000001</v>
      </c>
      <c r="N120" s="34">
        <v>1.948051948</v>
      </c>
      <c r="O120" s="34">
        <v>1.7775974029999999</v>
      </c>
      <c r="P120" s="34">
        <v>1.746753247</v>
      </c>
      <c r="Q120" s="34">
        <v>1.298701299</v>
      </c>
      <c r="R120" s="34">
        <v>1.866883117</v>
      </c>
      <c r="S120" s="34">
        <v>1.6666666670000001</v>
      </c>
      <c r="T120" s="34">
        <v>1.6558441559999999</v>
      </c>
      <c r="U120" s="34">
        <v>2.4350649350000002</v>
      </c>
      <c r="V120" s="34">
        <v>1.8506493509999999</v>
      </c>
      <c r="W120" s="34">
        <v>1.7748917749999999</v>
      </c>
      <c r="X120" s="34">
        <v>1.266233766</v>
      </c>
      <c r="Y120" s="34">
        <v>1.444805195</v>
      </c>
      <c r="Z120" s="34">
        <v>1.623376623</v>
      </c>
    </row>
    <row r="121" spans="1:26" ht="18.75" x14ac:dyDescent="0.25">
      <c r="A121" s="37">
        <v>3005</v>
      </c>
      <c r="B121" s="33">
        <v>2311</v>
      </c>
      <c r="C121" s="33" t="s">
        <v>23</v>
      </c>
      <c r="D121" s="33" t="s">
        <v>21</v>
      </c>
      <c r="E121" s="33" t="s">
        <v>24</v>
      </c>
      <c r="F121" s="38">
        <v>449.54545450000001</v>
      </c>
      <c r="G121" s="34">
        <v>479.54545450000001</v>
      </c>
      <c r="H121" s="34">
        <v>497.27272729999999</v>
      </c>
      <c r="I121" s="34">
        <v>535</v>
      </c>
      <c r="J121" s="34">
        <v>585</v>
      </c>
      <c r="K121" s="34">
        <v>590</v>
      </c>
      <c r="L121" s="34">
        <v>2.1428571430000001</v>
      </c>
      <c r="M121" s="34">
        <v>1.7045454550000001</v>
      </c>
      <c r="N121" s="34">
        <v>2.034632035</v>
      </c>
      <c r="O121" s="34">
        <v>2.4188311690000002</v>
      </c>
      <c r="P121" s="34">
        <v>2.006493506</v>
      </c>
      <c r="Q121" s="34">
        <v>1.266233766</v>
      </c>
      <c r="R121" s="34">
        <v>1.980519481</v>
      </c>
      <c r="S121" s="34">
        <v>2.5108225110000002</v>
      </c>
      <c r="T121" s="34">
        <v>1.9724025970000001</v>
      </c>
      <c r="U121" s="34">
        <v>2.6948051949999998</v>
      </c>
      <c r="V121" s="34">
        <v>3.133116883</v>
      </c>
      <c r="W121" s="34">
        <v>2.2077922079999999</v>
      </c>
      <c r="X121" s="34">
        <v>3.5714285710000002</v>
      </c>
      <c r="Y121" s="34">
        <v>1.9642857140000001</v>
      </c>
      <c r="Z121" s="34">
        <v>0.35714285699999998</v>
      </c>
    </row>
    <row r="122" spans="1:26" ht="18.75" x14ac:dyDescent="0.25">
      <c r="A122" s="37">
        <v>3013</v>
      </c>
      <c r="B122" s="33">
        <v>2311</v>
      </c>
      <c r="C122" s="33" t="s">
        <v>14</v>
      </c>
      <c r="D122" s="33" t="s">
        <v>15</v>
      </c>
      <c r="E122" s="33" t="s">
        <v>15</v>
      </c>
      <c r="F122" s="38">
        <v>490</v>
      </c>
      <c r="G122" s="34">
        <v>518.63636359999998</v>
      </c>
      <c r="H122" s="34">
        <v>537.72727269999996</v>
      </c>
      <c r="I122" s="34">
        <v>561.36363640000002</v>
      </c>
      <c r="J122" s="34">
        <v>612.27272730000004</v>
      </c>
      <c r="K122" s="34">
        <v>635.90909090000002</v>
      </c>
      <c r="L122" s="34">
        <v>2.0454545450000001</v>
      </c>
      <c r="M122" s="34">
        <v>1.7045454550000001</v>
      </c>
      <c r="N122" s="34">
        <v>1.699134199</v>
      </c>
      <c r="O122" s="34">
        <v>2.1834415580000002</v>
      </c>
      <c r="P122" s="34">
        <v>2.0844155839999998</v>
      </c>
      <c r="Q122" s="34">
        <v>1.363636364</v>
      </c>
      <c r="R122" s="34">
        <v>1.5259740260000001</v>
      </c>
      <c r="S122" s="34">
        <v>2.2294372290000002</v>
      </c>
      <c r="T122" s="34">
        <v>2.0941558439999999</v>
      </c>
      <c r="U122" s="34">
        <v>1.688311688</v>
      </c>
      <c r="V122" s="34">
        <v>2.6623376620000001</v>
      </c>
      <c r="W122" s="34">
        <v>2.3376623379999999</v>
      </c>
      <c r="X122" s="34">
        <v>3.636363636</v>
      </c>
      <c r="Y122" s="34">
        <v>2.6623376620000001</v>
      </c>
      <c r="Z122" s="34">
        <v>1.688311688</v>
      </c>
    </row>
    <row r="123" spans="1:26" ht="18.75" x14ac:dyDescent="0.25">
      <c r="A123" s="37">
        <v>3014</v>
      </c>
      <c r="B123" s="33">
        <v>2311</v>
      </c>
      <c r="C123" s="33" t="s">
        <v>23</v>
      </c>
      <c r="D123" s="33" t="s">
        <v>21</v>
      </c>
      <c r="E123" s="33" t="s">
        <v>24</v>
      </c>
      <c r="F123" s="38">
        <v>455.45454549999999</v>
      </c>
      <c r="G123" s="34">
        <v>488.63636359999998</v>
      </c>
      <c r="H123" s="34">
        <v>501.36363640000002</v>
      </c>
      <c r="I123" s="34">
        <v>537.27272730000004</v>
      </c>
      <c r="J123" s="34">
        <v>577.27272730000004</v>
      </c>
      <c r="K123" s="34">
        <v>587.72727269999996</v>
      </c>
      <c r="L123" s="34">
        <v>2.37012987</v>
      </c>
      <c r="M123" s="34">
        <v>1.6396103900000001</v>
      </c>
      <c r="N123" s="34">
        <v>1.948051948</v>
      </c>
      <c r="O123" s="34">
        <v>2.1753246750000002</v>
      </c>
      <c r="P123" s="34">
        <v>1.8896103900000001</v>
      </c>
      <c r="Q123" s="34">
        <v>0.909090909</v>
      </c>
      <c r="R123" s="34">
        <v>1.737012987</v>
      </c>
      <c r="S123" s="34">
        <v>2.1103896099999999</v>
      </c>
      <c r="T123" s="34">
        <v>1.769480519</v>
      </c>
      <c r="U123" s="34">
        <v>2.5649350649999998</v>
      </c>
      <c r="V123" s="34">
        <v>2.7110389609999999</v>
      </c>
      <c r="W123" s="34">
        <v>2.0562770559999999</v>
      </c>
      <c r="X123" s="34">
        <v>2.8571428569999999</v>
      </c>
      <c r="Y123" s="34">
        <v>1.801948052</v>
      </c>
      <c r="Z123" s="34">
        <v>0.74675324700000001</v>
      </c>
    </row>
    <row r="124" spans="1:26" ht="18.75" x14ac:dyDescent="0.25">
      <c r="A124" s="37">
        <v>3015</v>
      </c>
      <c r="B124" s="33">
        <v>2311</v>
      </c>
      <c r="C124" s="33" t="s">
        <v>20</v>
      </c>
      <c r="D124" s="33" t="s">
        <v>21</v>
      </c>
      <c r="E124" s="33" t="s">
        <v>15</v>
      </c>
      <c r="F124" s="38">
        <v>452.72727270000001</v>
      </c>
      <c r="G124" s="34">
        <v>487.27272729999999</v>
      </c>
      <c r="H124" s="34">
        <v>502.27272729999999</v>
      </c>
      <c r="I124" s="34">
        <v>530.45454549999999</v>
      </c>
      <c r="J124" s="34">
        <v>554.54545450000001</v>
      </c>
      <c r="K124" s="34">
        <v>582.27272730000004</v>
      </c>
      <c r="L124" s="34">
        <v>2.4675324679999999</v>
      </c>
      <c r="M124" s="34">
        <v>1.769480519</v>
      </c>
      <c r="N124" s="34">
        <v>1.8506493509999999</v>
      </c>
      <c r="O124" s="34">
        <v>1.818181818</v>
      </c>
      <c r="P124" s="34">
        <v>1.8506493509999999</v>
      </c>
      <c r="Q124" s="34">
        <v>1.071428571</v>
      </c>
      <c r="R124" s="34">
        <v>1.5422077919999999</v>
      </c>
      <c r="S124" s="34">
        <v>1.6017316020000001</v>
      </c>
      <c r="T124" s="34">
        <v>1.696428571</v>
      </c>
      <c r="U124" s="34">
        <v>2.012987013</v>
      </c>
      <c r="V124" s="34">
        <v>1.866883117</v>
      </c>
      <c r="W124" s="34">
        <v>1.904761905</v>
      </c>
      <c r="X124" s="34">
        <v>1.7207792209999999</v>
      </c>
      <c r="Y124" s="34">
        <v>1.8506493509999999</v>
      </c>
      <c r="Z124" s="34">
        <v>1.980519481</v>
      </c>
    </row>
    <row r="125" spans="1:26" ht="18.75" x14ac:dyDescent="0.25">
      <c r="A125" s="37">
        <v>3017</v>
      </c>
      <c r="B125" s="33">
        <v>2311</v>
      </c>
      <c r="C125" s="33" t="s">
        <v>23</v>
      </c>
      <c r="D125" s="33" t="s">
        <v>21</v>
      </c>
      <c r="E125" s="33" t="s">
        <v>24</v>
      </c>
      <c r="F125" s="38">
        <v>423.63636359999998</v>
      </c>
      <c r="G125" s="34">
        <v>445</v>
      </c>
      <c r="H125" s="34">
        <v>480</v>
      </c>
      <c r="I125" s="34">
        <v>507.27272729999999</v>
      </c>
      <c r="J125" s="34">
        <v>544.54545450000001</v>
      </c>
      <c r="K125" s="34" t="s">
        <v>39</v>
      </c>
      <c r="L125" s="34">
        <v>1.5259740260000001</v>
      </c>
      <c r="M125" s="34">
        <v>2.012987013</v>
      </c>
      <c r="N125" s="34">
        <v>1.9913419910000001</v>
      </c>
      <c r="O125" s="34">
        <v>2.1590909090000001</v>
      </c>
      <c r="P125" s="34" t="s">
        <v>39</v>
      </c>
      <c r="Q125" s="34">
        <v>2.5</v>
      </c>
      <c r="R125" s="34">
        <v>2.2240259739999999</v>
      </c>
      <c r="S125" s="34">
        <v>2.37012987</v>
      </c>
      <c r="T125" s="34" t="s">
        <v>39</v>
      </c>
      <c r="U125" s="34">
        <v>1.948051948</v>
      </c>
      <c r="V125" s="34">
        <v>2.3051948050000002</v>
      </c>
      <c r="W125" s="34" t="s">
        <v>39</v>
      </c>
      <c r="X125" s="34">
        <v>2.6623376620000001</v>
      </c>
      <c r="Y125" s="34" t="s">
        <v>39</v>
      </c>
      <c r="Z125" s="34" t="s">
        <v>39</v>
      </c>
    </row>
    <row r="126" spans="1:26" ht="18.75" x14ac:dyDescent="0.25">
      <c r="A126" s="37">
        <v>3018</v>
      </c>
      <c r="B126" s="33">
        <v>2311</v>
      </c>
      <c r="C126" s="33" t="s">
        <v>14</v>
      </c>
      <c r="D126" s="33" t="s">
        <v>15</v>
      </c>
      <c r="E126" s="33" t="s">
        <v>15</v>
      </c>
      <c r="F126" s="38">
        <v>426.81818179999999</v>
      </c>
      <c r="G126" s="34">
        <v>461.81818179999999</v>
      </c>
      <c r="H126" s="34">
        <v>482.72727270000001</v>
      </c>
      <c r="I126" s="34">
        <v>510.90909090000002</v>
      </c>
      <c r="J126" s="34">
        <v>550.90909090000002</v>
      </c>
      <c r="K126" s="34">
        <v>560</v>
      </c>
      <c r="L126" s="34">
        <v>2.5</v>
      </c>
      <c r="M126" s="34">
        <v>1.996753247</v>
      </c>
      <c r="N126" s="34">
        <v>2.0021645019999998</v>
      </c>
      <c r="O126" s="34">
        <v>2.2159090909999999</v>
      </c>
      <c r="P126" s="34">
        <v>1.9025974029999999</v>
      </c>
      <c r="Q126" s="34">
        <v>1.493506494</v>
      </c>
      <c r="R126" s="34">
        <v>1.753246753</v>
      </c>
      <c r="S126" s="34">
        <v>2.1212121210000001</v>
      </c>
      <c r="T126" s="34">
        <v>1.753246753</v>
      </c>
      <c r="U126" s="34">
        <v>2.012987013</v>
      </c>
      <c r="V126" s="34">
        <v>2.4350649350000002</v>
      </c>
      <c r="W126" s="34">
        <v>1.83982684</v>
      </c>
      <c r="X126" s="34">
        <v>2.8571428569999999</v>
      </c>
      <c r="Y126" s="34">
        <v>1.753246753</v>
      </c>
      <c r="Z126" s="34">
        <v>0.64935064899999995</v>
      </c>
    </row>
    <row r="127" spans="1:26" ht="18.75" x14ac:dyDescent="0.25">
      <c r="A127" s="37">
        <v>3019</v>
      </c>
      <c r="B127" s="33">
        <v>2311</v>
      </c>
      <c r="C127" s="33" t="s">
        <v>14</v>
      </c>
      <c r="D127" s="33" t="s">
        <v>15</v>
      </c>
      <c r="E127" s="33" t="s">
        <v>15</v>
      </c>
      <c r="F127" s="38">
        <v>428.63636359999998</v>
      </c>
      <c r="G127" s="34">
        <v>458.63636359999998</v>
      </c>
      <c r="H127" s="34">
        <v>488.63636359999998</v>
      </c>
      <c r="I127" s="34">
        <v>525</v>
      </c>
      <c r="J127" s="34">
        <v>564.54545450000001</v>
      </c>
      <c r="K127" s="34">
        <v>594.09090909999998</v>
      </c>
      <c r="L127" s="34">
        <v>2.1428571430000001</v>
      </c>
      <c r="M127" s="34">
        <v>2.1428571430000001</v>
      </c>
      <c r="N127" s="34">
        <v>2.294372294</v>
      </c>
      <c r="O127" s="34">
        <v>2.4269480520000002</v>
      </c>
      <c r="P127" s="34">
        <v>2.363636364</v>
      </c>
      <c r="Q127" s="34">
        <v>2.1428571430000001</v>
      </c>
      <c r="R127" s="34">
        <v>2.37012987</v>
      </c>
      <c r="S127" s="34">
        <v>2.521645022</v>
      </c>
      <c r="T127" s="34">
        <v>2.4188311690000002</v>
      </c>
      <c r="U127" s="34">
        <v>2.5974025969999999</v>
      </c>
      <c r="V127" s="34">
        <v>2.7110389609999999</v>
      </c>
      <c r="W127" s="34">
        <v>2.5108225110000002</v>
      </c>
      <c r="X127" s="34">
        <v>2.8246753249999998</v>
      </c>
      <c r="Y127" s="34">
        <v>2.4675324679999999</v>
      </c>
      <c r="Z127" s="34">
        <v>2.1103896099999999</v>
      </c>
    </row>
    <row r="128" spans="1:26" ht="18.75" x14ac:dyDescent="0.25">
      <c r="A128" s="37">
        <v>3021</v>
      </c>
      <c r="B128" s="33">
        <v>2311</v>
      </c>
      <c r="C128" s="33" t="s">
        <v>23</v>
      </c>
      <c r="D128" s="33" t="s">
        <v>21</v>
      </c>
      <c r="E128" s="33" t="s">
        <v>24</v>
      </c>
      <c r="F128" s="38">
        <v>325.45454549999999</v>
      </c>
      <c r="G128" s="34">
        <v>355.45454549999999</v>
      </c>
      <c r="H128" s="34">
        <v>386.81818179999999</v>
      </c>
      <c r="I128" s="34">
        <v>405.45454549999999</v>
      </c>
      <c r="J128" s="34">
        <v>440</v>
      </c>
      <c r="K128" s="34">
        <v>457.27272729999999</v>
      </c>
      <c r="L128" s="34">
        <v>2.1428571430000001</v>
      </c>
      <c r="M128" s="34">
        <v>2.1915584419999998</v>
      </c>
      <c r="N128" s="34">
        <v>1.904761905</v>
      </c>
      <c r="O128" s="34">
        <v>2.0454545450000001</v>
      </c>
      <c r="P128" s="34">
        <v>1.883116883</v>
      </c>
      <c r="Q128" s="34">
        <v>2.2402597399999999</v>
      </c>
      <c r="R128" s="34">
        <v>1.7857142859999999</v>
      </c>
      <c r="S128" s="34">
        <v>2.012987013</v>
      </c>
      <c r="T128" s="34">
        <v>1.818181818</v>
      </c>
      <c r="U128" s="34">
        <v>1.3311688310000001</v>
      </c>
      <c r="V128" s="34">
        <v>1.8993506490000001</v>
      </c>
      <c r="W128" s="34">
        <v>1.677489177</v>
      </c>
      <c r="X128" s="34">
        <v>2.4675324679999999</v>
      </c>
      <c r="Y128" s="34">
        <v>1.8506493509999999</v>
      </c>
      <c r="Z128" s="34">
        <v>1.233766234</v>
      </c>
    </row>
    <row r="129" spans="1:26" ht="18.75" x14ac:dyDescent="0.25">
      <c r="A129" s="37">
        <v>3030</v>
      </c>
      <c r="B129" s="33">
        <v>2311</v>
      </c>
      <c r="C129" s="33" t="s">
        <v>14</v>
      </c>
      <c r="D129" s="33" t="s">
        <v>15</v>
      </c>
      <c r="E129" s="33" t="s">
        <v>15</v>
      </c>
      <c r="F129" s="38">
        <v>307.72727270000001</v>
      </c>
      <c r="G129" s="34">
        <v>334.09090909999998</v>
      </c>
      <c r="H129" s="34">
        <v>354.54545450000001</v>
      </c>
      <c r="I129" s="34" t="s">
        <v>39</v>
      </c>
      <c r="J129" s="34">
        <v>435.45454549999999</v>
      </c>
      <c r="K129" s="34" t="s">
        <v>39</v>
      </c>
      <c r="L129" s="34">
        <v>1.883116883</v>
      </c>
      <c r="M129" s="34">
        <v>1.6720779219999999</v>
      </c>
      <c r="N129" s="34" t="s">
        <v>39</v>
      </c>
      <c r="O129" s="34">
        <v>2.2808441560000001</v>
      </c>
      <c r="P129" s="34" t="s">
        <v>39</v>
      </c>
      <c r="Q129" s="34">
        <v>1.4610389610000001</v>
      </c>
      <c r="R129" s="34" t="s">
        <v>39</v>
      </c>
      <c r="S129" s="34">
        <v>2.4134199129999998</v>
      </c>
      <c r="T129" s="34" t="s">
        <v>39</v>
      </c>
      <c r="U129" s="34" t="s">
        <v>39</v>
      </c>
      <c r="V129" s="34">
        <v>2.8896103900000001</v>
      </c>
      <c r="W129" s="34" t="s">
        <v>39</v>
      </c>
      <c r="X129" s="34" t="s">
        <v>39</v>
      </c>
      <c r="Y129" s="34" t="s">
        <v>39</v>
      </c>
      <c r="Z129" s="34" t="s">
        <v>39</v>
      </c>
    </row>
    <row r="130" spans="1:26" ht="18.75" x14ac:dyDescent="0.25">
      <c r="A130" s="37">
        <v>3114</v>
      </c>
      <c r="B130" s="33">
        <v>2311</v>
      </c>
      <c r="C130" s="33" t="s">
        <v>23</v>
      </c>
      <c r="D130" s="33" t="s">
        <v>21</v>
      </c>
      <c r="E130" s="33" t="s">
        <v>24</v>
      </c>
      <c r="F130" s="38">
        <v>384.54545450000001</v>
      </c>
      <c r="G130" s="34">
        <v>433.63636359999998</v>
      </c>
      <c r="H130" s="34">
        <v>460.90909090000002</v>
      </c>
      <c r="I130" s="34">
        <v>494.54545450000001</v>
      </c>
      <c r="J130" s="34">
        <v>535</v>
      </c>
      <c r="K130" s="34">
        <v>544.54545450000001</v>
      </c>
      <c r="L130" s="34">
        <v>3.506493506</v>
      </c>
      <c r="M130" s="34">
        <v>2.7272727269999999</v>
      </c>
      <c r="N130" s="34">
        <v>2.6190476189999998</v>
      </c>
      <c r="O130" s="34">
        <v>2.6866883119999998</v>
      </c>
      <c r="P130" s="34">
        <v>2.2857142860000002</v>
      </c>
      <c r="Q130" s="34">
        <v>1.948051948</v>
      </c>
      <c r="R130" s="34">
        <v>2.1753246750000002</v>
      </c>
      <c r="S130" s="34">
        <v>2.4134199129999998</v>
      </c>
      <c r="T130" s="34">
        <v>1.980519481</v>
      </c>
      <c r="U130" s="34">
        <v>2.4025974030000001</v>
      </c>
      <c r="V130" s="34">
        <v>2.6461038960000001</v>
      </c>
      <c r="W130" s="34">
        <v>1.9913419910000001</v>
      </c>
      <c r="X130" s="34">
        <v>2.8896103900000001</v>
      </c>
      <c r="Y130" s="34">
        <v>1.7857142859999999</v>
      </c>
      <c r="Z130" s="34">
        <v>0.68181818199999999</v>
      </c>
    </row>
    <row r="131" spans="1:26" ht="18.75" x14ac:dyDescent="0.25">
      <c r="A131" s="37">
        <v>3115</v>
      </c>
      <c r="B131" s="33">
        <v>2311</v>
      </c>
      <c r="C131" s="33" t="s">
        <v>20</v>
      </c>
      <c r="D131" s="33" t="s">
        <v>21</v>
      </c>
      <c r="E131" s="33" t="s">
        <v>15</v>
      </c>
      <c r="F131" s="38">
        <v>344.54545450000001</v>
      </c>
      <c r="G131" s="34">
        <v>397.72727270000001</v>
      </c>
      <c r="H131" s="34">
        <v>426.36363640000002</v>
      </c>
      <c r="I131" s="34">
        <v>452.72727270000001</v>
      </c>
      <c r="J131" s="34">
        <v>498.18181820000001</v>
      </c>
      <c r="K131" s="34">
        <v>519.09090909999998</v>
      </c>
      <c r="L131" s="34">
        <v>3.7987012990000002</v>
      </c>
      <c r="M131" s="34">
        <v>2.9220779220000002</v>
      </c>
      <c r="N131" s="34">
        <v>2.575757576</v>
      </c>
      <c r="O131" s="34">
        <v>2.743506494</v>
      </c>
      <c r="P131" s="34">
        <v>2.493506494</v>
      </c>
      <c r="Q131" s="34">
        <v>2.0454545450000001</v>
      </c>
      <c r="R131" s="34">
        <v>1.9642857140000001</v>
      </c>
      <c r="S131" s="34">
        <v>2.3917748919999999</v>
      </c>
      <c r="T131" s="34">
        <v>2.1672077920000001</v>
      </c>
      <c r="U131" s="34">
        <v>1.883116883</v>
      </c>
      <c r="V131" s="34">
        <v>2.5649350649999998</v>
      </c>
      <c r="W131" s="34">
        <v>2.2077922079999999</v>
      </c>
      <c r="X131" s="34">
        <v>3.246753247</v>
      </c>
      <c r="Y131" s="34">
        <v>2.37012987</v>
      </c>
      <c r="Z131" s="34">
        <v>1.493506494</v>
      </c>
    </row>
    <row r="132" spans="1:26" ht="18.75" x14ac:dyDescent="0.25">
      <c r="A132" s="37">
        <v>3119</v>
      </c>
      <c r="B132" s="33">
        <v>2311</v>
      </c>
      <c r="C132" s="33" t="s">
        <v>20</v>
      </c>
      <c r="D132" s="33" t="s">
        <v>21</v>
      </c>
      <c r="E132" s="33" t="s">
        <v>15</v>
      </c>
      <c r="F132" s="38">
        <v>455.45454549999999</v>
      </c>
      <c r="G132" s="34">
        <v>477.72727270000001</v>
      </c>
      <c r="H132" s="34">
        <v>505</v>
      </c>
      <c r="I132" s="34">
        <v>543.63636359999998</v>
      </c>
      <c r="J132" s="34">
        <v>575.45454549999999</v>
      </c>
      <c r="K132" s="34">
        <v>606.36363640000002</v>
      </c>
      <c r="L132" s="34">
        <v>1.5909090910000001</v>
      </c>
      <c r="M132" s="34">
        <v>1.769480519</v>
      </c>
      <c r="N132" s="34">
        <v>2.0995670999999998</v>
      </c>
      <c r="O132" s="34">
        <v>2.1428571430000001</v>
      </c>
      <c r="P132" s="34">
        <v>2.1558441560000001</v>
      </c>
      <c r="Q132" s="34">
        <v>1.948051948</v>
      </c>
      <c r="R132" s="34">
        <v>2.3538961039999999</v>
      </c>
      <c r="S132" s="34">
        <v>2.3268398270000001</v>
      </c>
      <c r="T132" s="34">
        <v>2.2970779220000002</v>
      </c>
      <c r="U132" s="34">
        <v>2.7597402600000001</v>
      </c>
      <c r="V132" s="34">
        <v>2.516233766</v>
      </c>
      <c r="W132" s="34">
        <v>2.4134199129999998</v>
      </c>
      <c r="X132" s="34">
        <v>2.2727272730000001</v>
      </c>
      <c r="Y132" s="34">
        <v>2.2402597399999999</v>
      </c>
      <c r="Z132" s="34">
        <v>2.2077922079999999</v>
      </c>
    </row>
    <row r="133" spans="1:26" ht="18.75" x14ac:dyDescent="0.25">
      <c r="A133" s="37">
        <v>3129</v>
      </c>
      <c r="B133" s="33">
        <v>2311</v>
      </c>
      <c r="C133" s="33" t="s">
        <v>14</v>
      </c>
      <c r="D133" s="33" t="s">
        <v>15</v>
      </c>
      <c r="E133" s="33" t="s">
        <v>15</v>
      </c>
      <c r="F133" s="38">
        <v>500.45454549999999</v>
      </c>
      <c r="G133" s="34">
        <v>543.18181819999995</v>
      </c>
      <c r="H133" s="34">
        <v>550.45454549999999</v>
      </c>
      <c r="I133" s="34">
        <v>588.63636359999998</v>
      </c>
      <c r="J133" s="34">
        <v>633.63636359999998</v>
      </c>
      <c r="K133" s="34">
        <v>650</v>
      </c>
      <c r="L133" s="34">
        <v>3.0519480520000002</v>
      </c>
      <c r="M133" s="34">
        <v>1.7857142859999999</v>
      </c>
      <c r="N133" s="34">
        <v>2.0995670999999998</v>
      </c>
      <c r="O133" s="34">
        <v>2.378246753</v>
      </c>
      <c r="P133" s="34">
        <v>2.136363636</v>
      </c>
      <c r="Q133" s="34">
        <v>0.51948051900000003</v>
      </c>
      <c r="R133" s="34">
        <v>1.623376623</v>
      </c>
      <c r="S133" s="34">
        <v>2.1536796539999998</v>
      </c>
      <c r="T133" s="34">
        <v>1.9074675320000001</v>
      </c>
      <c r="U133" s="34">
        <v>2.7272727269999999</v>
      </c>
      <c r="V133" s="34">
        <v>2.9707792209999999</v>
      </c>
      <c r="W133" s="34">
        <v>2.37012987</v>
      </c>
      <c r="X133" s="34">
        <v>3.2142857139999998</v>
      </c>
      <c r="Y133" s="34">
        <v>2.1915584419999998</v>
      </c>
      <c r="Z133" s="34">
        <v>1.1688311689999999</v>
      </c>
    </row>
    <row r="134" spans="1:26" ht="18.75" x14ac:dyDescent="0.25">
      <c r="A134" s="37">
        <v>3130</v>
      </c>
      <c r="B134" s="33">
        <v>2311</v>
      </c>
      <c r="C134" s="33" t="s">
        <v>14</v>
      </c>
      <c r="D134" s="33" t="s">
        <v>15</v>
      </c>
      <c r="E134" s="33" t="s">
        <v>15</v>
      </c>
      <c r="F134" s="38">
        <v>397.72727270000001</v>
      </c>
      <c r="G134" s="34">
        <v>427.27272729999999</v>
      </c>
      <c r="H134" s="34">
        <v>451.81818179999999</v>
      </c>
      <c r="I134" s="34">
        <v>475.90909090000002</v>
      </c>
      <c r="J134" s="34">
        <v>513.63636359999998</v>
      </c>
      <c r="K134" s="34">
        <v>536.81818180000005</v>
      </c>
      <c r="L134" s="34">
        <v>2.1103896099999999</v>
      </c>
      <c r="M134" s="34">
        <v>1.931818182</v>
      </c>
      <c r="N134" s="34">
        <v>1.8614718610000001</v>
      </c>
      <c r="O134" s="34">
        <v>2.0698051949999998</v>
      </c>
      <c r="P134" s="34">
        <v>1.987012987</v>
      </c>
      <c r="Q134" s="34">
        <v>1.753246753</v>
      </c>
      <c r="R134" s="34">
        <v>1.737012987</v>
      </c>
      <c r="S134" s="34">
        <v>2.0562770559999999</v>
      </c>
      <c r="T134" s="34">
        <v>1.9561688310000001</v>
      </c>
      <c r="U134" s="34">
        <v>1.7207792209999999</v>
      </c>
      <c r="V134" s="34">
        <v>2.2077922079999999</v>
      </c>
      <c r="W134" s="34">
        <v>2.0238095239999998</v>
      </c>
      <c r="X134" s="34">
        <v>2.6948051949999998</v>
      </c>
      <c r="Y134" s="34">
        <v>2.1753246750000002</v>
      </c>
      <c r="Z134" s="34">
        <v>1.6558441559999999</v>
      </c>
    </row>
    <row r="135" spans="1:26" ht="18.75" x14ac:dyDescent="0.25">
      <c r="A135" s="37">
        <v>3131</v>
      </c>
      <c r="B135" s="33">
        <v>2311</v>
      </c>
      <c r="C135" s="33" t="s">
        <v>14</v>
      </c>
      <c r="D135" s="33" t="s">
        <v>15</v>
      </c>
      <c r="E135" s="33" t="s">
        <v>15</v>
      </c>
      <c r="F135" s="38">
        <v>399.54545450000001</v>
      </c>
      <c r="G135" s="34">
        <v>441.36363640000002</v>
      </c>
      <c r="H135" s="34">
        <v>445.90909090000002</v>
      </c>
      <c r="I135" s="34">
        <v>476.36363640000002</v>
      </c>
      <c r="J135" s="34">
        <v>505</v>
      </c>
      <c r="K135" s="34">
        <v>533.18181819999995</v>
      </c>
      <c r="L135" s="34">
        <v>2.987012987</v>
      </c>
      <c r="M135" s="34">
        <v>1.6558441559999999</v>
      </c>
      <c r="N135" s="34">
        <v>1.829004329</v>
      </c>
      <c r="O135" s="34">
        <v>1.883116883</v>
      </c>
      <c r="P135" s="34">
        <v>1.9090909089999999</v>
      </c>
      <c r="Q135" s="34">
        <v>0.32467532500000001</v>
      </c>
      <c r="R135" s="34">
        <v>1.25</v>
      </c>
      <c r="S135" s="34">
        <v>1.5151515149999999</v>
      </c>
      <c r="T135" s="34">
        <v>1.6396103900000001</v>
      </c>
      <c r="U135" s="34">
        <v>2.1753246750000002</v>
      </c>
      <c r="V135" s="34">
        <v>2.1103896099999999</v>
      </c>
      <c r="W135" s="34">
        <v>2.0779220779999998</v>
      </c>
      <c r="X135" s="34">
        <v>2.0454545450000001</v>
      </c>
      <c r="Y135" s="34">
        <v>2.0292207790000001</v>
      </c>
      <c r="Z135" s="34">
        <v>2.012987013</v>
      </c>
    </row>
    <row r="136" spans="1:26" ht="18.75" x14ac:dyDescent="0.25">
      <c r="A136" s="37">
        <v>3132</v>
      </c>
      <c r="B136" s="33">
        <v>2311</v>
      </c>
      <c r="C136" s="33" t="s">
        <v>27</v>
      </c>
      <c r="D136" s="33" t="s">
        <v>15</v>
      </c>
      <c r="E136" s="33" t="s">
        <v>24</v>
      </c>
      <c r="F136" s="38">
        <v>429.09090909999998</v>
      </c>
      <c r="G136" s="34">
        <v>480</v>
      </c>
      <c r="H136" s="34">
        <v>510.45454549999999</v>
      </c>
      <c r="I136" s="34">
        <v>541.36363640000002</v>
      </c>
      <c r="J136" s="34">
        <v>585</v>
      </c>
      <c r="K136" s="34">
        <v>590.90909090000002</v>
      </c>
      <c r="L136" s="34">
        <v>3.636363636</v>
      </c>
      <c r="M136" s="34">
        <v>2.9058441560000001</v>
      </c>
      <c r="N136" s="34">
        <v>2.6731601729999999</v>
      </c>
      <c r="O136" s="34">
        <v>2.7840909090000001</v>
      </c>
      <c r="P136" s="34">
        <v>2.3116883119999998</v>
      </c>
      <c r="Q136" s="34">
        <v>2.1753246750000002</v>
      </c>
      <c r="R136" s="34">
        <v>2.1915584419999998</v>
      </c>
      <c r="S136" s="34">
        <v>2.5</v>
      </c>
      <c r="T136" s="34">
        <v>1.980519481</v>
      </c>
      <c r="U136" s="34">
        <v>2.2077922079999999</v>
      </c>
      <c r="V136" s="34">
        <v>2.6623376620000001</v>
      </c>
      <c r="W136" s="34">
        <v>1.915584416</v>
      </c>
      <c r="X136" s="34">
        <v>3.116883117</v>
      </c>
      <c r="Y136" s="34">
        <v>1.769480519</v>
      </c>
      <c r="Z136" s="34">
        <v>0.42207792199999999</v>
      </c>
    </row>
    <row r="137" spans="1:26" ht="18.75" x14ac:dyDescent="0.25">
      <c r="A137" s="37">
        <v>3143</v>
      </c>
      <c r="B137" s="33">
        <v>2311</v>
      </c>
      <c r="C137" s="33" t="s">
        <v>20</v>
      </c>
      <c r="D137" s="33" t="s">
        <v>21</v>
      </c>
      <c r="E137" s="33" t="s">
        <v>15</v>
      </c>
      <c r="F137" s="38">
        <v>441.36363640000002</v>
      </c>
      <c r="G137" s="34">
        <v>480.90909090000002</v>
      </c>
      <c r="H137" s="34">
        <v>503.63636359999998</v>
      </c>
      <c r="I137" s="34">
        <v>527.72727269999996</v>
      </c>
      <c r="J137" s="34">
        <v>567.72727269999996</v>
      </c>
      <c r="K137" s="34">
        <v>597.72727269999996</v>
      </c>
      <c r="L137" s="34">
        <v>2.8246753249999998</v>
      </c>
      <c r="M137" s="34">
        <v>2.2240259739999999</v>
      </c>
      <c r="N137" s="34">
        <v>2.0562770559999999</v>
      </c>
      <c r="O137" s="34">
        <v>2.256493506</v>
      </c>
      <c r="P137" s="34">
        <v>2.233766234</v>
      </c>
      <c r="Q137" s="34">
        <v>1.623376623</v>
      </c>
      <c r="R137" s="34">
        <v>1.6720779219999999</v>
      </c>
      <c r="S137" s="34">
        <v>2.0670995670000001</v>
      </c>
      <c r="T137" s="34">
        <v>2.0860389609999999</v>
      </c>
      <c r="U137" s="34">
        <v>1.7207792209999999</v>
      </c>
      <c r="V137" s="34">
        <v>2.2889610390000001</v>
      </c>
      <c r="W137" s="34">
        <v>2.2402597399999999</v>
      </c>
      <c r="X137" s="34">
        <v>2.8571428569999999</v>
      </c>
      <c r="Y137" s="34">
        <v>2.5</v>
      </c>
      <c r="Z137" s="34">
        <v>2.1428571430000001</v>
      </c>
    </row>
    <row r="138" spans="1:26" ht="18.75" x14ac:dyDescent="0.25">
      <c r="A138" s="37">
        <v>3158</v>
      </c>
      <c r="B138" s="33">
        <v>2311</v>
      </c>
      <c r="C138" s="33" t="s">
        <v>20</v>
      </c>
      <c r="D138" s="33" t="s">
        <v>21</v>
      </c>
      <c r="E138" s="33" t="s">
        <v>15</v>
      </c>
      <c r="F138" s="38">
        <v>407.72727270000001</v>
      </c>
      <c r="G138" s="34">
        <v>433.63636359999998</v>
      </c>
      <c r="H138" s="34">
        <v>450.45454549999999</v>
      </c>
      <c r="I138" s="34">
        <v>496.81818179999999</v>
      </c>
      <c r="J138" s="34">
        <v>526.81818180000005</v>
      </c>
      <c r="K138" s="34">
        <v>551.81818180000005</v>
      </c>
      <c r="L138" s="34">
        <v>1.8506493509999999</v>
      </c>
      <c r="M138" s="34">
        <v>1.5259740260000001</v>
      </c>
      <c r="N138" s="34">
        <v>2.1212121210000001</v>
      </c>
      <c r="O138" s="34">
        <v>2.126623377</v>
      </c>
      <c r="P138" s="34">
        <v>2.0584415580000002</v>
      </c>
      <c r="Q138" s="34">
        <v>1.201298701</v>
      </c>
      <c r="R138" s="34">
        <v>2.256493506</v>
      </c>
      <c r="S138" s="34">
        <v>2.2186147190000001</v>
      </c>
      <c r="T138" s="34">
        <v>2.1103896099999999</v>
      </c>
      <c r="U138" s="34">
        <v>3.3116883119999998</v>
      </c>
      <c r="V138" s="34">
        <v>2.7272727269999999</v>
      </c>
      <c r="W138" s="34">
        <v>2.4134199129999998</v>
      </c>
      <c r="X138" s="34">
        <v>2.1428571430000001</v>
      </c>
      <c r="Y138" s="34">
        <v>1.9642857140000001</v>
      </c>
      <c r="Z138" s="34">
        <v>1.7857142859999999</v>
      </c>
    </row>
    <row r="139" spans="1:26" ht="18.75" x14ac:dyDescent="0.25">
      <c r="A139" s="37">
        <v>3171</v>
      </c>
      <c r="B139" s="33">
        <v>2311</v>
      </c>
      <c r="C139" s="33" t="s">
        <v>14</v>
      </c>
      <c r="D139" s="33" t="s">
        <v>15</v>
      </c>
      <c r="E139" s="33" t="s">
        <v>15</v>
      </c>
      <c r="F139" s="38">
        <v>377.27272729999999</v>
      </c>
      <c r="G139" s="34">
        <v>415</v>
      </c>
      <c r="H139" s="34">
        <v>446.36363640000002</v>
      </c>
      <c r="I139" s="34">
        <v>485.90909090000002</v>
      </c>
      <c r="J139" s="34">
        <v>521.81818180000005</v>
      </c>
      <c r="K139" s="34">
        <v>538.63636359999998</v>
      </c>
      <c r="L139" s="34">
        <v>2.6948051949999998</v>
      </c>
      <c r="M139" s="34">
        <v>2.4675324679999999</v>
      </c>
      <c r="N139" s="34">
        <v>2.5865800870000002</v>
      </c>
      <c r="O139" s="34">
        <v>2.5811688309999998</v>
      </c>
      <c r="P139" s="34">
        <v>2.3051948050000002</v>
      </c>
      <c r="Q139" s="34">
        <v>2.2402597399999999</v>
      </c>
      <c r="R139" s="34">
        <v>2.5324675320000001</v>
      </c>
      <c r="S139" s="34">
        <v>2.5432900429999998</v>
      </c>
      <c r="T139" s="34">
        <v>2.2077922079999999</v>
      </c>
      <c r="U139" s="34">
        <v>2.8246753249999998</v>
      </c>
      <c r="V139" s="34">
        <v>2.6948051949999998</v>
      </c>
      <c r="W139" s="34">
        <v>2.1969696970000001</v>
      </c>
      <c r="X139" s="34">
        <v>2.5649350649999998</v>
      </c>
      <c r="Y139" s="34">
        <v>1.883116883</v>
      </c>
      <c r="Z139" s="34">
        <v>1.201298701</v>
      </c>
    </row>
    <row r="140" spans="1:26" ht="18.75" x14ac:dyDescent="0.25">
      <c r="A140" s="37">
        <v>3174</v>
      </c>
      <c r="B140" s="33">
        <v>2311</v>
      </c>
      <c r="C140" s="33" t="s">
        <v>14</v>
      </c>
      <c r="D140" s="33" t="s">
        <v>15</v>
      </c>
      <c r="E140" s="33" t="s">
        <v>15</v>
      </c>
      <c r="F140" s="38">
        <v>305</v>
      </c>
      <c r="G140" s="34">
        <v>321.36363640000002</v>
      </c>
      <c r="H140" s="34">
        <v>343.18181820000001</v>
      </c>
      <c r="I140" s="34">
        <v>385</v>
      </c>
      <c r="J140" s="34">
        <v>422.27272729999999</v>
      </c>
      <c r="K140" s="34">
        <v>452.72727270000001</v>
      </c>
      <c r="L140" s="34">
        <v>1.1688311689999999</v>
      </c>
      <c r="M140" s="34">
        <v>1.363636364</v>
      </c>
      <c r="N140" s="34">
        <v>1.904761905</v>
      </c>
      <c r="O140" s="34">
        <v>2.0941558439999999</v>
      </c>
      <c r="P140" s="34">
        <v>2.1103896099999999</v>
      </c>
      <c r="Q140" s="34">
        <v>1.5584415579999999</v>
      </c>
      <c r="R140" s="34">
        <v>2.2727272730000001</v>
      </c>
      <c r="S140" s="34">
        <v>2.4025974030000001</v>
      </c>
      <c r="T140" s="34">
        <v>2.3457792209999999</v>
      </c>
      <c r="U140" s="34">
        <v>2.987012987</v>
      </c>
      <c r="V140" s="34">
        <v>2.8246753249999998</v>
      </c>
      <c r="W140" s="34">
        <v>2.6082251080000001</v>
      </c>
      <c r="X140" s="34">
        <v>2.6623376620000001</v>
      </c>
      <c r="Y140" s="34">
        <v>2.4188311690000002</v>
      </c>
      <c r="Z140" s="34">
        <v>2.1753246750000002</v>
      </c>
    </row>
    <row r="141" spans="1:26" ht="18.75" x14ac:dyDescent="0.25">
      <c r="A141" s="37">
        <v>3175</v>
      </c>
      <c r="B141" s="33">
        <v>2311</v>
      </c>
      <c r="C141" s="33" t="s">
        <v>14</v>
      </c>
      <c r="D141" s="33" t="s">
        <v>15</v>
      </c>
      <c r="E141" s="33" t="s">
        <v>15</v>
      </c>
      <c r="F141" s="38">
        <v>356.81818179999999</v>
      </c>
      <c r="G141" s="34">
        <v>410</v>
      </c>
      <c r="H141" s="34">
        <v>434.54545450000001</v>
      </c>
      <c r="I141" s="34">
        <v>456.36363640000002</v>
      </c>
      <c r="J141" s="34">
        <v>515.45454549999999</v>
      </c>
      <c r="K141" s="34">
        <v>535.90909090000002</v>
      </c>
      <c r="L141" s="34">
        <v>3.7987012990000002</v>
      </c>
      <c r="M141" s="34">
        <v>2.7759740260000001</v>
      </c>
      <c r="N141" s="34">
        <v>2.37012987</v>
      </c>
      <c r="O141" s="34">
        <v>2.8327922079999999</v>
      </c>
      <c r="P141" s="34">
        <v>2.5584415580000002</v>
      </c>
      <c r="Q141" s="34">
        <v>1.753246753</v>
      </c>
      <c r="R141" s="34">
        <v>1.6558441559999999</v>
      </c>
      <c r="S141" s="34">
        <v>2.5108225110000002</v>
      </c>
      <c r="T141" s="34">
        <v>2.248376623</v>
      </c>
      <c r="U141" s="34">
        <v>1.5584415579999999</v>
      </c>
      <c r="V141" s="34">
        <v>2.8896103900000001</v>
      </c>
      <c r="W141" s="34">
        <v>2.4134199129999998</v>
      </c>
      <c r="X141" s="34">
        <v>4.2207792209999999</v>
      </c>
      <c r="Y141" s="34">
        <v>2.8409090909999999</v>
      </c>
      <c r="Z141" s="34">
        <v>1.4610389610000001</v>
      </c>
    </row>
    <row r="142" spans="1:26" ht="18.75" x14ac:dyDescent="0.25">
      <c r="A142" s="37">
        <v>3205</v>
      </c>
      <c r="B142" s="33">
        <v>2311</v>
      </c>
      <c r="C142" s="33" t="s">
        <v>14</v>
      </c>
      <c r="D142" s="33" t="s">
        <v>15</v>
      </c>
      <c r="E142" s="33" t="s">
        <v>15</v>
      </c>
      <c r="F142" s="38">
        <v>542.72727269999996</v>
      </c>
      <c r="G142" s="34">
        <v>569.54545450000001</v>
      </c>
      <c r="H142" s="34">
        <v>590</v>
      </c>
      <c r="I142" s="34">
        <v>612.27272730000004</v>
      </c>
      <c r="J142" s="34">
        <v>648.63636359999998</v>
      </c>
      <c r="K142" s="34">
        <v>648.18181819999995</v>
      </c>
      <c r="L142" s="34">
        <v>1.915584416</v>
      </c>
      <c r="M142" s="34">
        <v>1.688311688</v>
      </c>
      <c r="N142" s="34">
        <v>1.6558441559999999</v>
      </c>
      <c r="O142" s="34">
        <v>1.891233766</v>
      </c>
      <c r="P142" s="34">
        <v>1.506493506</v>
      </c>
      <c r="Q142" s="34">
        <v>1.4610389610000001</v>
      </c>
      <c r="R142" s="34">
        <v>1.5259740260000001</v>
      </c>
      <c r="S142" s="34">
        <v>1.883116883</v>
      </c>
      <c r="T142" s="34">
        <v>1.4042207790000001</v>
      </c>
      <c r="U142" s="34">
        <v>1.5909090910000001</v>
      </c>
      <c r="V142" s="34">
        <v>2.0941558439999999</v>
      </c>
      <c r="W142" s="34">
        <v>1.3852813850000001</v>
      </c>
      <c r="X142" s="34">
        <v>2.5974025969999999</v>
      </c>
      <c r="Y142" s="34">
        <v>1.2824675320000001</v>
      </c>
      <c r="Z142" s="34">
        <v>-3.2467532E-2</v>
      </c>
    </row>
    <row r="143" spans="1:26" ht="18.75" x14ac:dyDescent="0.25">
      <c r="A143" s="37">
        <v>3215</v>
      </c>
      <c r="B143" s="33">
        <v>2311</v>
      </c>
      <c r="C143" s="33" t="s">
        <v>14</v>
      </c>
      <c r="D143" s="33" t="s">
        <v>15</v>
      </c>
      <c r="E143" s="33" t="s">
        <v>15</v>
      </c>
      <c r="F143" s="38">
        <v>421.36363640000002</v>
      </c>
      <c r="G143" s="34">
        <v>463.63636359999998</v>
      </c>
      <c r="H143" s="34">
        <v>485.45454549999999</v>
      </c>
      <c r="I143" s="34">
        <v>516.81818180000005</v>
      </c>
      <c r="J143" s="34">
        <v>555</v>
      </c>
      <c r="K143" s="34">
        <v>574.09090909999998</v>
      </c>
      <c r="L143" s="34">
        <v>3.019480519</v>
      </c>
      <c r="M143" s="34">
        <v>2.2889610390000001</v>
      </c>
      <c r="N143" s="34">
        <v>2.2727272730000001</v>
      </c>
      <c r="O143" s="34">
        <v>2.386363636</v>
      </c>
      <c r="P143" s="34">
        <v>2.1818181820000002</v>
      </c>
      <c r="Q143" s="34">
        <v>1.5584415579999999</v>
      </c>
      <c r="R143" s="34">
        <v>1.8993506490000001</v>
      </c>
      <c r="S143" s="34">
        <v>2.1753246750000002</v>
      </c>
      <c r="T143" s="34">
        <v>1.9724025970000001</v>
      </c>
      <c r="U143" s="34">
        <v>2.2402597399999999</v>
      </c>
      <c r="V143" s="34">
        <v>2.483766234</v>
      </c>
      <c r="W143" s="34">
        <v>2.1103896099999999</v>
      </c>
      <c r="X143" s="34">
        <v>2.7272727269999999</v>
      </c>
      <c r="Y143" s="34">
        <v>2.0454545450000001</v>
      </c>
      <c r="Z143" s="34">
        <v>1.363636364</v>
      </c>
    </row>
    <row r="144" spans="1:26" ht="18.75" x14ac:dyDescent="0.25">
      <c r="A144" s="37">
        <v>3216</v>
      </c>
      <c r="B144" s="33">
        <v>2311</v>
      </c>
      <c r="C144" s="33" t="s">
        <v>23</v>
      </c>
      <c r="D144" s="33" t="s">
        <v>21</v>
      </c>
      <c r="E144" s="33" t="s">
        <v>24</v>
      </c>
      <c r="F144" s="38">
        <v>439.54545450000001</v>
      </c>
      <c r="G144" s="34">
        <v>490</v>
      </c>
      <c r="H144" s="34">
        <v>514.09090909999998</v>
      </c>
      <c r="I144" s="34">
        <v>542.72727269999996</v>
      </c>
      <c r="J144" s="34">
        <v>574.09090909999998</v>
      </c>
      <c r="K144" s="34">
        <v>591.36363640000002</v>
      </c>
      <c r="L144" s="34">
        <v>3.6038961039999999</v>
      </c>
      <c r="M144" s="34">
        <v>2.6623376620000001</v>
      </c>
      <c r="N144" s="34">
        <v>2.4567099570000002</v>
      </c>
      <c r="O144" s="34">
        <v>2.4025974030000001</v>
      </c>
      <c r="P144" s="34">
        <v>2.1688311690000002</v>
      </c>
      <c r="Q144" s="34">
        <v>1.7207792209999999</v>
      </c>
      <c r="R144" s="34">
        <v>1.883116883</v>
      </c>
      <c r="S144" s="34">
        <v>2.0021645019999998</v>
      </c>
      <c r="T144" s="34">
        <v>1.810064935</v>
      </c>
      <c r="U144" s="34">
        <v>2.0454545450000001</v>
      </c>
      <c r="V144" s="34">
        <v>2.1428571430000001</v>
      </c>
      <c r="W144" s="34">
        <v>1.83982684</v>
      </c>
      <c r="X144" s="34">
        <v>2.2402597399999999</v>
      </c>
      <c r="Y144" s="34">
        <v>1.737012987</v>
      </c>
      <c r="Z144" s="34">
        <v>1.233766234</v>
      </c>
    </row>
    <row r="145" spans="1:26" ht="18.75" x14ac:dyDescent="0.25">
      <c r="A145" s="37">
        <v>3217</v>
      </c>
      <c r="B145" s="33">
        <v>2311</v>
      </c>
      <c r="C145" s="33" t="s">
        <v>14</v>
      </c>
      <c r="D145" s="33" t="s">
        <v>15</v>
      </c>
      <c r="E145" s="33" t="s">
        <v>15</v>
      </c>
      <c r="F145" s="38">
        <v>495.90909090000002</v>
      </c>
      <c r="G145" s="34">
        <v>532.27272730000004</v>
      </c>
      <c r="H145" s="34">
        <v>557.72727269999996</v>
      </c>
      <c r="I145" s="34">
        <v>591.81818180000005</v>
      </c>
      <c r="J145" s="34">
        <v>631.81818180000005</v>
      </c>
      <c r="K145" s="34">
        <v>657.27272730000004</v>
      </c>
      <c r="L145" s="34">
        <v>2.5974025969999999</v>
      </c>
      <c r="M145" s="34">
        <v>2.2077922079999999</v>
      </c>
      <c r="N145" s="34">
        <v>2.2835497839999999</v>
      </c>
      <c r="O145" s="34">
        <v>2.4269480520000002</v>
      </c>
      <c r="P145" s="34">
        <v>2.3051948050000002</v>
      </c>
      <c r="Q145" s="34">
        <v>1.818181818</v>
      </c>
      <c r="R145" s="34">
        <v>2.126623377</v>
      </c>
      <c r="S145" s="34">
        <v>2.37012987</v>
      </c>
      <c r="T145" s="34">
        <v>2.2321428569999999</v>
      </c>
      <c r="U145" s="34">
        <v>2.4350649350000002</v>
      </c>
      <c r="V145" s="34">
        <v>2.6461038960000001</v>
      </c>
      <c r="W145" s="34">
        <v>2.37012987</v>
      </c>
      <c r="X145" s="34">
        <v>2.8571428569999999</v>
      </c>
      <c r="Y145" s="34">
        <v>2.3376623379999999</v>
      </c>
      <c r="Z145" s="34">
        <v>1.818181818</v>
      </c>
    </row>
    <row r="146" spans="1:26" ht="18.75" x14ac:dyDescent="0.25">
      <c r="A146" s="37">
        <v>3219</v>
      </c>
      <c r="B146" s="33">
        <v>2311</v>
      </c>
      <c r="C146" s="33" t="s">
        <v>14</v>
      </c>
      <c r="D146" s="33" t="s">
        <v>15</v>
      </c>
      <c r="E146" s="33" t="s">
        <v>15</v>
      </c>
      <c r="F146" s="38">
        <v>502.27272729999999</v>
      </c>
      <c r="G146" s="34">
        <v>533.18181819999995</v>
      </c>
      <c r="H146" s="34">
        <v>557.27272730000004</v>
      </c>
      <c r="I146" s="34">
        <v>580.90909090000002</v>
      </c>
      <c r="J146" s="34">
        <v>632.72727269999996</v>
      </c>
      <c r="K146" s="34">
        <v>647.72727269999996</v>
      </c>
      <c r="L146" s="34">
        <v>2.2077922079999999</v>
      </c>
      <c r="M146" s="34">
        <v>1.9642857140000001</v>
      </c>
      <c r="N146" s="34">
        <v>1.872294372</v>
      </c>
      <c r="O146" s="34">
        <v>2.3295454549999999</v>
      </c>
      <c r="P146" s="34">
        <v>2.0779220779999998</v>
      </c>
      <c r="Q146" s="34">
        <v>1.7207792209999999</v>
      </c>
      <c r="R146" s="34">
        <v>1.7045454550000001</v>
      </c>
      <c r="S146" s="34">
        <v>2.37012987</v>
      </c>
      <c r="T146" s="34">
        <v>2.0454545450000001</v>
      </c>
      <c r="U146" s="34">
        <v>1.688311688</v>
      </c>
      <c r="V146" s="34">
        <v>2.6948051949999998</v>
      </c>
      <c r="W146" s="34">
        <v>2.1536796539999998</v>
      </c>
      <c r="X146" s="34">
        <v>3.7012987009999998</v>
      </c>
      <c r="Y146" s="34">
        <v>2.386363636</v>
      </c>
      <c r="Z146" s="34">
        <v>1.071428571</v>
      </c>
    </row>
    <row r="147" spans="1:26" ht="18.75" x14ac:dyDescent="0.25">
      <c r="A147" s="37">
        <v>3231</v>
      </c>
      <c r="B147" s="33">
        <v>2311</v>
      </c>
      <c r="C147" s="33" t="s">
        <v>27</v>
      </c>
      <c r="D147" s="33" t="s">
        <v>15</v>
      </c>
      <c r="E147" s="33" t="s">
        <v>24</v>
      </c>
      <c r="F147" s="38">
        <v>424.09090909999998</v>
      </c>
      <c r="G147" s="34">
        <v>460.45454549999999</v>
      </c>
      <c r="H147" s="34">
        <v>481.81818179999999</v>
      </c>
      <c r="I147" s="34">
        <v>504.54545450000001</v>
      </c>
      <c r="J147" s="34">
        <v>542.72727269999996</v>
      </c>
      <c r="K147" s="34">
        <v>569.54545450000001</v>
      </c>
      <c r="L147" s="34">
        <v>2.5974025969999999</v>
      </c>
      <c r="M147" s="34">
        <v>2.0616883119999998</v>
      </c>
      <c r="N147" s="34">
        <v>1.915584416</v>
      </c>
      <c r="O147" s="34">
        <v>2.118506494</v>
      </c>
      <c r="P147" s="34">
        <v>2.0779220779999998</v>
      </c>
      <c r="Q147" s="34">
        <v>1.5259740260000001</v>
      </c>
      <c r="R147" s="34">
        <v>1.5746753250000001</v>
      </c>
      <c r="S147" s="34">
        <v>1.958874459</v>
      </c>
      <c r="T147" s="34">
        <v>1.948051948</v>
      </c>
      <c r="U147" s="34">
        <v>1.623376623</v>
      </c>
      <c r="V147" s="34">
        <v>2.1753246750000002</v>
      </c>
      <c r="W147" s="34">
        <v>2.088744589</v>
      </c>
      <c r="X147" s="34">
        <v>2.7272727269999999</v>
      </c>
      <c r="Y147" s="34">
        <v>2.3214285710000002</v>
      </c>
      <c r="Z147" s="34">
        <v>1.915584416</v>
      </c>
    </row>
    <row r="148" spans="1:26" ht="18.75" x14ac:dyDescent="0.25">
      <c r="A148" s="37">
        <v>3233</v>
      </c>
      <c r="B148" s="33">
        <v>2311</v>
      </c>
      <c r="C148" s="33" t="s">
        <v>27</v>
      </c>
      <c r="D148" s="33" t="s">
        <v>15</v>
      </c>
      <c r="E148" s="33" t="s">
        <v>24</v>
      </c>
      <c r="F148" s="38">
        <v>343.63636359999998</v>
      </c>
      <c r="G148" s="34">
        <v>408.18181820000001</v>
      </c>
      <c r="H148" s="34">
        <v>447.72727270000001</v>
      </c>
      <c r="I148" s="34">
        <v>484.54545450000001</v>
      </c>
      <c r="J148" s="34">
        <v>533.18181819999995</v>
      </c>
      <c r="K148" s="34">
        <v>554.54545450000001</v>
      </c>
      <c r="L148" s="34">
        <v>4.6103896100000004</v>
      </c>
      <c r="M148" s="34">
        <v>3.7175324679999999</v>
      </c>
      <c r="N148" s="34">
        <v>3.3549783550000001</v>
      </c>
      <c r="O148" s="34">
        <v>3.3847402600000001</v>
      </c>
      <c r="P148" s="34">
        <v>3.012987013</v>
      </c>
      <c r="Q148" s="34">
        <v>2.8246753249999998</v>
      </c>
      <c r="R148" s="34">
        <v>2.7272727269999999</v>
      </c>
      <c r="S148" s="34">
        <v>2.9761904760000002</v>
      </c>
      <c r="T148" s="34">
        <v>2.613636364</v>
      </c>
      <c r="U148" s="34">
        <v>2.62987013</v>
      </c>
      <c r="V148" s="34">
        <v>3.0519480520000002</v>
      </c>
      <c r="W148" s="34">
        <v>2.5432900429999998</v>
      </c>
      <c r="X148" s="34">
        <v>3.4740259739999999</v>
      </c>
      <c r="Y148" s="34">
        <v>2.5</v>
      </c>
      <c r="Z148" s="34">
        <v>1.5259740260000001</v>
      </c>
    </row>
    <row r="149" spans="1:26" ht="18.75" x14ac:dyDescent="0.25">
      <c r="A149" s="37">
        <v>3239</v>
      </c>
      <c r="B149" s="33">
        <v>2311</v>
      </c>
      <c r="C149" s="33" t="s">
        <v>27</v>
      </c>
      <c r="D149" s="33" t="s">
        <v>15</v>
      </c>
      <c r="E149" s="33" t="s">
        <v>24</v>
      </c>
      <c r="F149" s="38">
        <v>395.45454549999999</v>
      </c>
      <c r="G149" s="34">
        <v>422.27272729999999</v>
      </c>
      <c r="H149" s="34">
        <v>465</v>
      </c>
      <c r="I149" s="34">
        <v>487.72727270000001</v>
      </c>
      <c r="J149" s="34">
        <v>535</v>
      </c>
      <c r="K149" s="34">
        <v>556.81818180000005</v>
      </c>
      <c r="L149" s="34">
        <v>1.915584416</v>
      </c>
      <c r="M149" s="34">
        <v>2.483766234</v>
      </c>
      <c r="N149" s="34">
        <v>2.1969696970000001</v>
      </c>
      <c r="O149" s="34">
        <v>2.491883117</v>
      </c>
      <c r="P149" s="34">
        <v>2.3051948050000002</v>
      </c>
      <c r="Q149" s="34">
        <v>3.0519480520000002</v>
      </c>
      <c r="R149" s="34">
        <v>2.3376623379999999</v>
      </c>
      <c r="S149" s="34">
        <v>2.6839826840000001</v>
      </c>
      <c r="T149" s="34">
        <v>2.4025974030000001</v>
      </c>
      <c r="U149" s="34">
        <v>1.623376623</v>
      </c>
      <c r="V149" s="34">
        <v>2.5</v>
      </c>
      <c r="W149" s="34">
        <v>2.1861471859999999</v>
      </c>
      <c r="X149" s="34">
        <v>3.376623377</v>
      </c>
      <c r="Y149" s="34">
        <v>2.4675324679999999</v>
      </c>
      <c r="Z149" s="34">
        <v>1.5584415579999999</v>
      </c>
    </row>
    <row r="150" spans="1:26" ht="18.75" x14ac:dyDescent="0.25">
      <c r="A150" s="37">
        <v>3004</v>
      </c>
      <c r="B150" s="33">
        <v>2311</v>
      </c>
      <c r="C150" s="33" t="s">
        <v>23</v>
      </c>
      <c r="D150" s="33" t="s">
        <v>21</v>
      </c>
      <c r="E150" s="33" t="s">
        <v>24</v>
      </c>
      <c r="F150" s="38">
        <v>388.18181820000001</v>
      </c>
      <c r="G150" s="34">
        <v>414.09090909999998</v>
      </c>
      <c r="H150" s="34">
        <v>435</v>
      </c>
      <c r="I150" s="34">
        <v>467.27272729999999</v>
      </c>
      <c r="J150" s="34">
        <v>491.81818179999999</v>
      </c>
      <c r="K150" s="34">
        <v>513.18181819999995</v>
      </c>
      <c r="L150" s="34">
        <v>1.8506493509999999</v>
      </c>
      <c r="M150" s="34">
        <v>1.6720779219999999</v>
      </c>
      <c r="N150" s="34">
        <v>1.883116883</v>
      </c>
      <c r="O150" s="34">
        <v>1.8506493509999999</v>
      </c>
      <c r="P150" s="34">
        <v>1.7857142859999999</v>
      </c>
      <c r="Q150" s="34">
        <v>1.493506494</v>
      </c>
      <c r="R150" s="34">
        <v>1.8993506490000001</v>
      </c>
      <c r="S150" s="34">
        <v>1.8506493509999999</v>
      </c>
      <c r="T150" s="34">
        <v>1.769480519</v>
      </c>
      <c r="U150" s="34">
        <v>2.3051948050000002</v>
      </c>
      <c r="V150" s="34">
        <v>2.0292207790000001</v>
      </c>
      <c r="W150" s="34">
        <v>1.8614718610000001</v>
      </c>
      <c r="X150" s="34">
        <v>1.753246753</v>
      </c>
      <c r="Y150" s="34">
        <v>1.6396103900000001</v>
      </c>
      <c r="Z150" s="34">
        <v>1.5259740260000001</v>
      </c>
    </row>
    <row r="151" spans="1:26" ht="18.75" x14ac:dyDescent="0.25">
      <c r="A151" s="37">
        <v>3007</v>
      </c>
      <c r="B151" s="33">
        <v>2311</v>
      </c>
      <c r="C151" s="33" t="s">
        <v>23</v>
      </c>
      <c r="D151" s="33" t="s">
        <v>21</v>
      </c>
      <c r="E151" s="33" t="s">
        <v>24</v>
      </c>
      <c r="F151" s="38">
        <v>400</v>
      </c>
      <c r="G151" s="34">
        <v>415.90909090000002</v>
      </c>
      <c r="H151" s="34">
        <v>436.36363640000002</v>
      </c>
      <c r="I151" s="34">
        <v>458.63636359999998</v>
      </c>
      <c r="J151" s="34">
        <v>489.54545450000001</v>
      </c>
      <c r="K151" s="34">
        <v>521.36363640000002</v>
      </c>
      <c r="L151" s="34">
        <v>1.136363636</v>
      </c>
      <c r="M151" s="34">
        <v>1.298701299</v>
      </c>
      <c r="N151" s="34">
        <v>1.3961038960000001</v>
      </c>
      <c r="O151" s="34">
        <v>1.5990259739999999</v>
      </c>
      <c r="P151" s="34">
        <v>1.733766234</v>
      </c>
      <c r="Q151" s="34">
        <v>1.4610389610000001</v>
      </c>
      <c r="R151" s="34">
        <v>1.5259740260000001</v>
      </c>
      <c r="S151" s="34">
        <v>1.753246753</v>
      </c>
      <c r="T151" s="34">
        <v>1.883116883</v>
      </c>
      <c r="U151" s="34">
        <v>1.5909090910000001</v>
      </c>
      <c r="V151" s="34">
        <v>1.8993506490000001</v>
      </c>
      <c r="W151" s="34">
        <v>2.0238095239999998</v>
      </c>
      <c r="X151" s="34">
        <v>2.2077922079999999</v>
      </c>
      <c r="Y151" s="34">
        <v>2.2402597399999999</v>
      </c>
      <c r="Z151" s="34">
        <v>2.2727272730000001</v>
      </c>
    </row>
    <row r="152" spans="1:26" ht="18.75" x14ac:dyDescent="0.25">
      <c r="A152" s="37">
        <v>3009</v>
      </c>
      <c r="B152" s="33">
        <v>2311</v>
      </c>
      <c r="C152" s="33" t="s">
        <v>14</v>
      </c>
      <c r="D152" s="33" t="s">
        <v>15</v>
      </c>
      <c r="E152" s="33" t="s">
        <v>15</v>
      </c>
      <c r="F152" s="38">
        <v>465</v>
      </c>
      <c r="G152" s="34">
        <v>487.72727270000001</v>
      </c>
      <c r="H152" s="34">
        <v>522.27272730000004</v>
      </c>
      <c r="I152" s="34">
        <v>545.90909090000002</v>
      </c>
      <c r="J152" s="34">
        <v>582.72727269999996</v>
      </c>
      <c r="K152" s="34">
        <v>599.54545450000001</v>
      </c>
      <c r="L152" s="34">
        <v>1.623376623</v>
      </c>
      <c r="M152" s="34">
        <v>2.0454545450000001</v>
      </c>
      <c r="N152" s="34">
        <v>1.9264069260000001</v>
      </c>
      <c r="O152" s="34">
        <v>2.1022727269999999</v>
      </c>
      <c r="P152" s="34">
        <v>1.9220779219999999</v>
      </c>
      <c r="Q152" s="34">
        <v>2.4675324679999999</v>
      </c>
      <c r="R152" s="34">
        <v>2.0779220779999998</v>
      </c>
      <c r="S152" s="34">
        <v>2.2619047619999999</v>
      </c>
      <c r="T152" s="34">
        <v>1.996753247</v>
      </c>
      <c r="U152" s="34">
        <v>1.688311688</v>
      </c>
      <c r="V152" s="34">
        <v>2.1590909090000001</v>
      </c>
      <c r="W152" s="34">
        <v>1.83982684</v>
      </c>
      <c r="X152" s="34">
        <v>2.62987013</v>
      </c>
      <c r="Y152" s="34">
        <v>1.915584416</v>
      </c>
      <c r="Z152" s="34">
        <v>1.201298701</v>
      </c>
    </row>
    <row r="153" spans="1:26" ht="18.75" x14ac:dyDescent="0.25">
      <c r="A153" s="37">
        <v>3010</v>
      </c>
      <c r="B153" s="33">
        <v>2311</v>
      </c>
      <c r="C153" s="33" t="s">
        <v>20</v>
      </c>
      <c r="D153" s="33" t="s">
        <v>21</v>
      </c>
      <c r="E153" s="33" t="s">
        <v>15</v>
      </c>
      <c r="F153" s="38">
        <v>438.63636359999998</v>
      </c>
      <c r="G153" s="34">
        <v>463.18181820000001</v>
      </c>
      <c r="H153" s="34">
        <v>481.36363640000002</v>
      </c>
      <c r="I153" s="34">
        <v>492.27272729999999</v>
      </c>
      <c r="J153" s="34">
        <v>524.09090909999998</v>
      </c>
      <c r="K153" s="34">
        <v>546.36363640000002</v>
      </c>
      <c r="L153" s="34">
        <v>1.753246753</v>
      </c>
      <c r="M153" s="34">
        <v>1.5259740260000001</v>
      </c>
      <c r="N153" s="34">
        <v>1.277056277</v>
      </c>
      <c r="O153" s="34">
        <v>1.5259740260000001</v>
      </c>
      <c r="P153" s="34">
        <v>1.5389610389999999</v>
      </c>
      <c r="Q153" s="34">
        <v>1.298701299</v>
      </c>
      <c r="R153" s="34">
        <v>1.0389610389999999</v>
      </c>
      <c r="S153" s="34">
        <v>1.4502164500000001</v>
      </c>
      <c r="T153" s="34">
        <v>1.4853896099999999</v>
      </c>
      <c r="U153" s="34">
        <v>0.77922077899999997</v>
      </c>
      <c r="V153" s="34">
        <v>1.5259740260000001</v>
      </c>
      <c r="W153" s="34">
        <v>1.5476190480000001</v>
      </c>
      <c r="X153" s="34">
        <v>2.2727272730000001</v>
      </c>
      <c r="Y153" s="34">
        <v>1.931818182</v>
      </c>
      <c r="Z153" s="34">
        <v>1.5909090910000001</v>
      </c>
    </row>
    <row r="154" spans="1:26" ht="18.75" x14ac:dyDescent="0.25">
      <c r="A154" s="37">
        <v>3012</v>
      </c>
      <c r="B154" s="33">
        <v>2311</v>
      </c>
      <c r="C154" s="33" t="s">
        <v>14</v>
      </c>
      <c r="D154" s="33" t="s">
        <v>15</v>
      </c>
      <c r="E154" s="33" t="s">
        <v>15</v>
      </c>
      <c r="F154" s="38">
        <v>438.63636359999998</v>
      </c>
      <c r="G154" s="34">
        <v>458.63636359999998</v>
      </c>
      <c r="H154" s="34">
        <v>500.45454549999999</v>
      </c>
      <c r="I154" s="34">
        <v>510</v>
      </c>
      <c r="J154" s="34">
        <v>543.18181819999995</v>
      </c>
      <c r="K154" s="34">
        <v>574.09090909999998</v>
      </c>
      <c r="L154" s="34">
        <v>1.428571429</v>
      </c>
      <c r="M154" s="34">
        <v>2.2077922079999999</v>
      </c>
      <c r="N154" s="34">
        <v>1.699134199</v>
      </c>
      <c r="O154" s="34">
        <v>1.866883117</v>
      </c>
      <c r="P154" s="34">
        <v>1.935064935</v>
      </c>
      <c r="Q154" s="34">
        <v>2.987012987</v>
      </c>
      <c r="R154" s="34">
        <v>1.834415584</v>
      </c>
      <c r="S154" s="34">
        <v>2.012987013</v>
      </c>
      <c r="T154" s="34">
        <v>2.0616883119999998</v>
      </c>
      <c r="U154" s="34">
        <v>0.68181818199999999</v>
      </c>
      <c r="V154" s="34">
        <v>1.5259740260000001</v>
      </c>
      <c r="W154" s="34">
        <v>1.753246753</v>
      </c>
      <c r="X154" s="34">
        <v>2.37012987</v>
      </c>
      <c r="Y154" s="34">
        <v>2.2889610390000001</v>
      </c>
      <c r="Z154" s="34">
        <v>2.2077922079999999</v>
      </c>
    </row>
    <row r="155" spans="1:26" ht="18.75" x14ac:dyDescent="0.25">
      <c r="A155" s="37">
        <v>3016</v>
      </c>
      <c r="B155" s="33">
        <v>2311</v>
      </c>
      <c r="C155" s="33" t="s">
        <v>14</v>
      </c>
      <c r="D155" s="33" t="s">
        <v>15</v>
      </c>
      <c r="E155" s="33" t="s">
        <v>15</v>
      </c>
      <c r="F155" s="38">
        <v>442.27272729999999</v>
      </c>
      <c r="G155" s="34">
        <v>481.36363640000002</v>
      </c>
      <c r="H155" s="34">
        <v>501.36363640000002</v>
      </c>
      <c r="I155" s="34">
        <v>528.63636359999998</v>
      </c>
      <c r="J155" s="34">
        <v>568.63636359999998</v>
      </c>
      <c r="K155" s="34">
        <v>600.45454549999999</v>
      </c>
      <c r="L155" s="34">
        <v>2.7922077920000001</v>
      </c>
      <c r="M155" s="34">
        <v>2.1103896099999999</v>
      </c>
      <c r="N155" s="34">
        <v>2.0562770559999999</v>
      </c>
      <c r="O155" s="34">
        <v>2.256493506</v>
      </c>
      <c r="P155" s="34">
        <v>2.2597402600000001</v>
      </c>
      <c r="Q155" s="34">
        <v>1.428571429</v>
      </c>
      <c r="R155" s="34">
        <v>1.688311688</v>
      </c>
      <c r="S155" s="34">
        <v>2.0779220779999998</v>
      </c>
      <c r="T155" s="34">
        <v>2.126623377</v>
      </c>
      <c r="U155" s="34">
        <v>1.948051948</v>
      </c>
      <c r="V155" s="34">
        <v>2.4025974030000001</v>
      </c>
      <c r="W155" s="34">
        <v>2.3593073590000002</v>
      </c>
      <c r="X155" s="34">
        <v>2.8571428569999999</v>
      </c>
      <c r="Y155" s="34">
        <v>2.5649350649999998</v>
      </c>
      <c r="Z155" s="34">
        <v>2.2727272730000001</v>
      </c>
    </row>
    <row r="156" spans="1:26" ht="18.75" x14ac:dyDescent="0.25">
      <c r="A156" s="37">
        <v>3022</v>
      </c>
      <c r="B156" s="33">
        <v>2311</v>
      </c>
      <c r="C156" s="33" t="s">
        <v>20</v>
      </c>
      <c r="D156" s="33" t="s">
        <v>21</v>
      </c>
      <c r="E156" s="33" t="s">
        <v>15</v>
      </c>
      <c r="F156" s="38">
        <v>424.09090909999998</v>
      </c>
      <c r="G156" s="34">
        <v>441.81818179999999</v>
      </c>
      <c r="H156" s="34">
        <v>468.63636359999998</v>
      </c>
      <c r="I156" s="34">
        <v>492.27272729999999</v>
      </c>
      <c r="J156" s="34">
        <v>505.90909090000002</v>
      </c>
      <c r="K156" s="34">
        <v>522.72727269999996</v>
      </c>
      <c r="L156" s="34">
        <v>1.266233766</v>
      </c>
      <c r="M156" s="34">
        <v>1.5909090910000001</v>
      </c>
      <c r="N156" s="34">
        <v>1.623376623</v>
      </c>
      <c r="O156" s="34">
        <v>1.4610389610000001</v>
      </c>
      <c r="P156" s="34">
        <v>1.4090909089999999</v>
      </c>
      <c r="Q156" s="34">
        <v>1.915584416</v>
      </c>
      <c r="R156" s="34">
        <v>1.801948052</v>
      </c>
      <c r="S156" s="34">
        <v>1.5259740260000001</v>
      </c>
      <c r="T156" s="34">
        <v>1.444805195</v>
      </c>
      <c r="U156" s="34">
        <v>1.688311688</v>
      </c>
      <c r="V156" s="34">
        <v>1.3311688310000001</v>
      </c>
      <c r="W156" s="34">
        <v>1.287878788</v>
      </c>
      <c r="X156" s="34">
        <v>0.97402597400000002</v>
      </c>
      <c r="Y156" s="34">
        <v>1.0876623379999999</v>
      </c>
      <c r="Z156" s="34">
        <v>1.201298701</v>
      </c>
    </row>
    <row r="157" spans="1:26" ht="18.75" x14ac:dyDescent="0.25">
      <c r="A157" s="37">
        <v>3023</v>
      </c>
      <c r="B157" s="33">
        <v>2311</v>
      </c>
      <c r="C157" s="33" t="s">
        <v>23</v>
      </c>
      <c r="D157" s="33" t="s">
        <v>21</v>
      </c>
      <c r="E157" s="33" t="s">
        <v>24</v>
      </c>
      <c r="F157" s="38">
        <v>429.09090909999998</v>
      </c>
      <c r="G157" s="34">
        <v>459.09090909999998</v>
      </c>
      <c r="H157" s="34">
        <v>489.09090909999998</v>
      </c>
      <c r="I157" s="34">
        <v>508.63636359999998</v>
      </c>
      <c r="J157" s="34">
        <v>550.45454549999999</v>
      </c>
      <c r="K157" s="34">
        <v>565</v>
      </c>
      <c r="L157" s="34">
        <v>2.1428571430000001</v>
      </c>
      <c r="M157" s="34">
        <v>2.1428571430000001</v>
      </c>
      <c r="N157" s="34">
        <v>1.893939394</v>
      </c>
      <c r="O157" s="34">
        <v>2.1672077920000001</v>
      </c>
      <c r="P157" s="34">
        <v>1.9415584420000001</v>
      </c>
      <c r="Q157" s="34">
        <v>2.1428571430000001</v>
      </c>
      <c r="R157" s="34">
        <v>1.769480519</v>
      </c>
      <c r="S157" s="34">
        <v>2.1753246750000002</v>
      </c>
      <c r="T157" s="34">
        <v>1.891233766</v>
      </c>
      <c r="U157" s="34">
        <v>1.3961038960000001</v>
      </c>
      <c r="V157" s="34">
        <v>2.1915584419999998</v>
      </c>
      <c r="W157" s="34">
        <v>1.807359307</v>
      </c>
      <c r="X157" s="34">
        <v>2.987012987</v>
      </c>
      <c r="Y157" s="34">
        <v>2.012987013</v>
      </c>
      <c r="Z157" s="34">
        <v>1.0389610389999999</v>
      </c>
    </row>
    <row r="158" spans="1:26" ht="18.75" x14ac:dyDescent="0.25">
      <c r="A158" s="37">
        <v>3034</v>
      </c>
      <c r="B158" s="33">
        <v>2311</v>
      </c>
      <c r="C158" s="33" t="s">
        <v>14</v>
      </c>
      <c r="D158" s="33" t="s">
        <v>15</v>
      </c>
      <c r="E158" s="33" t="s">
        <v>15</v>
      </c>
      <c r="F158" s="38">
        <v>327.27272729999999</v>
      </c>
      <c r="G158" s="34">
        <v>353.63636359999998</v>
      </c>
      <c r="H158" s="34">
        <v>390</v>
      </c>
      <c r="I158" s="34">
        <v>428.18181820000001</v>
      </c>
      <c r="J158" s="34">
        <v>471.81818179999999</v>
      </c>
      <c r="K158" s="34">
        <v>471.81818179999999</v>
      </c>
      <c r="L158" s="34">
        <v>1.883116883</v>
      </c>
      <c r="M158" s="34">
        <v>2.2402597399999999</v>
      </c>
      <c r="N158" s="34">
        <v>2.4025974030000001</v>
      </c>
      <c r="O158" s="34">
        <v>2.5811688309999998</v>
      </c>
      <c r="P158" s="34">
        <v>2.0649350649999998</v>
      </c>
      <c r="Q158" s="34">
        <v>2.5974025969999999</v>
      </c>
      <c r="R158" s="34">
        <v>2.6623376620000001</v>
      </c>
      <c r="S158" s="34">
        <v>2.8138528140000001</v>
      </c>
      <c r="T158" s="34">
        <v>2.1103896099999999</v>
      </c>
      <c r="U158" s="34">
        <v>2.7272727269999999</v>
      </c>
      <c r="V158" s="34">
        <v>2.9220779220000002</v>
      </c>
      <c r="W158" s="34">
        <v>1.948051948</v>
      </c>
      <c r="X158" s="34">
        <v>3.116883117</v>
      </c>
      <c r="Y158" s="34">
        <v>1.5584415579999999</v>
      </c>
      <c r="Z158" s="34">
        <v>0</v>
      </c>
    </row>
    <row r="159" spans="1:26" ht="18.75" x14ac:dyDescent="0.25">
      <c r="A159" s="37">
        <v>3112</v>
      </c>
      <c r="B159" s="33">
        <v>2311</v>
      </c>
      <c r="C159" s="33" t="s">
        <v>20</v>
      </c>
      <c r="D159" s="33" t="s">
        <v>21</v>
      </c>
      <c r="E159" s="33" t="s">
        <v>15</v>
      </c>
      <c r="F159" s="38">
        <v>441.36363640000002</v>
      </c>
      <c r="G159" s="34">
        <v>467.27272729999999</v>
      </c>
      <c r="H159" s="34">
        <v>495.45454549999999</v>
      </c>
      <c r="I159" s="34">
        <v>528.63636359999998</v>
      </c>
      <c r="J159" s="34">
        <v>579.09090909999998</v>
      </c>
      <c r="K159" s="34">
        <v>590</v>
      </c>
      <c r="L159" s="34">
        <v>1.8506493509999999</v>
      </c>
      <c r="M159" s="34">
        <v>1.931818182</v>
      </c>
      <c r="N159" s="34">
        <v>2.0779220779999998</v>
      </c>
      <c r="O159" s="34">
        <v>2.4594155839999998</v>
      </c>
      <c r="P159" s="34">
        <v>2.123376623</v>
      </c>
      <c r="Q159" s="34">
        <v>2.012987013</v>
      </c>
      <c r="R159" s="34">
        <v>2.1915584419999998</v>
      </c>
      <c r="S159" s="34">
        <v>2.6623376620000001</v>
      </c>
      <c r="T159" s="34">
        <v>2.1915584419999998</v>
      </c>
      <c r="U159" s="34">
        <v>2.37012987</v>
      </c>
      <c r="V159" s="34">
        <v>2.987012987</v>
      </c>
      <c r="W159" s="34">
        <v>2.2510822510000001</v>
      </c>
      <c r="X159" s="34">
        <v>3.6038961039999999</v>
      </c>
      <c r="Y159" s="34">
        <v>2.1915584419999998</v>
      </c>
      <c r="Z159" s="34">
        <v>0.77922077899999997</v>
      </c>
    </row>
    <row r="160" spans="1:26" ht="18.75" x14ac:dyDescent="0.25">
      <c r="A160" s="37">
        <v>3113</v>
      </c>
      <c r="B160" s="33">
        <v>2311</v>
      </c>
      <c r="C160" s="33" t="s">
        <v>14</v>
      </c>
      <c r="D160" s="33" t="s">
        <v>15</v>
      </c>
      <c r="E160" s="33" t="s">
        <v>15</v>
      </c>
      <c r="F160" s="38">
        <v>490.45454549999999</v>
      </c>
      <c r="G160" s="34">
        <v>518.18181819999995</v>
      </c>
      <c r="H160" s="34">
        <v>553.18181819999995</v>
      </c>
      <c r="I160" s="34">
        <v>576.81818180000005</v>
      </c>
      <c r="J160" s="34">
        <v>625</v>
      </c>
      <c r="K160" s="34">
        <v>652.27272730000004</v>
      </c>
      <c r="L160" s="34">
        <v>1.980519481</v>
      </c>
      <c r="M160" s="34">
        <v>2.2402597399999999</v>
      </c>
      <c r="N160" s="34">
        <v>2.0562770559999999</v>
      </c>
      <c r="O160" s="34">
        <v>2.4025974030000001</v>
      </c>
      <c r="P160" s="34">
        <v>2.3116883119999998</v>
      </c>
      <c r="Q160" s="34">
        <v>2.5</v>
      </c>
      <c r="R160" s="34">
        <v>2.0941558439999999</v>
      </c>
      <c r="S160" s="34">
        <v>2.5432900429999998</v>
      </c>
      <c r="T160" s="34">
        <v>2.394480519</v>
      </c>
      <c r="U160" s="34">
        <v>1.688311688</v>
      </c>
      <c r="V160" s="34">
        <v>2.5649350649999998</v>
      </c>
      <c r="W160" s="34">
        <v>2.3593073590000002</v>
      </c>
      <c r="X160" s="34">
        <v>3.4415584419999998</v>
      </c>
      <c r="Y160" s="34">
        <v>2.6948051949999998</v>
      </c>
      <c r="Z160" s="34">
        <v>1.948051948</v>
      </c>
    </row>
    <row r="161" spans="1:26" ht="18.75" x14ac:dyDescent="0.25">
      <c r="A161" s="37">
        <v>3116</v>
      </c>
      <c r="B161" s="33">
        <v>2311</v>
      </c>
      <c r="C161" s="33" t="s">
        <v>23</v>
      </c>
      <c r="D161" s="33" t="s">
        <v>21</v>
      </c>
      <c r="E161" s="33" t="s">
        <v>24</v>
      </c>
      <c r="F161" s="38">
        <v>428.63636359999998</v>
      </c>
      <c r="G161" s="34">
        <v>451.36363640000002</v>
      </c>
      <c r="H161" s="34">
        <v>474.09090909999998</v>
      </c>
      <c r="I161" s="34">
        <v>500.45454549999999</v>
      </c>
      <c r="J161" s="34">
        <v>540.45454549999999</v>
      </c>
      <c r="K161" s="34">
        <v>555.45454549999999</v>
      </c>
      <c r="L161" s="34">
        <v>1.623376623</v>
      </c>
      <c r="M161" s="34">
        <v>1.623376623</v>
      </c>
      <c r="N161" s="34">
        <v>1.7099567099999999</v>
      </c>
      <c r="O161" s="34">
        <v>1.996753247</v>
      </c>
      <c r="P161" s="34">
        <v>1.811688312</v>
      </c>
      <c r="Q161" s="34">
        <v>1.623376623</v>
      </c>
      <c r="R161" s="34">
        <v>1.753246753</v>
      </c>
      <c r="S161" s="34">
        <v>2.1212121210000001</v>
      </c>
      <c r="T161" s="34">
        <v>1.858766234</v>
      </c>
      <c r="U161" s="34">
        <v>1.883116883</v>
      </c>
      <c r="V161" s="34">
        <v>2.37012987</v>
      </c>
      <c r="W161" s="34">
        <v>1.9372294370000001</v>
      </c>
      <c r="X161" s="34">
        <v>2.8571428569999999</v>
      </c>
      <c r="Y161" s="34">
        <v>1.9642857140000001</v>
      </c>
      <c r="Z161" s="34">
        <v>1.071428571</v>
      </c>
    </row>
    <row r="162" spans="1:26" ht="18.75" x14ac:dyDescent="0.25">
      <c r="A162" s="37">
        <v>3117</v>
      </c>
      <c r="B162" s="33">
        <v>2311</v>
      </c>
      <c r="C162" s="33" t="s">
        <v>14</v>
      </c>
      <c r="D162" s="33" t="s">
        <v>15</v>
      </c>
      <c r="E162" s="33" t="s">
        <v>15</v>
      </c>
      <c r="F162" s="38">
        <v>445.90909090000002</v>
      </c>
      <c r="G162" s="34">
        <v>479.09090909999998</v>
      </c>
      <c r="H162" s="34">
        <v>500</v>
      </c>
      <c r="I162" s="34">
        <v>525</v>
      </c>
      <c r="J162" s="34">
        <v>556.36363640000002</v>
      </c>
      <c r="K162" s="34">
        <v>591.81818180000005</v>
      </c>
      <c r="L162" s="34">
        <v>2.37012987</v>
      </c>
      <c r="M162" s="34">
        <v>1.931818182</v>
      </c>
      <c r="N162" s="34">
        <v>1.883116883</v>
      </c>
      <c r="O162" s="34">
        <v>1.9724025970000001</v>
      </c>
      <c r="P162" s="34">
        <v>2.0844155839999998</v>
      </c>
      <c r="Q162" s="34">
        <v>1.493506494</v>
      </c>
      <c r="R162" s="34">
        <v>1.6396103900000001</v>
      </c>
      <c r="S162" s="34">
        <v>1.83982684</v>
      </c>
      <c r="T162" s="34">
        <v>2.012987013</v>
      </c>
      <c r="U162" s="34">
        <v>1.7857142859999999</v>
      </c>
      <c r="V162" s="34">
        <v>2.012987013</v>
      </c>
      <c r="W162" s="34">
        <v>2.1861471859999999</v>
      </c>
      <c r="X162" s="34">
        <v>2.2402597399999999</v>
      </c>
      <c r="Y162" s="34">
        <v>2.386363636</v>
      </c>
      <c r="Z162" s="34">
        <v>2.5324675320000001</v>
      </c>
    </row>
    <row r="163" spans="1:26" ht="18.75" x14ac:dyDescent="0.25">
      <c r="A163" s="37">
        <v>3118</v>
      </c>
      <c r="B163" s="33">
        <v>2311</v>
      </c>
      <c r="C163" s="33" t="s">
        <v>20</v>
      </c>
      <c r="D163" s="33" t="s">
        <v>21</v>
      </c>
      <c r="E163" s="33" t="s">
        <v>15</v>
      </c>
      <c r="F163" s="38">
        <v>507.72727270000001</v>
      </c>
      <c r="G163" s="34">
        <v>535</v>
      </c>
      <c r="H163" s="34">
        <v>556.81818180000005</v>
      </c>
      <c r="I163" s="34">
        <v>580</v>
      </c>
      <c r="J163" s="34">
        <v>627.27272730000004</v>
      </c>
      <c r="K163" s="34">
        <v>667.72727269999996</v>
      </c>
      <c r="L163" s="34">
        <v>1.948051948</v>
      </c>
      <c r="M163" s="34">
        <v>1.753246753</v>
      </c>
      <c r="N163" s="34">
        <v>1.7207792209999999</v>
      </c>
      <c r="O163" s="34">
        <v>2.1347402600000001</v>
      </c>
      <c r="P163" s="34">
        <v>2.2857142860000002</v>
      </c>
      <c r="Q163" s="34">
        <v>1.5584415579999999</v>
      </c>
      <c r="R163" s="34">
        <v>1.6071428569999999</v>
      </c>
      <c r="S163" s="34">
        <v>2.1969696970000001</v>
      </c>
      <c r="T163" s="34">
        <v>2.37012987</v>
      </c>
      <c r="U163" s="34">
        <v>1.6558441559999999</v>
      </c>
      <c r="V163" s="34">
        <v>2.516233766</v>
      </c>
      <c r="W163" s="34">
        <v>2.6406926409999998</v>
      </c>
      <c r="X163" s="34">
        <v>3.376623377</v>
      </c>
      <c r="Y163" s="34">
        <v>3.133116883</v>
      </c>
      <c r="Z163" s="34">
        <v>2.8896103900000001</v>
      </c>
    </row>
    <row r="164" spans="1:26" ht="18.75" x14ac:dyDescent="0.25">
      <c r="A164" s="37">
        <v>3137</v>
      </c>
      <c r="B164" s="33">
        <v>2311</v>
      </c>
      <c r="C164" s="33" t="s">
        <v>23</v>
      </c>
      <c r="D164" s="33" t="s">
        <v>21</v>
      </c>
      <c r="E164" s="33" t="s">
        <v>24</v>
      </c>
      <c r="F164" s="38">
        <v>335.45454549999999</v>
      </c>
      <c r="G164" s="34">
        <v>387.72727270000001</v>
      </c>
      <c r="H164" s="34">
        <v>395.45454549999999</v>
      </c>
      <c r="I164" s="34" t="s">
        <v>39</v>
      </c>
      <c r="J164" s="34">
        <v>469.54545450000001</v>
      </c>
      <c r="K164" s="34" t="s">
        <v>39</v>
      </c>
      <c r="L164" s="34">
        <v>3.733766234</v>
      </c>
      <c r="M164" s="34">
        <v>2.1428571430000001</v>
      </c>
      <c r="N164" s="34" t="s">
        <v>39</v>
      </c>
      <c r="O164" s="34">
        <v>2.394480519</v>
      </c>
      <c r="P164" s="34" t="s">
        <v>39</v>
      </c>
      <c r="Q164" s="34">
        <v>0.55194805199999997</v>
      </c>
      <c r="R164" s="34" t="s">
        <v>39</v>
      </c>
      <c r="S164" s="34">
        <v>1.948051948</v>
      </c>
      <c r="T164" s="34" t="s">
        <v>39</v>
      </c>
      <c r="U164" s="34" t="s">
        <v>39</v>
      </c>
      <c r="V164" s="34">
        <v>2.6461038960000001</v>
      </c>
      <c r="W164" s="34" t="s">
        <v>39</v>
      </c>
      <c r="X164" s="34" t="s">
        <v>39</v>
      </c>
      <c r="Y164" s="34" t="s">
        <v>39</v>
      </c>
      <c r="Z164" s="34" t="s">
        <v>39</v>
      </c>
    </row>
    <row r="165" spans="1:26" ht="18.75" x14ac:dyDescent="0.25">
      <c r="A165" s="37">
        <v>3144</v>
      </c>
      <c r="B165" s="33">
        <v>2311</v>
      </c>
      <c r="C165" s="33" t="s">
        <v>23</v>
      </c>
      <c r="D165" s="33" t="s">
        <v>21</v>
      </c>
      <c r="E165" s="33" t="s">
        <v>24</v>
      </c>
      <c r="F165" s="38">
        <v>445.45454549999999</v>
      </c>
      <c r="G165" s="34">
        <v>461.36363640000002</v>
      </c>
      <c r="H165" s="34">
        <v>481.81818179999999</v>
      </c>
      <c r="I165" s="34">
        <v>520.90909090000002</v>
      </c>
      <c r="J165" s="34">
        <v>560.45454549999999</v>
      </c>
      <c r="K165" s="34">
        <v>589.54545450000001</v>
      </c>
      <c r="L165" s="34">
        <v>1.136363636</v>
      </c>
      <c r="M165" s="34">
        <v>1.298701299</v>
      </c>
      <c r="N165" s="34">
        <v>1.7965367969999999</v>
      </c>
      <c r="O165" s="34">
        <v>2.0535714289999998</v>
      </c>
      <c r="P165" s="34">
        <v>2.0584415580000002</v>
      </c>
      <c r="Q165" s="34">
        <v>1.4610389610000001</v>
      </c>
      <c r="R165" s="34">
        <v>2.126623377</v>
      </c>
      <c r="S165" s="34">
        <v>2.3593073590000002</v>
      </c>
      <c r="T165" s="34">
        <v>2.2889610390000001</v>
      </c>
      <c r="U165" s="34">
        <v>2.7922077920000001</v>
      </c>
      <c r="V165" s="34">
        <v>2.8084415580000002</v>
      </c>
      <c r="W165" s="34">
        <v>2.5649350649999998</v>
      </c>
      <c r="X165" s="34">
        <v>2.8246753249999998</v>
      </c>
      <c r="Y165" s="34">
        <v>2.4512987009999998</v>
      </c>
      <c r="Z165" s="34">
        <v>2.0779220779999998</v>
      </c>
    </row>
    <row r="166" spans="1:26" ht="18.75" x14ac:dyDescent="0.25">
      <c r="A166" s="37">
        <v>3150</v>
      </c>
      <c r="B166" s="33">
        <v>2311</v>
      </c>
      <c r="C166" s="33" t="s">
        <v>20</v>
      </c>
      <c r="D166" s="33" t="s">
        <v>21</v>
      </c>
      <c r="E166" s="33" t="s">
        <v>15</v>
      </c>
      <c r="F166" s="38">
        <v>402.72727270000001</v>
      </c>
      <c r="G166" s="34">
        <v>420.90909090000002</v>
      </c>
      <c r="H166" s="34">
        <v>448.63636359999998</v>
      </c>
      <c r="I166" s="34">
        <v>468.63636359999998</v>
      </c>
      <c r="J166" s="34">
        <v>503.63636359999998</v>
      </c>
      <c r="K166" s="34">
        <v>528.63636359999998</v>
      </c>
      <c r="L166" s="34">
        <v>1.298701299</v>
      </c>
      <c r="M166" s="34">
        <v>1.6396103900000001</v>
      </c>
      <c r="N166" s="34">
        <v>1.5692640689999999</v>
      </c>
      <c r="O166" s="34">
        <v>1.801948052</v>
      </c>
      <c r="P166" s="34">
        <v>1.798701299</v>
      </c>
      <c r="Q166" s="34">
        <v>1.980519481</v>
      </c>
      <c r="R166" s="34">
        <v>1.7045454550000001</v>
      </c>
      <c r="S166" s="34">
        <v>1.96969697</v>
      </c>
      <c r="T166" s="34">
        <v>1.923701299</v>
      </c>
      <c r="U166" s="34">
        <v>1.428571429</v>
      </c>
      <c r="V166" s="34">
        <v>1.9642857140000001</v>
      </c>
      <c r="W166" s="34">
        <v>1.904761905</v>
      </c>
      <c r="X166" s="34">
        <v>2.5</v>
      </c>
      <c r="Y166" s="34">
        <v>2.1428571430000001</v>
      </c>
      <c r="Z166" s="34">
        <v>1.7857142859999999</v>
      </c>
    </row>
    <row r="167" spans="1:26" ht="18.75" x14ac:dyDescent="0.25">
      <c r="A167" s="37">
        <v>3165</v>
      </c>
      <c r="B167" s="33">
        <v>2311</v>
      </c>
      <c r="C167" s="33" t="s">
        <v>14</v>
      </c>
      <c r="D167" s="33" t="s">
        <v>15</v>
      </c>
      <c r="E167" s="33" t="s">
        <v>15</v>
      </c>
      <c r="F167" s="38">
        <v>440.90909090000002</v>
      </c>
      <c r="G167" s="34">
        <v>465.45454549999999</v>
      </c>
      <c r="H167" s="34">
        <v>496.36363640000002</v>
      </c>
      <c r="I167" s="34">
        <v>523.63636359999998</v>
      </c>
      <c r="J167" s="34">
        <v>565.90909090000002</v>
      </c>
      <c r="K167" s="34">
        <v>604.09090909999998</v>
      </c>
      <c r="L167" s="34">
        <v>1.753246753</v>
      </c>
      <c r="M167" s="34">
        <v>1.980519481</v>
      </c>
      <c r="N167" s="34">
        <v>1.96969697</v>
      </c>
      <c r="O167" s="34">
        <v>2.2321428569999999</v>
      </c>
      <c r="P167" s="34">
        <v>2.3311688309999998</v>
      </c>
      <c r="Q167" s="34">
        <v>2.2077922079999999</v>
      </c>
      <c r="R167" s="34">
        <v>2.0779220779999998</v>
      </c>
      <c r="S167" s="34">
        <v>2.3917748919999999</v>
      </c>
      <c r="T167" s="34">
        <v>2.4756493509999999</v>
      </c>
      <c r="U167" s="34">
        <v>1.948051948</v>
      </c>
      <c r="V167" s="34">
        <v>2.483766234</v>
      </c>
      <c r="W167" s="34">
        <v>2.5649350649999998</v>
      </c>
      <c r="X167" s="34">
        <v>3.019480519</v>
      </c>
      <c r="Y167" s="34">
        <v>2.873376623</v>
      </c>
      <c r="Z167" s="34">
        <v>2.7272727269999999</v>
      </c>
    </row>
    <row r="168" spans="1:26" ht="18.75" x14ac:dyDescent="0.25">
      <c r="A168" s="37">
        <v>3169</v>
      </c>
      <c r="B168" s="33">
        <v>2311</v>
      </c>
      <c r="C168" s="33" t="s">
        <v>14</v>
      </c>
      <c r="D168" s="33" t="s">
        <v>15</v>
      </c>
      <c r="E168" s="33" t="s">
        <v>15</v>
      </c>
      <c r="F168" s="38">
        <v>427.27272729999999</v>
      </c>
      <c r="G168" s="34">
        <v>455.45454549999999</v>
      </c>
      <c r="H168" s="34">
        <v>489.09090909999998</v>
      </c>
      <c r="I168" s="34">
        <v>517.72727269999996</v>
      </c>
      <c r="J168" s="34">
        <v>569.09090909999998</v>
      </c>
      <c r="K168" s="34">
        <v>601.81818180000005</v>
      </c>
      <c r="L168" s="34">
        <v>2.012987013</v>
      </c>
      <c r="M168" s="34">
        <v>2.2077922079999999</v>
      </c>
      <c r="N168" s="34">
        <v>2.1536796539999998</v>
      </c>
      <c r="O168" s="34">
        <v>2.5324675320000001</v>
      </c>
      <c r="P168" s="34">
        <v>2.493506494</v>
      </c>
      <c r="Q168" s="34">
        <v>2.4025974030000001</v>
      </c>
      <c r="R168" s="34">
        <v>2.2240259739999999</v>
      </c>
      <c r="S168" s="34">
        <v>2.705627706</v>
      </c>
      <c r="T168" s="34">
        <v>2.613636364</v>
      </c>
      <c r="U168" s="34">
        <v>2.0454545450000001</v>
      </c>
      <c r="V168" s="34">
        <v>2.8571428569999999</v>
      </c>
      <c r="W168" s="34">
        <v>2.6839826840000001</v>
      </c>
      <c r="X168" s="34">
        <v>3.6688311690000002</v>
      </c>
      <c r="Y168" s="34">
        <v>3.003246753</v>
      </c>
      <c r="Z168" s="34">
        <v>2.3376623379999999</v>
      </c>
    </row>
    <row r="169" spans="1:26" ht="18.75" x14ac:dyDescent="0.25">
      <c r="A169" s="37">
        <v>3172</v>
      </c>
      <c r="B169" s="33">
        <v>2311</v>
      </c>
      <c r="C169" s="33" t="s">
        <v>14</v>
      </c>
      <c r="D169" s="33" t="s">
        <v>15</v>
      </c>
      <c r="E169" s="33" t="s">
        <v>15</v>
      </c>
      <c r="F169" s="38">
        <v>399.09090909999998</v>
      </c>
      <c r="G169" s="34">
        <v>417.72727270000001</v>
      </c>
      <c r="H169" s="34">
        <v>447.27272729999999</v>
      </c>
      <c r="I169" s="34">
        <v>471.81818179999999</v>
      </c>
      <c r="J169" s="34">
        <v>515</v>
      </c>
      <c r="K169" s="34">
        <v>527.72727269999996</v>
      </c>
      <c r="L169" s="34">
        <v>1.3311688310000001</v>
      </c>
      <c r="M169" s="34">
        <v>1.7207792209999999</v>
      </c>
      <c r="N169" s="34">
        <v>1.7316017319999999</v>
      </c>
      <c r="O169" s="34">
        <v>2.0698051949999998</v>
      </c>
      <c r="P169" s="34">
        <v>1.8376623379999999</v>
      </c>
      <c r="Q169" s="34">
        <v>2.1103896099999999</v>
      </c>
      <c r="R169" s="34">
        <v>1.931818182</v>
      </c>
      <c r="S169" s="34">
        <v>2.3160173159999999</v>
      </c>
      <c r="T169" s="34">
        <v>1.9642857140000001</v>
      </c>
      <c r="U169" s="34">
        <v>1.753246753</v>
      </c>
      <c r="V169" s="34">
        <v>2.4188311690000002</v>
      </c>
      <c r="W169" s="34">
        <v>1.915584416</v>
      </c>
      <c r="X169" s="34">
        <v>3.0844155839999998</v>
      </c>
      <c r="Y169" s="34">
        <v>1.996753247</v>
      </c>
      <c r="Z169" s="34">
        <v>0.909090909</v>
      </c>
    </row>
    <row r="170" spans="1:26" ht="18.75" x14ac:dyDescent="0.25">
      <c r="A170" s="37">
        <v>3201</v>
      </c>
      <c r="B170" s="33">
        <v>2311</v>
      </c>
      <c r="C170" s="33" t="s">
        <v>14</v>
      </c>
      <c r="D170" s="33" t="s">
        <v>15</v>
      </c>
      <c r="E170" s="33" t="s">
        <v>15</v>
      </c>
      <c r="F170" s="38">
        <v>481.81818179999999</v>
      </c>
      <c r="G170" s="34">
        <v>525.90909090000002</v>
      </c>
      <c r="H170" s="34">
        <v>553.63636359999998</v>
      </c>
      <c r="I170" s="34">
        <v>574.54545450000001</v>
      </c>
      <c r="J170" s="34">
        <v>602.27272730000004</v>
      </c>
      <c r="K170" s="34">
        <v>618.18181819999995</v>
      </c>
      <c r="L170" s="34">
        <v>3.1493506490000001</v>
      </c>
      <c r="M170" s="34">
        <v>2.5649350649999998</v>
      </c>
      <c r="N170" s="34">
        <v>2.2077922079999999</v>
      </c>
      <c r="O170" s="34">
        <v>2.1509740260000001</v>
      </c>
      <c r="P170" s="34">
        <v>1.948051948</v>
      </c>
      <c r="Q170" s="34">
        <v>1.980519481</v>
      </c>
      <c r="R170" s="34">
        <v>1.737012987</v>
      </c>
      <c r="S170" s="34">
        <v>1.818181818</v>
      </c>
      <c r="T170" s="34">
        <v>1.6477272730000001</v>
      </c>
      <c r="U170" s="34">
        <v>1.493506494</v>
      </c>
      <c r="V170" s="34">
        <v>1.737012987</v>
      </c>
      <c r="W170" s="34">
        <v>1.5367965370000001</v>
      </c>
      <c r="X170" s="34">
        <v>1.980519481</v>
      </c>
      <c r="Y170" s="34">
        <v>1.5584415579999999</v>
      </c>
      <c r="Z170" s="34">
        <v>1.136363636</v>
      </c>
    </row>
    <row r="171" spans="1:26" ht="18.75" x14ac:dyDescent="0.25">
      <c r="A171" s="37">
        <v>3210</v>
      </c>
      <c r="B171" s="33">
        <v>2311</v>
      </c>
      <c r="C171" s="33" t="s">
        <v>20</v>
      </c>
      <c r="D171" s="33" t="s">
        <v>21</v>
      </c>
      <c r="E171" s="33" t="s">
        <v>15</v>
      </c>
      <c r="F171" s="38">
        <v>493.63636359999998</v>
      </c>
      <c r="G171" s="34">
        <v>518.63636359999998</v>
      </c>
      <c r="H171" s="34">
        <v>530</v>
      </c>
      <c r="I171" s="34">
        <v>554.54545450000001</v>
      </c>
      <c r="J171" s="34">
        <v>587.72727269999996</v>
      </c>
      <c r="K171" s="34">
        <v>626.81818180000005</v>
      </c>
      <c r="L171" s="34">
        <v>1.7857142859999999</v>
      </c>
      <c r="M171" s="34">
        <v>1.298701299</v>
      </c>
      <c r="N171" s="34">
        <v>1.4502164500000001</v>
      </c>
      <c r="O171" s="34">
        <v>1.680194805</v>
      </c>
      <c r="P171" s="34">
        <v>1.9025974029999999</v>
      </c>
      <c r="Q171" s="34">
        <v>0.81168831200000002</v>
      </c>
      <c r="R171" s="34">
        <v>1.2824675320000001</v>
      </c>
      <c r="S171" s="34">
        <v>1.6450216449999999</v>
      </c>
      <c r="T171" s="34">
        <v>1.931818182</v>
      </c>
      <c r="U171" s="34">
        <v>1.753246753</v>
      </c>
      <c r="V171" s="34">
        <v>2.0616883119999998</v>
      </c>
      <c r="W171" s="34">
        <v>2.3051948050000002</v>
      </c>
      <c r="X171" s="34">
        <v>2.37012987</v>
      </c>
      <c r="Y171" s="34">
        <v>2.5811688309999998</v>
      </c>
      <c r="Z171" s="34">
        <v>2.7922077920000001</v>
      </c>
    </row>
    <row r="172" spans="1:26" ht="18.75" x14ac:dyDescent="0.25">
      <c r="A172" s="37">
        <v>3211</v>
      </c>
      <c r="B172" s="33">
        <v>2311</v>
      </c>
      <c r="C172" s="33" t="s">
        <v>27</v>
      </c>
      <c r="D172" s="33" t="s">
        <v>15</v>
      </c>
      <c r="E172" s="33" t="s">
        <v>24</v>
      </c>
      <c r="F172" s="38">
        <v>551.36363640000002</v>
      </c>
      <c r="G172" s="34">
        <v>574.54545450000001</v>
      </c>
      <c r="H172" s="34">
        <v>596.81818180000005</v>
      </c>
      <c r="I172" s="34">
        <v>616.36363640000002</v>
      </c>
      <c r="J172" s="34">
        <v>664.09090909999998</v>
      </c>
      <c r="K172" s="34">
        <v>675.45454549999999</v>
      </c>
      <c r="L172" s="34">
        <v>1.6558441559999999</v>
      </c>
      <c r="M172" s="34">
        <v>1.623376623</v>
      </c>
      <c r="N172" s="34">
        <v>1.5476190480000001</v>
      </c>
      <c r="O172" s="34">
        <v>2.012987013</v>
      </c>
      <c r="P172" s="34">
        <v>1.7727272730000001</v>
      </c>
      <c r="Q172" s="34">
        <v>1.5909090910000001</v>
      </c>
      <c r="R172" s="34">
        <v>1.493506494</v>
      </c>
      <c r="S172" s="34">
        <v>2.1320346319999999</v>
      </c>
      <c r="T172" s="34">
        <v>1.801948052</v>
      </c>
      <c r="U172" s="34">
        <v>1.3961038960000001</v>
      </c>
      <c r="V172" s="34">
        <v>2.4025974030000001</v>
      </c>
      <c r="W172" s="34">
        <v>1.872294372</v>
      </c>
      <c r="X172" s="34">
        <v>3.4090909090000001</v>
      </c>
      <c r="Y172" s="34">
        <v>2.1103896099999999</v>
      </c>
      <c r="Z172" s="34">
        <v>0.81168831200000002</v>
      </c>
    </row>
    <row r="173" spans="1:26" ht="18.75" x14ac:dyDescent="0.25">
      <c r="A173" s="37">
        <v>3220</v>
      </c>
      <c r="B173" s="33">
        <v>2311</v>
      </c>
      <c r="C173" s="33" t="s">
        <v>14</v>
      </c>
      <c r="D173" s="33" t="s">
        <v>15</v>
      </c>
      <c r="E173" s="33" t="s">
        <v>15</v>
      </c>
      <c r="F173" s="38">
        <v>519.54545450000001</v>
      </c>
      <c r="G173" s="34">
        <v>543.18181819999995</v>
      </c>
      <c r="H173" s="34">
        <v>588.63636359999998</v>
      </c>
      <c r="I173" s="34">
        <v>612.72727269999996</v>
      </c>
      <c r="J173" s="34">
        <v>653.18181819999995</v>
      </c>
      <c r="K173" s="34">
        <v>684.09090909999998</v>
      </c>
      <c r="L173" s="34">
        <v>1.688311688</v>
      </c>
      <c r="M173" s="34">
        <v>2.4675324679999999</v>
      </c>
      <c r="N173" s="34">
        <v>2.2186147190000001</v>
      </c>
      <c r="O173" s="34">
        <v>2.386363636</v>
      </c>
      <c r="P173" s="34">
        <v>2.3506493509999999</v>
      </c>
      <c r="Q173" s="34">
        <v>3.246753247</v>
      </c>
      <c r="R173" s="34">
        <v>2.483766234</v>
      </c>
      <c r="S173" s="34">
        <v>2.6190476189999998</v>
      </c>
      <c r="T173" s="34">
        <v>2.516233766</v>
      </c>
      <c r="U173" s="34">
        <v>1.7207792209999999</v>
      </c>
      <c r="V173" s="34">
        <v>2.3051948050000002</v>
      </c>
      <c r="W173" s="34">
        <v>2.2727272730000001</v>
      </c>
      <c r="X173" s="34">
        <v>2.8896103900000001</v>
      </c>
      <c r="Y173" s="34">
        <v>2.5487012990000002</v>
      </c>
      <c r="Z173" s="34">
        <v>2.2077922079999999</v>
      </c>
    </row>
    <row r="174" spans="1:26" ht="18.75" x14ac:dyDescent="0.25">
      <c r="A174" s="37">
        <v>3221</v>
      </c>
      <c r="B174" s="33">
        <v>2311</v>
      </c>
      <c r="C174" s="33" t="s">
        <v>20</v>
      </c>
      <c r="D174" s="33" t="s">
        <v>21</v>
      </c>
      <c r="E174" s="33" t="s">
        <v>15</v>
      </c>
      <c r="F174" s="38">
        <v>435.45454549999999</v>
      </c>
      <c r="G174" s="34">
        <v>465.90909090000002</v>
      </c>
      <c r="H174" s="34">
        <v>490</v>
      </c>
      <c r="I174" s="34">
        <v>511.36363640000002</v>
      </c>
      <c r="J174" s="34">
        <v>548.63636359999998</v>
      </c>
      <c r="K174" s="34">
        <v>581.36363640000002</v>
      </c>
      <c r="L174" s="34">
        <v>2.1753246750000002</v>
      </c>
      <c r="M174" s="34">
        <v>1.948051948</v>
      </c>
      <c r="N174" s="34">
        <v>1.807359307</v>
      </c>
      <c r="O174" s="34">
        <v>2.0211038960000001</v>
      </c>
      <c r="P174" s="34">
        <v>2.0844155839999998</v>
      </c>
      <c r="Q174" s="34">
        <v>1.7207792209999999</v>
      </c>
      <c r="R174" s="34">
        <v>1.623376623</v>
      </c>
      <c r="S174" s="34">
        <v>1.96969697</v>
      </c>
      <c r="T174" s="34">
        <v>2.0616883119999998</v>
      </c>
      <c r="U174" s="34">
        <v>1.5259740260000001</v>
      </c>
      <c r="V174" s="34">
        <v>2.0941558439999999</v>
      </c>
      <c r="W174" s="34">
        <v>2.1753246750000002</v>
      </c>
      <c r="X174" s="34">
        <v>2.6623376620000001</v>
      </c>
      <c r="Y174" s="34">
        <v>2.5</v>
      </c>
      <c r="Z174" s="34">
        <v>2.3376623379999999</v>
      </c>
    </row>
    <row r="175" spans="1:26" ht="18.75" x14ac:dyDescent="0.25">
      <c r="A175" s="37">
        <v>3225</v>
      </c>
      <c r="B175" s="33">
        <v>2311</v>
      </c>
      <c r="C175" s="33" t="s">
        <v>23</v>
      </c>
      <c r="D175" s="33" t="s">
        <v>21</v>
      </c>
      <c r="E175" s="33" t="s">
        <v>24</v>
      </c>
      <c r="F175" s="38">
        <v>442.27272729999999</v>
      </c>
      <c r="G175" s="34">
        <v>474.09090909999998</v>
      </c>
      <c r="H175" s="34">
        <v>498.63636359999998</v>
      </c>
      <c r="I175" s="34">
        <v>534.09090909999998</v>
      </c>
      <c r="J175" s="34">
        <v>576.36363640000002</v>
      </c>
      <c r="K175" s="34">
        <v>579.54545450000001</v>
      </c>
      <c r="L175" s="34">
        <v>2.2727272730000001</v>
      </c>
      <c r="M175" s="34">
        <v>2.012987013</v>
      </c>
      <c r="N175" s="34">
        <v>2.1861471859999999</v>
      </c>
      <c r="O175" s="34">
        <v>2.394480519</v>
      </c>
      <c r="P175" s="34">
        <v>1.9610389610000001</v>
      </c>
      <c r="Q175" s="34">
        <v>1.753246753</v>
      </c>
      <c r="R175" s="34">
        <v>2.1428571430000001</v>
      </c>
      <c r="S175" s="34">
        <v>2.4350649350000002</v>
      </c>
      <c r="T175" s="34">
        <v>1.883116883</v>
      </c>
      <c r="U175" s="34">
        <v>2.5324675320000001</v>
      </c>
      <c r="V175" s="34">
        <v>2.7759740260000001</v>
      </c>
      <c r="W175" s="34">
        <v>1.9264069260000001</v>
      </c>
      <c r="X175" s="34">
        <v>3.019480519</v>
      </c>
      <c r="Y175" s="34">
        <v>1.623376623</v>
      </c>
      <c r="Z175" s="34">
        <v>0.22727272700000001</v>
      </c>
    </row>
    <row r="176" spans="1:26" ht="18.75" x14ac:dyDescent="0.25">
      <c r="A176" s="37">
        <v>3227</v>
      </c>
      <c r="B176" s="33">
        <v>2311</v>
      </c>
      <c r="C176" s="33" t="s">
        <v>27</v>
      </c>
      <c r="D176" s="33" t="s">
        <v>15</v>
      </c>
      <c r="E176" s="33" t="s">
        <v>24</v>
      </c>
      <c r="F176" s="38">
        <v>410.45454549999999</v>
      </c>
      <c r="G176" s="34">
        <v>447.27272729999999</v>
      </c>
      <c r="H176" s="34">
        <v>473.63636359999998</v>
      </c>
      <c r="I176" s="34">
        <v>499.54545450000001</v>
      </c>
      <c r="J176" s="34">
        <v>542.27272730000004</v>
      </c>
      <c r="K176" s="34">
        <v>565.90909090000002</v>
      </c>
      <c r="L176" s="34">
        <v>2.62987013</v>
      </c>
      <c r="M176" s="34">
        <v>2.256493506</v>
      </c>
      <c r="N176" s="34">
        <v>2.1212121210000001</v>
      </c>
      <c r="O176" s="34">
        <v>2.3538961039999999</v>
      </c>
      <c r="P176" s="34">
        <v>2.2207792209999999</v>
      </c>
      <c r="Q176" s="34">
        <v>1.883116883</v>
      </c>
      <c r="R176" s="34">
        <v>1.866883117</v>
      </c>
      <c r="S176" s="34">
        <v>2.2619047619999999</v>
      </c>
      <c r="T176" s="34">
        <v>2.118506494</v>
      </c>
      <c r="U176" s="34">
        <v>1.8506493509999999</v>
      </c>
      <c r="V176" s="34">
        <v>2.4512987009999998</v>
      </c>
      <c r="W176" s="34">
        <v>2.1969696970000001</v>
      </c>
      <c r="X176" s="34">
        <v>3.0519480520000002</v>
      </c>
      <c r="Y176" s="34">
        <v>2.37012987</v>
      </c>
      <c r="Z176" s="34">
        <v>1.688311688</v>
      </c>
    </row>
    <row r="177" spans="1:26" ht="18.75" x14ac:dyDescent="0.25">
      <c r="A177" s="37">
        <v>3240</v>
      </c>
      <c r="B177" s="33">
        <v>2311</v>
      </c>
      <c r="C177" s="33" t="s">
        <v>27</v>
      </c>
      <c r="D177" s="33" t="s">
        <v>15</v>
      </c>
      <c r="E177" s="33" t="s">
        <v>24</v>
      </c>
      <c r="F177" s="38">
        <v>420.45454549999999</v>
      </c>
      <c r="G177" s="34">
        <v>447.27272729999999</v>
      </c>
      <c r="H177" s="34">
        <v>486.81818179999999</v>
      </c>
      <c r="I177" s="34">
        <v>501.36363640000002</v>
      </c>
      <c r="J177" s="34">
        <v>543.63636359999998</v>
      </c>
      <c r="K177" s="34">
        <v>571.36363640000002</v>
      </c>
      <c r="L177" s="34">
        <v>1.915584416</v>
      </c>
      <c r="M177" s="34">
        <v>2.37012987</v>
      </c>
      <c r="N177" s="34">
        <v>1.9264069260000001</v>
      </c>
      <c r="O177" s="34">
        <v>2.1996753249999998</v>
      </c>
      <c r="P177" s="34">
        <v>2.1558441560000001</v>
      </c>
      <c r="Q177" s="34">
        <v>2.8246753249999998</v>
      </c>
      <c r="R177" s="34">
        <v>1.931818182</v>
      </c>
      <c r="S177" s="34">
        <v>2.294372294</v>
      </c>
      <c r="T177" s="34">
        <v>2.2159090909999999</v>
      </c>
      <c r="U177" s="34">
        <v>1.0389610389999999</v>
      </c>
      <c r="V177" s="34">
        <v>2.0292207790000001</v>
      </c>
      <c r="W177" s="34">
        <v>2.012987013</v>
      </c>
      <c r="X177" s="34">
        <v>3.019480519</v>
      </c>
      <c r="Y177" s="34">
        <v>2.5</v>
      </c>
      <c r="Z177" s="34">
        <v>1.980519481</v>
      </c>
    </row>
    <row r="178" spans="1:26" ht="18.75" x14ac:dyDescent="0.25">
      <c r="A178" s="37">
        <v>3241</v>
      </c>
      <c r="B178" s="33">
        <v>2311</v>
      </c>
      <c r="C178" s="33" t="s">
        <v>27</v>
      </c>
      <c r="D178" s="33" t="s">
        <v>15</v>
      </c>
      <c r="E178" s="33" t="s">
        <v>24</v>
      </c>
      <c r="F178" s="38">
        <v>424.54545450000001</v>
      </c>
      <c r="G178" s="34">
        <v>460.45454549999999</v>
      </c>
      <c r="H178" s="34">
        <v>479.54545450000001</v>
      </c>
      <c r="I178" s="34">
        <v>503.63636359999998</v>
      </c>
      <c r="J178" s="34">
        <v>536.81818180000005</v>
      </c>
      <c r="K178" s="34">
        <v>567.27272730000004</v>
      </c>
      <c r="L178" s="34">
        <v>2.5649350649999998</v>
      </c>
      <c r="M178" s="34">
        <v>1.9642857140000001</v>
      </c>
      <c r="N178" s="34">
        <v>1.883116883</v>
      </c>
      <c r="O178" s="34">
        <v>2.00487013</v>
      </c>
      <c r="P178" s="34">
        <v>2.0389610390000001</v>
      </c>
      <c r="Q178" s="34">
        <v>1.363636364</v>
      </c>
      <c r="R178" s="34">
        <v>1.5422077919999999</v>
      </c>
      <c r="S178" s="34">
        <v>1.818181818</v>
      </c>
      <c r="T178" s="34">
        <v>1.9074675320000001</v>
      </c>
      <c r="U178" s="34">
        <v>1.7207792209999999</v>
      </c>
      <c r="V178" s="34">
        <v>2.0454545450000001</v>
      </c>
      <c r="W178" s="34">
        <v>2.088744589</v>
      </c>
      <c r="X178" s="34">
        <v>2.37012987</v>
      </c>
      <c r="Y178" s="34">
        <v>2.2727272730000001</v>
      </c>
      <c r="Z178" s="34">
        <v>2.1753246750000002</v>
      </c>
    </row>
    <row r="179" spans="1:26" ht="15.75" x14ac:dyDescent="0.25">
      <c r="A179" s="38">
        <v>3503</v>
      </c>
      <c r="B179" s="33">
        <v>2404</v>
      </c>
      <c r="C179" s="33" t="s">
        <v>14</v>
      </c>
      <c r="D179" s="33" t="s">
        <v>15</v>
      </c>
      <c r="E179" s="33" t="s">
        <v>15</v>
      </c>
      <c r="F179" s="38">
        <v>527.72727269999996</v>
      </c>
      <c r="G179" s="34">
        <v>539.54545450000001</v>
      </c>
      <c r="H179" s="34">
        <v>579.09090909999998</v>
      </c>
      <c r="I179" s="34">
        <v>600.45454549999999</v>
      </c>
      <c r="J179" s="34">
        <v>628.63636359999998</v>
      </c>
      <c r="K179" s="34">
        <v>641.81818180000005</v>
      </c>
      <c r="L179" s="34">
        <v>0.84415584399999999</v>
      </c>
      <c r="M179" s="34">
        <v>1.834415584</v>
      </c>
      <c r="N179" s="34">
        <v>1.7316017319999999</v>
      </c>
      <c r="O179" s="34">
        <v>1.801948052</v>
      </c>
      <c r="P179" s="34">
        <v>1.62987013</v>
      </c>
      <c r="Q179" s="34">
        <v>2.8246753249999998</v>
      </c>
      <c r="R179" s="34">
        <v>2.1753246750000002</v>
      </c>
      <c r="S179" s="34">
        <v>2.1212121210000001</v>
      </c>
      <c r="T179" s="34">
        <v>1.826298701</v>
      </c>
      <c r="U179" s="34">
        <v>1.5259740260000001</v>
      </c>
      <c r="V179" s="34">
        <v>1.769480519</v>
      </c>
      <c r="W179" s="34">
        <v>1.493506494</v>
      </c>
      <c r="X179" s="34">
        <v>2.012987013</v>
      </c>
      <c r="Y179" s="34">
        <v>1.4772727269999999</v>
      </c>
      <c r="Z179" s="34">
        <v>0.94155844200000005</v>
      </c>
    </row>
    <row r="180" spans="1:26" ht="15.75" x14ac:dyDescent="0.25">
      <c r="A180" s="38">
        <v>3505</v>
      </c>
      <c r="B180" s="33">
        <v>2404</v>
      </c>
      <c r="C180" s="33" t="s">
        <v>20</v>
      </c>
      <c r="D180" s="33" t="s">
        <v>21</v>
      </c>
      <c r="E180" s="33" t="s">
        <v>15</v>
      </c>
      <c r="F180" s="38">
        <v>434.54545450000001</v>
      </c>
      <c r="G180" s="34">
        <v>457.27272729999999</v>
      </c>
      <c r="H180" s="34">
        <v>480.90909090000002</v>
      </c>
      <c r="I180" s="34">
        <v>495.45454549999999</v>
      </c>
      <c r="J180" s="34">
        <v>527.27272730000004</v>
      </c>
      <c r="K180" s="34">
        <v>559.09090909999998</v>
      </c>
      <c r="L180" s="34">
        <v>1.623376623</v>
      </c>
      <c r="M180" s="34">
        <v>1.6558441559999999</v>
      </c>
      <c r="N180" s="34">
        <v>1.4502164500000001</v>
      </c>
      <c r="O180" s="34">
        <v>1.6558441559999999</v>
      </c>
      <c r="P180" s="34">
        <v>1.7792207790000001</v>
      </c>
      <c r="Q180" s="34">
        <v>1.688311688</v>
      </c>
      <c r="R180" s="34">
        <v>1.363636364</v>
      </c>
      <c r="S180" s="34">
        <v>1.6666666670000001</v>
      </c>
      <c r="T180" s="34">
        <v>1.818181818</v>
      </c>
      <c r="U180" s="34">
        <v>1.0389610389999999</v>
      </c>
      <c r="V180" s="34">
        <v>1.6558441559999999</v>
      </c>
      <c r="W180" s="34">
        <v>1.8614718610000001</v>
      </c>
      <c r="X180" s="34">
        <v>2.2727272730000001</v>
      </c>
      <c r="Y180" s="34">
        <v>2.2727272730000001</v>
      </c>
      <c r="Z180" s="34">
        <v>2.2727272730000001</v>
      </c>
    </row>
    <row r="181" spans="1:26" ht="15.75" x14ac:dyDescent="0.25">
      <c r="A181" s="38">
        <v>3507</v>
      </c>
      <c r="B181" s="33">
        <v>2404</v>
      </c>
      <c r="C181" s="33" t="s">
        <v>14</v>
      </c>
      <c r="D181" s="33" t="s">
        <v>15</v>
      </c>
      <c r="E181" s="33" t="s">
        <v>15</v>
      </c>
      <c r="F181" s="38">
        <v>508.63636359999998</v>
      </c>
      <c r="G181" s="34">
        <v>530.90909090000002</v>
      </c>
      <c r="H181" s="34">
        <v>551.81818180000005</v>
      </c>
      <c r="I181" s="34">
        <v>581.36363640000002</v>
      </c>
      <c r="J181" s="34">
        <v>604.54545450000001</v>
      </c>
      <c r="K181" s="34">
        <v>645.45454549999999</v>
      </c>
      <c r="L181" s="34">
        <v>1.5909090910000001</v>
      </c>
      <c r="M181" s="34">
        <v>1.5422077919999999</v>
      </c>
      <c r="N181" s="34">
        <v>1.7316017319999999</v>
      </c>
      <c r="O181" s="34">
        <v>1.7126623379999999</v>
      </c>
      <c r="P181" s="34">
        <v>1.9545454550000001</v>
      </c>
      <c r="Q181" s="34">
        <v>1.493506494</v>
      </c>
      <c r="R181" s="34">
        <v>1.801948052</v>
      </c>
      <c r="S181" s="34">
        <v>1.753246753</v>
      </c>
      <c r="T181" s="34">
        <v>2.0454545450000001</v>
      </c>
      <c r="U181" s="34">
        <v>2.1103896099999999</v>
      </c>
      <c r="V181" s="34">
        <v>1.883116883</v>
      </c>
      <c r="W181" s="34">
        <v>2.2294372290000002</v>
      </c>
      <c r="X181" s="34">
        <v>1.6558441559999999</v>
      </c>
      <c r="Y181" s="34">
        <v>2.2889610390000001</v>
      </c>
      <c r="Z181" s="34">
        <v>2.9220779220000002</v>
      </c>
    </row>
    <row r="182" spans="1:26" ht="15.75" x14ac:dyDescent="0.25">
      <c r="A182" s="38">
        <v>3508</v>
      </c>
      <c r="B182" s="33">
        <v>2404</v>
      </c>
      <c r="C182" s="33" t="s">
        <v>14</v>
      </c>
      <c r="D182" s="33" t="s">
        <v>15</v>
      </c>
      <c r="E182" s="33" t="s">
        <v>15</v>
      </c>
      <c r="F182" s="38">
        <v>480.45454549999999</v>
      </c>
      <c r="G182" s="34">
        <v>507.72727270000001</v>
      </c>
      <c r="H182" s="34">
        <v>532.27272730000004</v>
      </c>
      <c r="I182" s="34">
        <v>566.81818180000005</v>
      </c>
      <c r="J182" s="34">
        <v>578.63636359999998</v>
      </c>
      <c r="K182" s="34">
        <v>599.54545450000001</v>
      </c>
      <c r="L182" s="34">
        <v>1.948051948</v>
      </c>
      <c r="M182" s="34">
        <v>1.8506493509999999</v>
      </c>
      <c r="N182" s="34">
        <v>2.0562770559999999</v>
      </c>
      <c r="O182" s="34">
        <v>1.753246753</v>
      </c>
      <c r="P182" s="34">
        <v>1.701298701</v>
      </c>
      <c r="Q182" s="34">
        <v>1.753246753</v>
      </c>
      <c r="R182" s="34">
        <v>2.1103896099999999</v>
      </c>
      <c r="S182" s="34">
        <v>1.688311688</v>
      </c>
      <c r="T182" s="34">
        <v>1.6396103900000001</v>
      </c>
      <c r="U182" s="34">
        <v>2.4675324679999999</v>
      </c>
      <c r="V182" s="34">
        <v>1.6558441559999999</v>
      </c>
      <c r="W182" s="34">
        <v>1.6017316020000001</v>
      </c>
      <c r="X182" s="34">
        <v>0.84415584399999999</v>
      </c>
      <c r="Y182" s="34">
        <v>1.1688311689999999</v>
      </c>
      <c r="Z182" s="34">
        <v>1.493506494</v>
      </c>
    </row>
    <row r="183" spans="1:26" ht="15.75" x14ac:dyDescent="0.25">
      <c r="A183" s="38">
        <v>3509</v>
      </c>
      <c r="B183" s="33">
        <v>2404</v>
      </c>
      <c r="C183" s="33" t="s">
        <v>20</v>
      </c>
      <c r="D183" s="33" t="s">
        <v>21</v>
      </c>
      <c r="E183" s="33" t="s">
        <v>15</v>
      </c>
      <c r="F183" s="38">
        <v>435</v>
      </c>
      <c r="G183" s="34">
        <v>449.54545450000001</v>
      </c>
      <c r="H183" s="34">
        <v>471.36363640000002</v>
      </c>
      <c r="I183" s="34">
        <v>493.63636359999998</v>
      </c>
      <c r="J183" s="34">
        <v>518.63636359999998</v>
      </c>
      <c r="K183" s="34">
        <v>553.63636359999998</v>
      </c>
      <c r="L183" s="34">
        <v>1.0389610389999999</v>
      </c>
      <c r="M183" s="34">
        <v>1.298701299</v>
      </c>
      <c r="N183" s="34">
        <v>1.3961038960000001</v>
      </c>
      <c r="O183" s="34">
        <v>1.493506494</v>
      </c>
      <c r="P183" s="34">
        <v>1.694805195</v>
      </c>
      <c r="Q183" s="34">
        <v>1.5584415579999999</v>
      </c>
      <c r="R183" s="34">
        <v>1.5746753250000001</v>
      </c>
      <c r="S183" s="34">
        <v>1.6450216449999999</v>
      </c>
      <c r="T183" s="34">
        <v>1.858766234</v>
      </c>
      <c r="U183" s="34">
        <v>1.5909090910000001</v>
      </c>
      <c r="V183" s="34">
        <v>1.688311688</v>
      </c>
      <c r="W183" s="34">
        <v>1.958874459</v>
      </c>
      <c r="X183" s="34">
        <v>1.7857142859999999</v>
      </c>
      <c r="Y183" s="34">
        <v>2.1428571430000001</v>
      </c>
      <c r="Z183" s="34">
        <v>2.5</v>
      </c>
    </row>
    <row r="184" spans="1:26" ht="15.75" x14ac:dyDescent="0.25">
      <c r="A184" s="38">
        <v>3514</v>
      </c>
      <c r="B184" s="33">
        <v>2404</v>
      </c>
      <c r="C184" s="33" t="s">
        <v>14</v>
      </c>
      <c r="D184" s="33" t="s">
        <v>15</v>
      </c>
      <c r="E184" s="33" t="s">
        <v>15</v>
      </c>
      <c r="F184" s="38">
        <v>493.18181820000001</v>
      </c>
      <c r="G184" s="34">
        <v>508.18181820000001</v>
      </c>
      <c r="H184" s="34">
        <v>529.54545450000001</v>
      </c>
      <c r="I184" s="34">
        <v>559.09090909999998</v>
      </c>
      <c r="J184" s="34">
        <v>588.63636359999998</v>
      </c>
      <c r="K184" s="34">
        <v>618.18181819999995</v>
      </c>
      <c r="L184" s="34">
        <v>1.071428571</v>
      </c>
      <c r="M184" s="34">
        <v>1.298701299</v>
      </c>
      <c r="N184" s="34">
        <v>1.5692640689999999</v>
      </c>
      <c r="O184" s="34">
        <v>1.7045454550000001</v>
      </c>
      <c r="P184" s="34">
        <v>1.7857142859999999</v>
      </c>
      <c r="Q184" s="34">
        <v>1.5259740260000001</v>
      </c>
      <c r="R184" s="34">
        <v>1.818181818</v>
      </c>
      <c r="S184" s="34">
        <v>1.915584416</v>
      </c>
      <c r="T184" s="34">
        <v>1.9642857140000001</v>
      </c>
      <c r="U184" s="34">
        <v>2.1103896099999999</v>
      </c>
      <c r="V184" s="34">
        <v>2.1103896099999999</v>
      </c>
      <c r="W184" s="34">
        <v>2.1103896099999999</v>
      </c>
      <c r="X184" s="34">
        <v>2.1103896099999999</v>
      </c>
      <c r="Y184" s="34">
        <v>2.1103896099999999</v>
      </c>
      <c r="Z184" s="34">
        <v>2.1103896099999999</v>
      </c>
    </row>
    <row r="185" spans="1:26" ht="15.75" x14ac:dyDescent="0.25">
      <c r="A185" s="38">
        <v>3517</v>
      </c>
      <c r="B185" s="33">
        <v>2404</v>
      </c>
      <c r="C185" s="33" t="s">
        <v>20</v>
      </c>
      <c r="D185" s="33" t="s">
        <v>21</v>
      </c>
      <c r="E185" s="33" t="s">
        <v>15</v>
      </c>
      <c r="F185" s="38">
        <v>428.18181820000001</v>
      </c>
      <c r="G185" s="34">
        <v>481.81818179999999</v>
      </c>
      <c r="H185" s="34">
        <v>503.63636359999998</v>
      </c>
      <c r="I185" s="34">
        <v>516.81818180000005</v>
      </c>
      <c r="J185" s="34">
        <v>534.09090909999998</v>
      </c>
      <c r="K185" s="34">
        <v>563.63636359999998</v>
      </c>
      <c r="L185" s="34">
        <v>3.8311688309999998</v>
      </c>
      <c r="M185" s="34">
        <v>2.6948051949999998</v>
      </c>
      <c r="N185" s="34">
        <v>2.1103896099999999</v>
      </c>
      <c r="O185" s="34">
        <v>1.891233766</v>
      </c>
      <c r="P185" s="34">
        <v>1.935064935</v>
      </c>
      <c r="Q185" s="34">
        <v>1.5584415579999999</v>
      </c>
      <c r="R185" s="34">
        <v>1.25</v>
      </c>
      <c r="S185" s="34">
        <v>1.2445887449999999</v>
      </c>
      <c r="T185" s="34">
        <v>1.4610389610000001</v>
      </c>
      <c r="U185" s="34">
        <v>0.94155844200000005</v>
      </c>
      <c r="V185" s="34">
        <v>1.0876623379999999</v>
      </c>
      <c r="W185" s="34">
        <v>1.428571429</v>
      </c>
      <c r="X185" s="34">
        <v>1.233766234</v>
      </c>
      <c r="Y185" s="34">
        <v>1.6720779219999999</v>
      </c>
      <c r="Z185" s="34">
        <v>2.1103896099999999</v>
      </c>
    </row>
    <row r="186" spans="1:26" ht="15.75" x14ac:dyDescent="0.25">
      <c r="A186" s="38">
        <v>3542</v>
      </c>
      <c r="B186" s="33">
        <v>2404</v>
      </c>
      <c r="C186" s="33" t="s">
        <v>14</v>
      </c>
      <c r="D186" s="33" t="s">
        <v>15</v>
      </c>
      <c r="E186" s="33" t="s">
        <v>15</v>
      </c>
      <c r="F186" s="38">
        <v>516.36363640000002</v>
      </c>
      <c r="G186" s="34">
        <v>536.36363640000002</v>
      </c>
      <c r="H186" s="34">
        <v>558.63636359999998</v>
      </c>
      <c r="I186" s="34">
        <v>582.27272730000004</v>
      </c>
      <c r="J186" s="34">
        <v>591.36363640000002</v>
      </c>
      <c r="K186" s="34">
        <v>605.45454549999999</v>
      </c>
      <c r="L186" s="34">
        <v>1.428571429</v>
      </c>
      <c r="M186" s="34">
        <v>1.5097402600000001</v>
      </c>
      <c r="N186" s="34">
        <v>1.5692640689999999</v>
      </c>
      <c r="O186" s="34">
        <v>1.3392857140000001</v>
      </c>
      <c r="P186" s="34">
        <v>1.2727272730000001</v>
      </c>
      <c r="Q186" s="34">
        <v>1.5909090910000001</v>
      </c>
      <c r="R186" s="34">
        <v>1.6396103900000001</v>
      </c>
      <c r="S186" s="34">
        <v>1.30952381</v>
      </c>
      <c r="T186" s="34">
        <v>1.233766234</v>
      </c>
      <c r="U186" s="34">
        <v>1.688311688</v>
      </c>
      <c r="V186" s="34">
        <v>1.1688311689999999</v>
      </c>
      <c r="W186" s="34">
        <v>1.1147186149999999</v>
      </c>
      <c r="X186" s="34">
        <v>0.64935064899999995</v>
      </c>
      <c r="Y186" s="34">
        <v>0.82792207799999995</v>
      </c>
      <c r="Z186" s="34">
        <v>1.006493506</v>
      </c>
    </row>
    <row r="187" spans="1:26" ht="15.75" x14ac:dyDescent="0.25">
      <c r="A187" s="38">
        <v>3546</v>
      </c>
      <c r="B187" s="33">
        <v>2404</v>
      </c>
      <c r="C187" s="33" t="s">
        <v>23</v>
      </c>
      <c r="D187" s="33" t="s">
        <v>21</v>
      </c>
      <c r="E187" s="33" t="s">
        <v>24</v>
      </c>
      <c r="F187" s="38">
        <v>432.27272729999999</v>
      </c>
      <c r="G187" s="34">
        <v>440</v>
      </c>
      <c r="H187" s="34">
        <v>480</v>
      </c>
      <c r="I187" s="34">
        <v>505</v>
      </c>
      <c r="J187" s="34">
        <v>538.18181819999995</v>
      </c>
      <c r="K187" s="34">
        <v>559.09090909999998</v>
      </c>
      <c r="L187" s="34">
        <v>0.55194805199999997</v>
      </c>
      <c r="M187" s="34">
        <v>1.7045454550000001</v>
      </c>
      <c r="N187" s="34">
        <v>1.7316017319999999</v>
      </c>
      <c r="O187" s="34">
        <v>1.891233766</v>
      </c>
      <c r="P187" s="34">
        <v>1.811688312</v>
      </c>
      <c r="Q187" s="34">
        <v>2.8571428569999999</v>
      </c>
      <c r="R187" s="34">
        <v>2.3214285710000002</v>
      </c>
      <c r="S187" s="34">
        <v>2.3376623379999999</v>
      </c>
      <c r="T187" s="34">
        <v>2.126623377</v>
      </c>
      <c r="U187" s="34">
        <v>1.7857142859999999</v>
      </c>
      <c r="V187" s="34">
        <v>2.0779220779999998</v>
      </c>
      <c r="W187" s="34">
        <v>1.883116883</v>
      </c>
      <c r="X187" s="34">
        <v>2.37012987</v>
      </c>
      <c r="Y187" s="34">
        <v>1.931818182</v>
      </c>
      <c r="Z187" s="34">
        <v>1.493506494</v>
      </c>
    </row>
    <row r="188" spans="1:26" ht="15.75" x14ac:dyDescent="0.25">
      <c r="A188" s="38">
        <v>3553</v>
      </c>
      <c r="B188" s="33">
        <v>2404</v>
      </c>
      <c r="C188" s="33" t="s">
        <v>23</v>
      </c>
      <c r="D188" s="33" t="s">
        <v>21</v>
      </c>
      <c r="E188" s="33" t="s">
        <v>24</v>
      </c>
      <c r="F188" s="38">
        <v>467.27272729999999</v>
      </c>
      <c r="G188" s="34">
        <v>488.63636359999998</v>
      </c>
      <c r="H188" s="34">
        <v>505.45454549999999</v>
      </c>
      <c r="I188" s="34">
        <v>540</v>
      </c>
      <c r="J188" s="34">
        <v>574.54545450000001</v>
      </c>
      <c r="K188" s="34">
        <v>619.54545450000001</v>
      </c>
      <c r="L188" s="34">
        <v>1.5259740260000001</v>
      </c>
      <c r="M188" s="34">
        <v>1.363636364</v>
      </c>
      <c r="N188" s="34">
        <v>1.7316017319999999</v>
      </c>
      <c r="O188" s="34">
        <v>1.915584416</v>
      </c>
      <c r="P188" s="34">
        <v>2.1753246750000002</v>
      </c>
      <c r="Q188" s="34">
        <v>1.201298701</v>
      </c>
      <c r="R188" s="34">
        <v>1.834415584</v>
      </c>
      <c r="S188" s="34">
        <v>2.0454545450000001</v>
      </c>
      <c r="T188" s="34">
        <v>2.3376623379999999</v>
      </c>
      <c r="U188" s="34">
        <v>2.4675324679999999</v>
      </c>
      <c r="V188" s="34">
        <v>2.4675324679999999</v>
      </c>
      <c r="W188" s="34">
        <v>2.7164502160000001</v>
      </c>
      <c r="X188" s="34">
        <v>2.4675324679999999</v>
      </c>
      <c r="Y188" s="34">
        <v>2.8409090909999999</v>
      </c>
      <c r="Z188" s="34">
        <v>3.2142857139999998</v>
      </c>
    </row>
    <row r="189" spans="1:26" ht="15.75" x14ac:dyDescent="0.25">
      <c r="A189" s="38">
        <v>3558</v>
      </c>
      <c r="B189" s="33">
        <v>2404</v>
      </c>
      <c r="C189" s="33" t="s">
        <v>14</v>
      </c>
      <c r="D189" s="33" t="s">
        <v>15</v>
      </c>
      <c r="E189" s="33" t="s">
        <v>15</v>
      </c>
      <c r="F189" s="38">
        <v>495.45454549999999</v>
      </c>
      <c r="G189" s="34">
        <v>505</v>
      </c>
      <c r="H189" s="34">
        <v>532.27272730000004</v>
      </c>
      <c r="I189" s="34">
        <v>572.72727269999996</v>
      </c>
      <c r="J189" s="34">
        <v>597.27272730000004</v>
      </c>
      <c r="K189" s="34">
        <v>590.45454549999999</v>
      </c>
      <c r="L189" s="34">
        <v>0.68181818199999999</v>
      </c>
      <c r="M189" s="34">
        <v>1.314935065</v>
      </c>
      <c r="N189" s="34">
        <v>1.83982684</v>
      </c>
      <c r="O189" s="34">
        <v>1.818181818</v>
      </c>
      <c r="P189" s="34">
        <v>1.3571428569999999</v>
      </c>
      <c r="Q189" s="34">
        <v>1.948051948</v>
      </c>
      <c r="R189" s="34">
        <v>2.4188311690000002</v>
      </c>
      <c r="S189" s="34">
        <v>2.1969696970000001</v>
      </c>
      <c r="T189" s="34">
        <v>1.5259740260000001</v>
      </c>
      <c r="U189" s="34">
        <v>2.8896103900000001</v>
      </c>
      <c r="V189" s="34">
        <v>2.3214285710000002</v>
      </c>
      <c r="W189" s="34">
        <v>1.3852813850000001</v>
      </c>
      <c r="X189" s="34">
        <v>1.753246753</v>
      </c>
      <c r="Y189" s="34">
        <v>0.63311688300000002</v>
      </c>
      <c r="Z189" s="34">
        <v>-0.48701298700000001</v>
      </c>
    </row>
    <row r="190" spans="1:26" ht="15.75" x14ac:dyDescent="0.25">
      <c r="A190" s="38">
        <v>3568</v>
      </c>
      <c r="B190" s="33">
        <v>2404</v>
      </c>
      <c r="C190" s="33" t="s">
        <v>27</v>
      </c>
      <c r="D190" s="33" t="s">
        <v>15</v>
      </c>
      <c r="E190" s="33" t="s">
        <v>24</v>
      </c>
      <c r="F190" s="38">
        <v>498.63636359999998</v>
      </c>
      <c r="G190" s="34">
        <v>524.54545450000001</v>
      </c>
      <c r="H190" s="34">
        <v>550.90909090000002</v>
      </c>
      <c r="I190" s="34">
        <v>568.18181819999995</v>
      </c>
      <c r="J190" s="34">
        <v>569.54545450000001</v>
      </c>
      <c r="K190" s="34">
        <v>628.18181819999995</v>
      </c>
      <c r="L190" s="34">
        <v>1.8506493509999999</v>
      </c>
      <c r="M190" s="34">
        <v>1.866883117</v>
      </c>
      <c r="N190" s="34">
        <v>1.6558441559999999</v>
      </c>
      <c r="O190" s="34">
        <v>1.266233766</v>
      </c>
      <c r="P190" s="34">
        <v>1.8506493509999999</v>
      </c>
      <c r="Q190" s="34">
        <v>1.883116883</v>
      </c>
      <c r="R190" s="34">
        <v>1.5584415579999999</v>
      </c>
      <c r="S190" s="34">
        <v>1.071428571</v>
      </c>
      <c r="T190" s="34">
        <v>1.8506493509999999</v>
      </c>
      <c r="U190" s="34">
        <v>1.233766234</v>
      </c>
      <c r="V190" s="34">
        <v>0.66558441599999996</v>
      </c>
      <c r="W190" s="34">
        <v>1.83982684</v>
      </c>
      <c r="X190" s="34">
        <v>9.7402596999999994E-2</v>
      </c>
      <c r="Y190" s="34">
        <v>2.1428571430000001</v>
      </c>
      <c r="Z190" s="34">
        <v>4.1883116879999998</v>
      </c>
    </row>
    <row r="191" spans="1:26" ht="15.75" x14ac:dyDescent="0.25">
      <c r="A191" s="38">
        <v>3575</v>
      </c>
      <c r="B191" s="33">
        <v>2404</v>
      </c>
      <c r="C191" s="33" t="s">
        <v>27</v>
      </c>
      <c r="D191" s="33" t="s">
        <v>15</v>
      </c>
      <c r="E191" s="33" t="s">
        <v>24</v>
      </c>
      <c r="F191" s="38">
        <v>498.63636359999998</v>
      </c>
      <c r="G191" s="34">
        <v>519.09090909999998</v>
      </c>
      <c r="H191" s="34">
        <v>548.63636359999998</v>
      </c>
      <c r="I191" s="34">
        <v>566.81818180000005</v>
      </c>
      <c r="J191" s="34">
        <v>578.63636359999998</v>
      </c>
      <c r="K191" s="34">
        <v>614.09090909999998</v>
      </c>
      <c r="L191" s="34">
        <v>1.4610389610000001</v>
      </c>
      <c r="M191" s="34">
        <v>1.7857142859999999</v>
      </c>
      <c r="N191" s="34">
        <v>1.623376623</v>
      </c>
      <c r="O191" s="34">
        <v>1.428571429</v>
      </c>
      <c r="P191" s="34">
        <v>1.6493506490000001</v>
      </c>
      <c r="Q191" s="34">
        <v>2.1103896099999999</v>
      </c>
      <c r="R191" s="34">
        <v>1.7045454550000001</v>
      </c>
      <c r="S191" s="34">
        <v>1.417748918</v>
      </c>
      <c r="T191" s="34">
        <v>1.696428571</v>
      </c>
      <c r="U191" s="34">
        <v>1.298701299</v>
      </c>
      <c r="V191" s="34">
        <v>1.071428571</v>
      </c>
      <c r="W191" s="34">
        <v>1.5584415579999999</v>
      </c>
      <c r="X191" s="34">
        <v>0.84415584399999999</v>
      </c>
      <c r="Y191" s="34">
        <v>1.688311688</v>
      </c>
      <c r="Z191" s="34">
        <v>2.5324675320000001</v>
      </c>
    </row>
    <row r="192" spans="1:26" ht="15.75" x14ac:dyDescent="0.25">
      <c r="A192" s="38">
        <v>3579</v>
      </c>
      <c r="B192" s="33">
        <v>2404</v>
      </c>
      <c r="C192" s="33" t="s">
        <v>20</v>
      </c>
      <c r="D192" s="33" t="s">
        <v>21</v>
      </c>
      <c r="E192" s="33" t="s">
        <v>15</v>
      </c>
      <c r="F192" s="38">
        <v>383.18181820000001</v>
      </c>
      <c r="G192" s="34">
        <v>413.18181820000001</v>
      </c>
      <c r="H192" s="34" t="s">
        <v>39</v>
      </c>
      <c r="I192" s="34" t="s">
        <v>39</v>
      </c>
      <c r="J192" s="34" t="s">
        <v>39</v>
      </c>
      <c r="K192" s="34" t="s">
        <v>39</v>
      </c>
      <c r="L192" s="34">
        <v>2.1428571430000001</v>
      </c>
      <c r="M192" s="34" t="s">
        <v>39</v>
      </c>
      <c r="N192" s="34" t="s">
        <v>39</v>
      </c>
      <c r="O192" s="34" t="s">
        <v>39</v>
      </c>
      <c r="P192" s="34" t="s">
        <v>39</v>
      </c>
      <c r="Q192" s="34" t="s">
        <v>39</v>
      </c>
      <c r="R192" s="34" t="s">
        <v>39</v>
      </c>
      <c r="S192" s="34" t="s">
        <v>39</v>
      </c>
      <c r="T192" s="34" t="s">
        <v>39</v>
      </c>
      <c r="U192" s="34" t="s">
        <v>39</v>
      </c>
      <c r="V192" s="34" t="s">
        <v>39</v>
      </c>
      <c r="W192" s="34" t="s">
        <v>39</v>
      </c>
      <c r="X192" s="34" t="s">
        <v>39</v>
      </c>
      <c r="Y192" s="34" t="s">
        <v>39</v>
      </c>
      <c r="Z192" s="34" t="s">
        <v>39</v>
      </c>
    </row>
    <row r="193" spans="1:26" ht="15.75" x14ac:dyDescent="0.25">
      <c r="A193" s="38">
        <v>3580</v>
      </c>
      <c r="B193" s="33">
        <v>2404</v>
      </c>
      <c r="C193" s="33" t="s">
        <v>20</v>
      </c>
      <c r="D193" s="33" t="s">
        <v>21</v>
      </c>
      <c r="E193" s="33" t="s">
        <v>15</v>
      </c>
      <c r="F193" s="38">
        <v>401.81818179999999</v>
      </c>
      <c r="G193" s="34">
        <v>432.72727270000001</v>
      </c>
      <c r="H193" s="34">
        <v>451.81818179999999</v>
      </c>
      <c r="I193" s="34">
        <v>476.81818179999999</v>
      </c>
      <c r="J193" s="34">
        <v>505.90909090000002</v>
      </c>
      <c r="K193" s="34">
        <v>544.09090909999998</v>
      </c>
      <c r="L193" s="34">
        <v>2.2077922079999999</v>
      </c>
      <c r="M193" s="34">
        <v>1.7857142859999999</v>
      </c>
      <c r="N193" s="34">
        <v>1.7857142859999999</v>
      </c>
      <c r="O193" s="34">
        <v>1.858766234</v>
      </c>
      <c r="P193" s="34">
        <v>2.0324675320000001</v>
      </c>
      <c r="Q193" s="34">
        <v>1.363636364</v>
      </c>
      <c r="R193" s="34">
        <v>1.5746753250000001</v>
      </c>
      <c r="S193" s="34">
        <v>1.742424242</v>
      </c>
      <c r="T193" s="34">
        <v>1.988636364</v>
      </c>
      <c r="U193" s="34">
        <v>1.7857142859999999</v>
      </c>
      <c r="V193" s="34">
        <v>1.931818182</v>
      </c>
      <c r="W193" s="34">
        <v>2.1969696970000001</v>
      </c>
      <c r="X193" s="34">
        <v>2.0779220779999998</v>
      </c>
      <c r="Y193" s="34">
        <v>2.4025974030000001</v>
      </c>
      <c r="Z193" s="34">
        <v>2.7272727269999999</v>
      </c>
    </row>
    <row r="194" spans="1:26" ht="15.75" x14ac:dyDescent="0.25">
      <c r="A194" s="38">
        <v>3584</v>
      </c>
      <c r="B194" s="33">
        <v>2404</v>
      </c>
      <c r="C194" s="33" t="s">
        <v>20</v>
      </c>
      <c r="D194" s="33" t="s">
        <v>21</v>
      </c>
      <c r="E194" s="33" t="s">
        <v>15</v>
      </c>
      <c r="F194" s="38">
        <v>499.09090909999998</v>
      </c>
      <c r="G194" s="34">
        <v>520.45454549999999</v>
      </c>
      <c r="H194" s="34">
        <v>548.18181819999995</v>
      </c>
      <c r="I194" s="34">
        <v>560.90909090000002</v>
      </c>
      <c r="J194" s="34">
        <v>592.72727269999996</v>
      </c>
      <c r="K194" s="34">
        <v>637.27272730000004</v>
      </c>
      <c r="L194" s="34">
        <v>1.5259740260000001</v>
      </c>
      <c r="M194" s="34">
        <v>1.753246753</v>
      </c>
      <c r="N194" s="34">
        <v>1.4718614720000001</v>
      </c>
      <c r="O194" s="34">
        <v>1.6720779219999999</v>
      </c>
      <c r="P194" s="34">
        <v>1.9740259739999999</v>
      </c>
      <c r="Q194" s="34">
        <v>1.980519481</v>
      </c>
      <c r="R194" s="34">
        <v>1.444805195</v>
      </c>
      <c r="S194" s="34">
        <v>1.7207792209999999</v>
      </c>
      <c r="T194" s="34">
        <v>2.0860389609999999</v>
      </c>
      <c r="U194" s="34">
        <v>0.909090909</v>
      </c>
      <c r="V194" s="34">
        <v>1.5909090910000001</v>
      </c>
      <c r="W194" s="34">
        <v>2.1212121210000001</v>
      </c>
      <c r="X194" s="34">
        <v>2.2727272730000001</v>
      </c>
      <c r="Y194" s="34">
        <v>2.7272727269999999</v>
      </c>
      <c r="Z194" s="34">
        <v>3.1818181820000002</v>
      </c>
    </row>
    <row r="195" spans="1:26" ht="15.75" x14ac:dyDescent="0.25">
      <c r="A195" s="38">
        <v>3588</v>
      </c>
      <c r="B195" s="33">
        <v>2404</v>
      </c>
      <c r="C195" s="33" t="s">
        <v>27</v>
      </c>
      <c r="D195" s="33" t="s">
        <v>15</v>
      </c>
      <c r="E195" s="33" t="s">
        <v>24</v>
      </c>
      <c r="F195" s="38">
        <v>467.27272729999999</v>
      </c>
      <c r="G195" s="34">
        <v>509.09090909999998</v>
      </c>
      <c r="H195" s="34">
        <v>509.09090909999998</v>
      </c>
      <c r="I195" s="34">
        <v>543.63636359999998</v>
      </c>
      <c r="J195" s="34">
        <v>572.27272730000004</v>
      </c>
      <c r="K195" s="34">
        <v>606.36363640000002</v>
      </c>
      <c r="L195" s="34">
        <v>2.987012987</v>
      </c>
      <c r="M195" s="34">
        <v>1.493506494</v>
      </c>
      <c r="N195" s="34">
        <v>1.818181818</v>
      </c>
      <c r="O195" s="34">
        <v>1.875</v>
      </c>
      <c r="P195" s="34">
        <v>1.987012987</v>
      </c>
      <c r="Q195" s="34">
        <v>0</v>
      </c>
      <c r="R195" s="34">
        <v>1.233766234</v>
      </c>
      <c r="S195" s="34">
        <v>1.5043290039999999</v>
      </c>
      <c r="T195" s="34">
        <v>1.737012987</v>
      </c>
      <c r="U195" s="34">
        <v>2.4675324679999999</v>
      </c>
      <c r="V195" s="34">
        <v>2.256493506</v>
      </c>
      <c r="W195" s="34">
        <v>2.3160173159999999</v>
      </c>
      <c r="X195" s="34">
        <v>2.0454545450000001</v>
      </c>
      <c r="Y195" s="34">
        <v>2.2402597399999999</v>
      </c>
      <c r="Z195" s="34">
        <v>2.4350649350000002</v>
      </c>
    </row>
    <row r="196" spans="1:26" ht="15.75" x14ac:dyDescent="0.25">
      <c r="A196" s="38">
        <v>3591</v>
      </c>
      <c r="B196" s="33">
        <v>2404</v>
      </c>
      <c r="C196" s="33" t="s">
        <v>14</v>
      </c>
      <c r="D196" s="33" t="s">
        <v>15</v>
      </c>
      <c r="E196" s="33" t="s">
        <v>15</v>
      </c>
      <c r="F196" s="38">
        <v>431.81818179999999</v>
      </c>
      <c r="G196" s="34">
        <v>463.63636359999998</v>
      </c>
      <c r="H196" s="34">
        <v>485.45454549999999</v>
      </c>
      <c r="I196" s="34">
        <v>511.36363640000002</v>
      </c>
      <c r="J196" s="34">
        <v>537.72727269999996</v>
      </c>
      <c r="K196" s="34">
        <v>583.18181819999995</v>
      </c>
      <c r="L196" s="34">
        <v>2.2727272730000001</v>
      </c>
      <c r="M196" s="34">
        <v>1.915584416</v>
      </c>
      <c r="N196" s="34">
        <v>1.893939394</v>
      </c>
      <c r="O196" s="34">
        <v>1.891233766</v>
      </c>
      <c r="P196" s="34">
        <v>2.1623376620000001</v>
      </c>
      <c r="Q196" s="34">
        <v>1.5584415579999999</v>
      </c>
      <c r="R196" s="34">
        <v>1.7045454550000001</v>
      </c>
      <c r="S196" s="34">
        <v>1.764069264</v>
      </c>
      <c r="T196" s="34">
        <v>2.1347402600000001</v>
      </c>
      <c r="U196" s="34">
        <v>1.8506493509999999</v>
      </c>
      <c r="V196" s="34">
        <v>1.866883117</v>
      </c>
      <c r="W196" s="34">
        <v>2.3268398270000001</v>
      </c>
      <c r="X196" s="34">
        <v>1.883116883</v>
      </c>
      <c r="Y196" s="34">
        <v>2.5649350649999998</v>
      </c>
      <c r="Z196" s="34">
        <v>3.246753247</v>
      </c>
    </row>
    <row r="197" spans="1:26" ht="15.75" x14ac:dyDescent="0.25">
      <c r="A197" s="38">
        <v>3599</v>
      </c>
      <c r="B197" s="33">
        <v>2404</v>
      </c>
      <c r="C197" s="33" t="s">
        <v>20</v>
      </c>
      <c r="D197" s="33" t="s">
        <v>21</v>
      </c>
      <c r="E197" s="33" t="s">
        <v>15</v>
      </c>
      <c r="F197" s="38">
        <v>428.18181820000001</v>
      </c>
      <c r="G197" s="34">
        <v>444.54545450000001</v>
      </c>
      <c r="H197" s="34">
        <v>472.72727270000001</v>
      </c>
      <c r="I197" s="34">
        <v>505.90909090000002</v>
      </c>
      <c r="J197" s="34">
        <v>530.90909090000002</v>
      </c>
      <c r="K197" s="34">
        <v>552.72727269999996</v>
      </c>
      <c r="L197" s="34">
        <v>1.1688311689999999</v>
      </c>
      <c r="M197" s="34">
        <v>1.5909090910000001</v>
      </c>
      <c r="N197" s="34">
        <v>1.8506493509999999</v>
      </c>
      <c r="O197" s="34">
        <v>1.834415584</v>
      </c>
      <c r="P197" s="34">
        <v>1.7792207790000001</v>
      </c>
      <c r="Q197" s="34">
        <v>2.012987013</v>
      </c>
      <c r="R197" s="34">
        <v>2.1915584419999998</v>
      </c>
      <c r="S197" s="34">
        <v>2.0562770559999999</v>
      </c>
      <c r="T197" s="34">
        <v>1.931818182</v>
      </c>
      <c r="U197" s="34">
        <v>2.37012987</v>
      </c>
      <c r="V197" s="34">
        <v>2.0779220779999998</v>
      </c>
      <c r="W197" s="34">
        <v>1.904761905</v>
      </c>
      <c r="X197" s="34">
        <v>1.7857142859999999</v>
      </c>
      <c r="Y197" s="34">
        <v>1.6720779219999999</v>
      </c>
      <c r="Z197" s="34">
        <v>1.5584415579999999</v>
      </c>
    </row>
    <row r="198" spans="1:26" ht="15.75" x14ac:dyDescent="0.25">
      <c r="A198" s="38">
        <v>3602</v>
      </c>
      <c r="B198" s="33">
        <v>2404</v>
      </c>
      <c r="C198" s="33" t="s">
        <v>27</v>
      </c>
      <c r="D198" s="33" t="s">
        <v>15</v>
      </c>
      <c r="E198" s="33" t="s">
        <v>24</v>
      </c>
      <c r="F198" s="38">
        <v>426.36363640000002</v>
      </c>
      <c r="G198" s="34">
        <v>455</v>
      </c>
      <c r="H198" s="34">
        <v>469.54545450000001</v>
      </c>
      <c r="I198" s="34">
        <v>502.27272729999999</v>
      </c>
      <c r="J198" s="34">
        <v>530</v>
      </c>
      <c r="K198" s="34">
        <v>551.36363640000002</v>
      </c>
      <c r="L198" s="34">
        <v>2.0454545450000001</v>
      </c>
      <c r="M198" s="34">
        <v>1.5422077919999999</v>
      </c>
      <c r="N198" s="34">
        <v>1.807359307</v>
      </c>
      <c r="O198" s="34">
        <v>1.8506493509999999</v>
      </c>
      <c r="P198" s="34">
        <v>1.7857142859999999</v>
      </c>
      <c r="Q198" s="34">
        <v>1.0389610389999999</v>
      </c>
      <c r="R198" s="34">
        <v>1.688311688</v>
      </c>
      <c r="S198" s="34">
        <v>1.7857142859999999</v>
      </c>
      <c r="T198" s="34">
        <v>1.7207792209999999</v>
      </c>
      <c r="U198" s="34">
        <v>2.3376623379999999</v>
      </c>
      <c r="V198" s="34">
        <v>2.1590909090000001</v>
      </c>
      <c r="W198" s="34">
        <v>1.948051948</v>
      </c>
      <c r="X198" s="34">
        <v>1.980519481</v>
      </c>
      <c r="Y198" s="34">
        <v>1.753246753</v>
      </c>
      <c r="Z198" s="34">
        <v>1.5259740260000001</v>
      </c>
    </row>
    <row r="199" spans="1:26" ht="15.75" x14ac:dyDescent="0.25">
      <c r="A199" s="38">
        <v>3608</v>
      </c>
      <c r="B199" s="33">
        <v>2404</v>
      </c>
      <c r="C199" s="33" t="s">
        <v>20</v>
      </c>
      <c r="D199" s="33" t="s">
        <v>21</v>
      </c>
      <c r="E199" s="33" t="s">
        <v>15</v>
      </c>
      <c r="F199" s="38">
        <v>463.63636359999998</v>
      </c>
      <c r="G199" s="34">
        <v>480.90909090000002</v>
      </c>
      <c r="H199" s="34">
        <v>508.63636359999998</v>
      </c>
      <c r="I199" s="34">
        <v>546.36363640000002</v>
      </c>
      <c r="J199" s="34">
        <v>579.09090909999998</v>
      </c>
      <c r="K199" s="34">
        <v>609.09090909999998</v>
      </c>
      <c r="L199" s="34">
        <v>1.233766234</v>
      </c>
      <c r="M199" s="34">
        <v>1.6071428569999999</v>
      </c>
      <c r="N199" s="34">
        <v>1.96969697</v>
      </c>
      <c r="O199" s="34">
        <v>2.0616883119999998</v>
      </c>
      <c r="P199" s="34">
        <v>2.0779220779999998</v>
      </c>
      <c r="Q199" s="34">
        <v>1.980519481</v>
      </c>
      <c r="R199" s="34">
        <v>2.3376623379999999</v>
      </c>
      <c r="S199" s="34">
        <v>2.3376623379999999</v>
      </c>
      <c r="T199" s="34">
        <v>2.2889610390000001</v>
      </c>
      <c r="U199" s="34">
        <v>2.6948051949999998</v>
      </c>
      <c r="V199" s="34">
        <v>2.516233766</v>
      </c>
      <c r="W199" s="34">
        <v>2.3917748919999999</v>
      </c>
      <c r="X199" s="34">
        <v>2.3376623379999999</v>
      </c>
      <c r="Y199" s="34">
        <v>2.2402597399999999</v>
      </c>
      <c r="Z199" s="34">
        <v>2.1428571430000001</v>
      </c>
    </row>
    <row r="200" spans="1:26" ht="15.75" x14ac:dyDescent="0.25">
      <c r="A200" s="38">
        <v>3609</v>
      </c>
      <c r="B200" s="33">
        <v>2404</v>
      </c>
      <c r="C200" s="33" t="s">
        <v>20</v>
      </c>
      <c r="D200" s="33" t="s">
        <v>21</v>
      </c>
      <c r="E200" s="33" t="s">
        <v>15</v>
      </c>
      <c r="F200" s="38">
        <v>492.27272729999999</v>
      </c>
      <c r="G200" s="34">
        <v>505.90909090000002</v>
      </c>
      <c r="H200" s="34">
        <v>512.27272730000004</v>
      </c>
      <c r="I200" s="34">
        <v>549.54545450000001</v>
      </c>
      <c r="J200" s="34">
        <v>574.54545450000001</v>
      </c>
      <c r="K200" s="34">
        <v>623.63636359999998</v>
      </c>
      <c r="L200" s="34">
        <v>0.97402597400000002</v>
      </c>
      <c r="M200" s="34">
        <v>0.71428571399999996</v>
      </c>
      <c r="N200" s="34">
        <v>1.363636364</v>
      </c>
      <c r="O200" s="34">
        <v>1.4691558440000001</v>
      </c>
      <c r="P200" s="34">
        <v>1.876623377</v>
      </c>
      <c r="Q200" s="34">
        <v>0.45454545499999999</v>
      </c>
      <c r="R200" s="34">
        <v>1.5584415579999999</v>
      </c>
      <c r="S200" s="34">
        <v>1.6341991339999999</v>
      </c>
      <c r="T200" s="34">
        <v>2.1022727269999999</v>
      </c>
      <c r="U200" s="34">
        <v>2.6623376620000001</v>
      </c>
      <c r="V200" s="34">
        <v>2.2240259739999999</v>
      </c>
      <c r="W200" s="34">
        <v>2.651515152</v>
      </c>
      <c r="X200" s="34">
        <v>1.7857142859999999</v>
      </c>
      <c r="Y200" s="34">
        <v>2.6461038960000001</v>
      </c>
      <c r="Z200" s="34">
        <v>3.506493506</v>
      </c>
    </row>
    <row r="201" spans="1:26" ht="15.75" x14ac:dyDescent="0.25">
      <c r="A201" s="38">
        <v>3617</v>
      </c>
      <c r="B201" s="33">
        <v>2404</v>
      </c>
      <c r="C201" s="33" t="s">
        <v>20</v>
      </c>
      <c r="D201" s="33" t="s">
        <v>21</v>
      </c>
      <c r="E201" s="33" t="s">
        <v>15</v>
      </c>
      <c r="F201" s="38">
        <v>386.81818179999999</v>
      </c>
      <c r="G201" s="34">
        <v>402.27272729999999</v>
      </c>
      <c r="H201" s="34">
        <v>413.63636359999998</v>
      </c>
      <c r="I201" s="34">
        <v>435.90909090000002</v>
      </c>
      <c r="J201" s="34">
        <v>458.63636359999998</v>
      </c>
      <c r="K201" s="34">
        <v>484.09090909999998</v>
      </c>
      <c r="L201" s="34">
        <v>1.1038961039999999</v>
      </c>
      <c r="M201" s="34">
        <v>0.95779220799999998</v>
      </c>
      <c r="N201" s="34">
        <v>1.1688311689999999</v>
      </c>
      <c r="O201" s="34">
        <v>1.2824675320000001</v>
      </c>
      <c r="P201" s="34">
        <v>1.3896103900000001</v>
      </c>
      <c r="Q201" s="34">
        <v>0.81168831200000002</v>
      </c>
      <c r="R201" s="34">
        <v>1.201298701</v>
      </c>
      <c r="S201" s="34">
        <v>1.341991342</v>
      </c>
      <c r="T201" s="34">
        <v>1.4610389610000001</v>
      </c>
      <c r="U201" s="34">
        <v>1.5909090910000001</v>
      </c>
      <c r="V201" s="34">
        <v>1.6071428569999999</v>
      </c>
      <c r="W201" s="34">
        <v>1.677489177</v>
      </c>
      <c r="X201" s="34">
        <v>1.623376623</v>
      </c>
      <c r="Y201" s="34">
        <v>1.7207792209999999</v>
      </c>
      <c r="Z201" s="34">
        <v>1.818181818</v>
      </c>
    </row>
    <row r="202" spans="1:26" ht="15.75" x14ac:dyDescent="0.25">
      <c r="A202" s="38">
        <v>3623</v>
      </c>
      <c r="B202" s="33">
        <v>2404</v>
      </c>
      <c r="C202" s="33" t="s">
        <v>20</v>
      </c>
      <c r="D202" s="33" t="s">
        <v>21</v>
      </c>
      <c r="E202" s="33" t="s">
        <v>15</v>
      </c>
      <c r="F202" s="38">
        <v>474.54545450000001</v>
      </c>
      <c r="G202" s="34">
        <v>499.09090909999998</v>
      </c>
      <c r="H202" s="34">
        <v>523.18181819999995</v>
      </c>
      <c r="I202" s="34">
        <v>557.27272730000004</v>
      </c>
      <c r="J202" s="34">
        <v>581.81818180000005</v>
      </c>
      <c r="K202" s="34">
        <v>613.18181819999995</v>
      </c>
      <c r="L202" s="34">
        <v>1.753246753</v>
      </c>
      <c r="M202" s="34">
        <v>1.737012987</v>
      </c>
      <c r="N202" s="34">
        <v>1.96969697</v>
      </c>
      <c r="O202" s="34">
        <v>1.915584416</v>
      </c>
      <c r="P202" s="34">
        <v>1.980519481</v>
      </c>
      <c r="Q202" s="34">
        <v>1.7207792209999999</v>
      </c>
      <c r="R202" s="34">
        <v>2.0779220779999998</v>
      </c>
      <c r="S202" s="34">
        <v>1.96969697</v>
      </c>
      <c r="T202" s="34">
        <v>2.0373376620000001</v>
      </c>
      <c r="U202" s="34">
        <v>2.4350649350000002</v>
      </c>
      <c r="V202" s="34">
        <v>2.0941558439999999</v>
      </c>
      <c r="W202" s="34">
        <v>2.1428571430000001</v>
      </c>
      <c r="X202" s="34">
        <v>1.753246753</v>
      </c>
      <c r="Y202" s="34">
        <v>1.996753247</v>
      </c>
      <c r="Z202" s="34">
        <v>2.2402597399999999</v>
      </c>
    </row>
    <row r="203" spans="1:26" ht="15.75" x14ac:dyDescent="0.25">
      <c r="A203" s="38">
        <v>3629</v>
      </c>
      <c r="B203" s="33">
        <v>2404</v>
      </c>
      <c r="C203" s="33" t="s">
        <v>27</v>
      </c>
      <c r="D203" s="33" t="s">
        <v>15</v>
      </c>
      <c r="E203" s="33" t="s">
        <v>24</v>
      </c>
      <c r="F203" s="38">
        <v>453.63636359999998</v>
      </c>
      <c r="G203" s="34">
        <v>481.36363640000002</v>
      </c>
      <c r="H203" s="34">
        <v>501.81818179999999</v>
      </c>
      <c r="I203" s="34">
        <v>527.27272730000004</v>
      </c>
      <c r="J203" s="34">
        <v>557.72727269999996</v>
      </c>
      <c r="K203" s="34">
        <v>598.18181819999995</v>
      </c>
      <c r="L203" s="34">
        <v>1.980519481</v>
      </c>
      <c r="M203" s="34">
        <v>1.7207792209999999</v>
      </c>
      <c r="N203" s="34">
        <v>1.753246753</v>
      </c>
      <c r="O203" s="34">
        <v>1.858766234</v>
      </c>
      <c r="P203" s="34">
        <v>2.0649350649999998</v>
      </c>
      <c r="Q203" s="34">
        <v>1.4610389610000001</v>
      </c>
      <c r="R203" s="34">
        <v>1.6396103900000001</v>
      </c>
      <c r="S203" s="34">
        <v>1.818181818</v>
      </c>
      <c r="T203" s="34">
        <v>2.0860389609999999</v>
      </c>
      <c r="U203" s="34">
        <v>1.818181818</v>
      </c>
      <c r="V203" s="34">
        <v>1.996753247</v>
      </c>
      <c r="W203" s="34">
        <v>2.294372294</v>
      </c>
      <c r="X203" s="34">
        <v>2.1753246750000002</v>
      </c>
      <c r="Y203" s="34">
        <v>2.5324675320000001</v>
      </c>
      <c r="Z203" s="34">
        <v>2.8896103900000001</v>
      </c>
    </row>
    <row r="204" spans="1:26" ht="15.75" x14ac:dyDescent="0.25">
      <c r="A204" s="38">
        <v>3639</v>
      </c>
      <c r="B204" s="33">
        <v>2404</v>
      </c>
      <c r="C204" s="33" t="s">
        <v>14</v>
      </c>
      <c r="D204" s="33" t="s">
        <v>15</v>
      </c>
      <c r="E204" s="33" t="s">
        <v>15</v>
      </c>
      <c r="F204" s="38">
        <v>466.36363640000002</v>
      </c>
      <c r="G204" s="34">
        <v>500.90909090000002</v>
      </c>
      <c r="H204" s="34">
        <v>522.27272730000004</v>
      </c>
      <c r="I204" s="34">
        <v>547.27272730000004</v>
      </c>
      <c r="J204" s="34">
        <v>580</v>
      </c>
      <c r="K204" s="34">
        <v>619.09090909999998</v>
      </c>
      <c r="L204" s="34">
        <v>2.4675324679999999</v>
      </c>
      <c r="M204" s="34">
        <v>1.996753247</v>
      </c>
      <c r="N204" s="34">
        <v>1.9264069260000001</v>
      </c>
      <c r="O204" s="34">
        <v>2.0292207790000001</v>
      </c>
      <c r="P204" s="34">
        <v>2.1818181820000002</v>
      </c>
      <c r="Q204" s="34">
        <v>1.5259740260000001</v>
      </c>
      <c r="R204" s="34">
        <v>1.6558441559999999</v>
      </c>
      <c r="S204" s="34">
        <v>1.883116883</v>
      </c>
      <c r="T204" s="34">
        <v>2.1103896099999999</v>
      </c>
      <c r="U204" s="34">
        <v>1.7857142859999999</v>
      </c>
      <c r="V204" s="34">
        <v>2.0616883119999998</v>
      </c>
      <c r="W204" s="34">
        <v>2.3051948050000002</v>
      </c>
      <c r="X204" s="34">
        <v>2.3376623379999999</v>
      </c>
      <c r="Y204" s="34">
        <v>2.5649350649999998</v>
      </c>
      <c r="Z204" s="34">
        <v>2.7922077920000001</v>
      </c>
    </row>
    <row r="205" spans="1:26" ht="15.75" x14ac:dyDescent="0.25">
      <c r="A205" s="38">
        <v>3655</v>
      </c>
      <c r="B205" s="33">
        <v>2404</v>
      </c>
      <c r="C205" s="33" t="s">
        <v>20</v>
      </c>
      <c r="D205" s="33" t="s">
        <v>21</v>
      </c>
      <c r="E205" s="33" t="s">
        <v>15</v>
      </c>
      <c r="F205" s="38">
        <v>437.72727270000001</v>
      </c>
      <c r="G205" s="34">
        <v>450.90909090000002</v>
      </c>
      <c r="H205" s="34">
        <v>474.54545450000001</v>
      </c>
      <c r="I205" s="34">
        <v>507.72727270000001</v>
      </c>
      <c r="J205" s="34">
        <v>532.72727269999996</v>
      </c>
      <c r="K205" s="34">
        <v>577.72727269999996</v>
      </c>
      <c r="L205" s="34">
        <v>0.94155844200000005</v>
      </c>
      <c r="M205" s="34">
        <v>1.314935065</v>
      </c>
      <c r="N205" s="34">
        <v>1.6666666670000001</v>
      </c>
      <c r="O205" s="34">
        <v>1.696428571</v>
      </c>
      <c r="P205" s="34">
        <v>2</v>
      </c>
      <c r="Q205" s="34">
        <v>1.688311688</v>
      </c>
      <c r="R205" s="34">
        <v>2.0292207790000001</v>
      </c>
      <c r="S205" s="34">
        <v>1.948051948</v>
      </c>
      <c r="T205" s="34">
        <v>2.2646103900000001</v>
      </c>
      <c r="U205" s="34">
        <v>2.37012987</v>
      </c>
      <c r="V205" s="34">
        <v>2.0779220779999998</v>
      </c>
      <c r="W205" s="34">
        <v>2.4567099570000002</v>
      </c>
      <c r="X205" s="34">
        <v>1.7857142859999999</v>
      </c>
      <c r="Y205" s="34">
        <v>2.5</v>
      </c>
      <c r="Z205" s="34">
        <v>3.2142857139999998</v>
      </c>
    </row>
    <row r="206" spans="1:26" ht="15.75" x14ac:dyDescent="0.25">
      <c r="A206" s="38">
        <v>3660</v>
      </c>
      <c r="B206" s="33">
        <v>2404</v>
      </c>
      <c r="C206" s="33" t="s">
        <v>23</v>
      </c>
      <c r="D206" s="33" t="s">
        <v>21</v>
      </c>
      <c r="E206" s="33" t="s">
        <v>24</v>
      </c>
      <c r="F206" s="38">
        <v>426.81818179999999</v>
      </c>
      <c r="G206" s="34">
        <v>384.54545450000001</v>
      </c>
      <c r="H206" s="34">
        <v>383.18181820000001</v>
      </c>
      <c r="I206" s="34">
        <v>418.63636359999998</v>
      </c>
      <c r="J206" s="34">
        <v>445.45454549999999</v>
      </c>
      <c r="K206" s="34">
        <v>480</v>
      </c>
      <c r="L206" s="34">
        <v>-3.019480519</v>
      </c>
      <c r="M206" s="34">
        <v>-1.5584415579999999</v>
      </c>
      <c r="N206" s="34">
        <v>-0.19480519499999999</v>
      </c>
      <c r="O206" s="34">
        <v>0.33279220799999998</v>
      </c>
      <c r="P206" s="34">
        <v>0.75974025999999995</v>
      </c>
      <c r="Q206" s="34">
        <v>-9.7402596999999994E-2</v>
      </c>
      <c r="R206" s="34">
        <v>1.2175324679999999</v>
      </c>
      <c r="S206" s="34">
        <v>1.4502164500000001</v>
      </c>
      <c r="T206" s="34">
        <v>1.7045454550000001</v>
      </c>
      <c r="U206" s="34">
        <v>2.5324675320000001</v>
      </c>
      <c r="V206" s="34">
        <v>2.2240259739999999</v>
      </c>
      <c r="W206" s="34">
        <v>2.3051948050000002</v>
      </c>
      <c r="X206" s="34">
        <v>1.915584416</v>
      </c>
      <c r="Y206" s="34">
        <v>2.1915584419999998</v>
      </c>
      <c r="Z206" s="34">
        <v>2.4675324679999999</v>
      </c>
    </row>
    <row r="207" spans="1:26" ht="15.75" x14ac:dyDescent="0.25">
      <c r="A207" s="38">
        <v>3662</v>
      </c>
      <c r="B207" s="33">
        <v>2404</v>
      </c>
      <c r="C207" s="33" t="s">
        <v>23</v>
      </c>
      <c r="D207" s="33" t="s">
        <v>21</v>
      </c>
      <c r="E207" s="33" t="s">
        <v>24</v>
      </c>
      <c r="F207" s="38">
        <v>370</v>
      </c>
      <c r="G207" s="34">
        <v>385.45454549999999</v>
      </c>
      <c r="H207" s="34">
        <v>396.81818179999999</v>
      </c>
      <c r="I207" s="34">
        <v>422.72727270000001</v>
      </c>
      <c r="J207" s="34">
        <v>448.18181820000001</v>
      </c>
      <c r="K207" s="34">
        <v>489.09090909999998</v>
      </c>
      <c r="L207" s="34">
        <v>1.1038961039999999</v>
      </c>
      <c r="M207" s="34">
        <v>0.95779220799999998</v>
      </c>
      <c r="N207" s="34">
        <v>1.2554112550000001</v>
      </c>
      <c r="O207" s="34">
        <v>1.3961038960000001</v>
      </c>
      <c r="P207" s="34">
        <v>1.701298701</v>
      </c>
      <c r="Q207" s="34">
        <v>0.81168831200000002</v>
      </c>
      <c r="R207" s="34">
        <v>1.3311688310000001</v>
      </c>
      <c r="S207" s="34">
        <v>1.493506494</v>
      </c>
      <c r="T207" s="34">
        <v>1.8506493509999999</v>
      </c>
      <c r="U207" s="34">
        <v>1.8506493509999999</v>
      </c>
      <c r="V207" s="34">
        <v>1.834415584</v>
      </c>
      <c r="W207" s="34">
        <v>2.1969696970000001</v>
      </c>
      <c r="X207" s="34">
        <v>1.818181818</v>
      </c>
      <c r="Y207" s="34">
        <v>2.37012987</v>
      </c>
      <c r="Z207" s="34">
        <v>2.9220779220000002</v>
      </c>
    </row>
    <row r="208" spans="1:26" ht="15.75" x14ac:dyDescent="0.25">
      <c r="A208" s="38">
        <v>3678</v>
      </c>
      <c r="B208" s="33">
        <v>2404</v>
      </c>
      <c r="C208" s="33" t="s">
        <v>20</v>
      </c>
      <c r="D208" s="33" t="s">
        <v>21</v>
      </c>
      <c r="E208" s="33" t="s">
        <v>15</v>
      </c>
      <c r="F208" s="38">
        <v>411.81818179999999</v>
      </c>
      <c r="G208" s="34">
        <v>416.81818179999999</v>
      </c>
      <c r="H208" s="34">
        <v>446.36363640000002</v>
      </c>
      <c r="I208" s="34">
        <v>470.90909090000002</v>
      </c>
      <c r="J208" s="34">
        <v>486.36363640000002</v>
      </c>
      <c r="K208" s="34">
        <v>516.36363640000002</v>
      </c>
      <c r="L208" s="34">
        <v>0.35714285699999998</v>
      </c>
      <c r="M208" s="34">
        <v>1.233766234</v>
      </c>
      <c r="N208" s="34">
        <v>1.406926407</v>
      </c>
      <c r="O208" s="34">
        <v>1.3311688310000001</v>
      </c>
      <c r="P208" s="34">
        <v>1.493506494</v>
      </c>
      <c r="Q208" s="34">
        <v>2.1103896099999999</v>
      </c>
      <c r="R208" s="34">
        <v>1.931818182</v>
      </c>
      <c r="S208" s="34">
        <v>1.6558441559999999</v>
      </c>
      <c r="T208" s="34">
        <v>1.7775974029999999</v>
      </c>
      <c r="U208" s="34">
        <v>1.753246753</v>
      </c>
      <c r="V208" s="34">
        <v>1.428571429</v>
      </c>
      <c r="W208" s="34">
        <v>1.6666666670000001</v>
      </c>
      <c r="X208" s="34">
        <v>1.1038961039999999</v>
      </c>
      <c r="Y208" s="34">
        <v>1.623376623</v>
      </c>
      <c r="Z208" s="34">
        <v>2.1428571430000001</v>
      </c>
    </row>
    <row r="209" spans="1:26" ht="15.75" x14ac:dyDescent="0.25">
      <c r="A209" s="38">
        <v>3501</v>
      </c>
      <c r="B209" s="33">
        <v>2404</v>
      </c>
      <c r="C209" s="33" t="s">
        <v>14</v>
      </c>
      <c r="D209" s="33" t="s">
        <v>15</v>
      </c>
      <c r="E209" s="33" t="s">
        <v>15</v>
      </c>
      <c r="F209" s="38">
        <v>477.27272729999999</v>
      </c>
      <c r="G209" s="34">
        <v>491.81818179999999</v>
      </c>
      <c r="H209" s="34">
        <v>508.18181820000001</v>
      </c>
      <c r="I209" s="34">
        <v>531.81818180000005</v>
      </c>
      <c r="J209" s="34">
        <v>559.54545450000001</v>
      </c>
      <c r="K209" s="34">
        <v>596.36363640000002</v>
      </c>
      <c r="L209" s="34">
        <v>1.0389610389999999</v>
      </c>
      <c r="M209" s="34">
        <v>1.1038961039999999</v>
      </c>
      <c r="N209" s="34">
        <v>1.298701299</v>
      </c>
      <c r="O209" s="34">
        <v>1.4691558440000001</v>
      </c>
      <c r="P209" s="34">
        <v>1.701298701</v>
      </c>
      <c r="Q209" s="34">
        <v>1.1688311689999999</v>
      </c>
      <c r="R209" s="34">
        <v>1.428571429</v>
      </c>
      <c r="S209" s="34">
        <v>1.6125541130000001</v>
      </c>
      <c r="T209" s="34">
        <v>1.866883117</v>
      </c>
      <c r="U209" s="34">
        <v>1.688311688</v>
      </c>
      <c r="V209" s="34">
        <v>1.834415584</v>
      </c>
      <c r="W209" s="34">
        <v>2.0995670999999998</v>
      </c>
      <c r="X209" s="34">
        <v>1.980519481</v>
      </c>
      <c r="Y209" s="34">
        <v>2.3051948050000002</v>
      </c>
      <c r="Z209" s="34">
        <v>2.62987013</v>
      </c>
    </row>
    <row r="210" spans="1:26" ht="15.75" x14ac:dyDescent="0.25">
      <c r="A210" s="38">
        <v>3504</v>
      </c>
      <c r="B210" s="33">
        <v>2404</v>
      </c>
      <c r="C210" s="33" t="s">
        <v>20</v>
      </c>
      <c r="D210" s="33" t="s">
        <v>21</v>
      </c>
      <c r="E210" s="33" t="s">
        <v>15</v>
      </c>
      <c r="F210" s="38">
        <v>410</v>
      </c>
      <c r="G210" s="34">
        <v>435</v>
      </c>
      <c r="H210" s="34">
        <v>467.72727270000001</v>
      </c>
      <c r="I210" s="34">
        <v>495.90909090000002</v>
      </c>
      <c r="J210" s="34">
        <v>503.18181820000001</v>
      </c>
      <c r="K210" s="34">
        <v>534.09090909999998</v>
      </c>
      <c r="L210" s="34">
        <v>1.7857142859999999</v>
      </c>
      <c r="M210" s="34">
        <v>2.0616883119999998</v>
      </c>
      <c r="N210" s="34">
        <v>2.0454545450000001</v>
      </c>
      <c r="O210" s="34">
        <v>1.6639610389999999</v>
      </c>
      <c r="P210" s="34">
        <v>1.7727272730000001</v>
      </c>
      <c r="Q210" s="34">
        <v>2.3376623379999999</v>
      </c>
      <c r="R210" s="34">
        <v>2.1753246750000002</v>
      </c>
      <c r="S210" s="34">
        <v>1.623376623</v>
      </c>
      <c r="T210" s="34">
        <v>1.769480519</v>
      </c>
      <c r="U210" s="34">
        <v>2.012987013</v>
      </c>
      <c r="V210" s="34">
        <v>1.266233766</v>
      </c>
      <c r="W210" s="34">
        <v>1.5800865799999999</v>
      </c>
      <c r="X210" s="34">
        <v>0.51948051900000003</v>
      </c>
      <c r="Y210" s="34">
        <v>1.363636364</v>
      </c>
      <c r="Z210" s="34">
        <v>2.2077922079999999</v>
      </c>
    </row>
    <row r="211" spans="1:26" ht="15.75" x14ac:dyDescent="0.25">
      <c r="A211" s="38">
        <v>3511</v>
      </c>
      <c r="B211" s="33">
        <v>2404</v>
      </c>
      <c r="C211" s="33" t="s">
        <v>14</v>
      </c>
      <c r="D211" s="33" t="s">
        <v>15</v>
      </c>
      <c r="E211" s="33" t="s">
        <v>15</v>
      </c>
      <c r="F211" s="38">
        <v>565.90909090000002</v>
      </c>
      <c r="G211" s="34">
        <v>587.72727269999996</v>
      </c>
      <c r="H211" s="34">
        <v>611.81818180000005</v>
      </c>
      <c r="I211" s="34">
        <v>637.72727269999996</v>
      </c>
      <c r="J211" s="34">
        <v>673.18181819999995</v>
      </c>
      <c r="K211" s="34">
        <v>707.27272730000004</v>
      </c>
      <c r="L211" s="34">
        <v>1.5584415579999999</v>
      </c>
      <c r="M211" s="34">
        <v>1.6396103900000001</v>
      </c>
      <c r="N211" s="34">
        <v>1.7099567099999999</v>
      </c>
      <c r="O211" s="34">
        <v>1.915584416</v>
      </c>
      <c r="P211" s="34">
        <v>2.019480519</v>
      </c>
      <c r="Q211" s="34">
        <v>1.7207792209999999</v>
      </c>
      <c r="R211" s="34">
        <v>1.7857142859999999</v>
      </c>
      <c r="S211" s="34">
        <v>2.034632035</v>
      </c>
      <c r="T211" s="34">
        <v>2.1347402600000001</v>
      </c>
      <c r="U211" s="34">
        <v>1.8506493509999999</v>
      </c>
      <c r="V211" s="34">
        <v>2.1915584419999998</v>
      </c>
      <c r="W211" s="34">
        <v>2.2727272730000001</v>
      </c>
      <c r="X211" s="34">
        <v>2.5324675320000001</v>
      </c>
      <c r="Y211" s="34">
        <v>2.483766234</v>
      </c>
      <c r="Z211" s="34">
        <v>2.4350649350000002</v>
      </c>
    </row>
    <row r="212" spans="1:26" ht="15.75" x14ac:dyDescent="0.25">
      <c r="A212" s="38">
        <v>3521</v>
      </c>
      <c r="B212" s="33">
        <v>2404</v>
      </c>
      <c r="C212" s="33" t="s">
        <v>14</v>
      </c>
      <c r="D212" s="33" t="s">
        <v>15</v>
      </c>
      <c r="E212" s="33" t="s">
        <v>15</v>
      </c>
      <c r="F212" s="38">
        <v>520</v>
      </c>
      <c r="G212" s="34">
        <v>547.72727269999996</v>
      </c>
      <c r="H212" s="34">
        <v>588.18181819999995</v>
      </c>
      <c r="I212" s="34">
        <v>620</v>
      </c>
      <c r="J212" s="34">
        <v>639.09090909999998</v>
      </c>
      <c r="K212" s="34">
        <v>661.81818180000005</v>
      </c>
      <c r="L212" s="34">
        <v>1.980519481</v>
      </c>
      <c r="M212" s="34">
        <v>2.4350649350000002</v>
      </c>
      <c r="N212" s="34">
        <v>2.3809523810000002</v>
      </c>
      <c r="O212" s="34">
        <v>2.126623377</v>
      </c>
      <c r="P212" s="34">
        <v>2.0259740260000001</v>
      </c>
      <c r="Q212" s="34">
        <v>2.8896103900000001</v>
      </c>
      <c r="R212" s="34">
        <v>2.5811688309999998</v>
      </c>
      <c r="S212" s="34">
        <v>2.1753246750000002</v>
      </c>
      <c r="T212" s="34">
        <v>2.0373376620000001</v>
      </c>
      <c r="U212" s="34">
        <v>2.2727272730000001</v>
      </c>
      <c r="V212" s="34">
        <v>1.818181818</v>
      </c>
      <c r="W212" s="34">
        <v>1.753246753</v>
      </c>
      <c r="X212" s="34">
        <v>1.363636364</v>
      </c>
      <c r="Y212" s="34">
        <v>1.493506494</v>
      </c>
      <c r="Z212" s="34">
        <v>1.623376623</v>
      </c>
    </row>
    <row r="213" spans="1:26" ht="15.75" x14ac:dyDescent="0.25">
      <c r="A213" s="38">
        <v>3522</v>
      </c>
      <c r="B213" s="33">
        <v>2404</v>
      </c>
      <c r="C213" s="33" t="s">
        <v>14</v>
      </c>
      <c r="D213" s="33" t="s">
        <v>15</v>
      </c>
      <c r="E213" s="33" t="s">
        <v>15</v>
      </c>
      <c r="F213" s="38">
        <v>534.09090909999998</v>
      </c>
      <c r="G213" s="34">
        <v>522.27272730000004</v>
      </c>
      <c r="H213" s="34">
        <v>570.45454549999999</v>
      </c>
      <c r="I213" s="34">
        <v>582.72727269999996</v>
      </c>
      <c r="J213" s="34">
        <v>614.54545450000001</v>
      </c>
      <c r="K213" s="34">
        <v>632.72727269999996</v>
      </c>
      <c r="L213" s="34">
        <v>-0.84415584399999999</v>
      </c>
      <c r="M213" s="34">
        <v>1.298701299</v>
      </c>
      <c r="N213" s="34">
        <v>1.158008658</v>
      </c>
      <c r="O213" s="34">
        <v>1.436688312</v>
      </c>
      <c r="P213" s="34">
        <v>1.4090909089999999</v>
      </c>
      <c r="Q213" s="34">
        <v>3.4415584419999998</v>
      </c>
      <c r="R213" s="34">
        <v>2.1590909090000001</v>
      </c>
      <c r="S213" s="34">
        <v>2.1969696970000001</v>
      </c>
      <c r="T213" s="34">
        <v>1.9724025970000001</v>
      </c>
      <c r="U213" s="34">
        <v>0.87662337700000004</v>
      </c>
      <c r="V213" s="34">
        <v>1.5746753250000001</v>
      </c>
      <c r="W213" s="34">
        <v>1.482683983</v>
      </c>
      <c r="X213" s="34">
        <v>2.2727272730000001</v>
      </c>
      <c r="Y213" s="34">
        <v>1.7857142859999999</v>
      </c>
      <c r="Z213" s="34">
        <v>1.298701299</v>
      </c>
    </row>
    <row r="214" spans="1:26" ht="15.75" x14ac:dyDescent="0.25">
      <c r="A214" s="38">
        <v>3523</v>
      </c>
      <c r="B214" s="33">
        <v>2404</v>
      </c>
      <c r="C214" s="33" t="s">
        <v>20</v>
      </c>
      <c r="D214" s="33" t="s">
        <v>21</v>
      </c>
      <c r="E214" s="33" t="s">
        <v>15</v>
      </c>
      <c r="F214" s="38">
        <v>532.72727269999996</v>
      </c>
      <c r="G214" s="34">
        <v>562.27272730000004</v>
      </c>
      <c r="H214" s="34">
        <v>586.81818180000005</v>
      </c>
      <c r="I214" s="34">
        <v>609.09090909999998</v>
      </c>
      <c r="J214" s="34">
        <v>605.45454549999999</v>
      </c>
      <c r="K214" s="34">
        <v>653.18181819999995</v>
      </c>
      <c r="L214" s="34">
        <v>2.1103896099999999</v>
      </c>
      <c r="M214" s="34">
        <v>1.931818182</v>
      </c>
      <c r="N214" s="34">
        <v>1.818181818</v>
      </c>
      <c r="O214" s="34">
        <v>1.298701299</v>
      </c>
      <c r="P214" s="34">
        <v>1.7207792209999999</v>
      </c>
      <c r="Q214" s="34">
        <v>1.753246753</v>
      </c>
      <c r="R214" s="34">
        <v>1.6720779219999999</v>
      </c>
      <c r="S214" s="34">
        <v>1.0281385279999999</v>
      </c>
      <c r="T214" s="34">
        <v>1.623376623</v>
      </c>
      <c r="U214" s="34">
        <v>1.5909090910000001</v>
      </c>
      <c r="V214" s="34">
        <v>0.66558441599999996</v>
      </c>
      <c r="W214" s="34">
        <v>1.5800865799999999</v>
      </c>
      <c r="X214" s="34">
        <v>-0.25974026</v>
      </c>
      <c r="Y214" s="34">
        <v>1.5746753250000001</v>
      </c>
      <c r="Z214" s="34">
        <v>3.4090909090000001</v>
      </c>
    </row>
    <row r="215" spans="1:26" ht="15.75" x14ac:dyDescent="0.25">
      <c r="A215" s="38">
        <v>3534</v>
      </c>
      <c r="B215" s="33">
        <v>2404</v>
      </c>
      <c r="C215" s="33" t="s">
        <v>20</v>
      </c>
      <c r="D215" s="33" t="s">
        <v>21</v>
      </c>
      <c r="E215" s="33" t="s">
        <v>15</v>
      </c>
      <c r="F215" s="38">
        <v>487.27272729999999</v>
      </c>
      <c r="G215" s="34">
        <v>495.90909090000002</v>
      </c>
      <c r="H215" s="34">
        <v>515.45454549999999</v>
      </c>
      <c r="I215" s="34">
        <v>530.90909090000002</v>
      </c>
      <c r="J215" s="34">
        <v>552.72727269999996</v>
      </c>
      <c r="K215" s="34">
        <v>585.45454549999999</v>
      </c>
      <c r="L215" s="34">
        <v>0.61688311699999998</v>
      </c>
      <c r="M215" s="34">
        <v>1.006493506</v>
      </c>
      <c r="N215" s="34">
        <v>1.0389610389999999</v>
      </c>
      <c r="O215" s="34">
        <v>1.1688311689999999</v>
      </c>
      <c r="P215" s="34">
        <v>1.4025974029999999</v>
      </c>
      <c r="Q215" s="34">
        <v>1.3961038960000001</v>
      </c>
      <c r="R215" s="34">
        <v>1.25</v>
      </c>
      <c r="S215" s="34">
        <v>1.352813853</v>
      </c>
      <c r="T215" s="34">
        <v>1.5990259739999999</v>
      </c>
      <c r="U215" s="34">
        <v>1.1038961039999999</v>
      </c>
      <c r="V215" s="34">
        <v>1.3311688310000001</v>
      </c>
      <c r="W215" s="34">
        <v>1.6666666670000001</v>
      </c>
      <c r="X215" s="34">
        <v>1.5584415579999999</v>
      </c>
      <c r="Y215" s="34">
        <v>1.948051948</v>
      </c>
      <c r="Z215" s="34">
        <v>2.3376623379999999</v>
      </c>
    </row>
    <row r="216" spans="1:26" ht="15.75" x14ac:dyDescent="0.25">
      <c r="A216" s="38">
        <v>3538</v>
      </c>
      <c r="B216" s="33">
        <v>2404</v>
      </c>
      <c r="C216" s="33" t="s">
        <v>14</v>
      </c>
      <c r="D216" s="33" t="s">
        <v>15</v>
      </c>
      <c r="E216" s="33" t="s">
        <v>15</v>
      </c>
      <c r="F216" s="38">
        <v>491.36363640000002</v>
      </c>
      <c r="G216" s="34">
        <v>520.45454549999999</v>
      </c>
      <c r="H216" s="34">
        <v>545</v>
      </c>
      <c r="I216" s="34">
        <v>579.09090909999998</v>
      </c>
      <c r="J216" s="34">
        <v>606.81818180000005</v>
      </c>
      <c r="K216" s="34">
        <v>660.90909090000002</v>
      </c>
      <c r="L216" s="34">
        <v>2.0779220779999998</v>
      </c>
      <c r="M216" s="34">
        <v>1.915584416</v>
      </c>
      <c r="N216" s="34">
        <v>2.088744589</v>
      </c>
      <c r="O216" s="34">
        <v>2.0616883119999998</v>
      </c>
      <c r="P216" s="34">
        <v>2.4220779220000002</v>
      </c>
      <c r="Q216" s="34">
        <v>1.753246753</v>
      </c>
      <c r="R216" s="34">
        <v>2.0941558439999999</v>
      </c>
      <c r="S216" s="34">
        <v>2.0562770559999999</v>
      </c>
      <c r="T216" s="34">
        <v>2.508116883</v>
      </c>
      <c r="U216" s="34">
        <v>2.4350649350000002</v>
      </c>
      <c r="V216" s="34">
        <v>2.2077922079999999</v>
      </c>
      <c r="W216" s="34">
        <v>2.7597402600000001</v>
      </c>
      <c r="X216" s="34">
        <v>1.980519481</v>
      </c>
      <c r="Y216" s="34">
        <v>2.9220779220000002</v>
      </c>
      <c r="Z216" s="34">
        <v>3.863636364</v>
      </c>
    </row>
    <row r="217" spans="1:26" ht="15.75" x14ac:dyDescent="0.25">
      <c r="A217" s="38">
        <v>3545</v>
      </c>
      <c r="B217" s="33">
        <v>2404</v>
      </c>
      <c r="C217" s="33" t="s">
        <v>27</v>
      </c>
      <c r="D217" s="33" t="s">
        <v>15</v>
      </c>
      <c r="E217" s="33" t="s">
        <v>24</v>
      </c>
      <c r="F217" s="38">
        <v>558.63636359999998</v>
      </c>
      <c r="G217" s="34">
        <v>574.54545450000001</v>
      </c>
      <c r="H217" s="34">
        <v>615.45454549999999</v>
      </c>
      <c r="I217" s="34">
        <v>613.18181819999995</v>
      </c>
      <c r="J217" s="34">
        <v>658.63636359999998</v>
      </c>
      <c r="K217" s="34">
        <v>683.63636359999998</v>
      </c>
      <c r="L217" s="34">
        <v>1.136363636</v>
      </c>
      <c r="M217" s="34">
        <v>2.0292207790000001</v>
      </c>
      <c r="N217" s="34">
        <v>1.298701299</v>
      </c>
      <c r="O217" s="34">
        <v>1.7857142859999999</v>
      </c>
      <c r="P217" s="34">
        <v>1.7857142859999999</v>
      </c>
      <c r="Q217" s="34">
        <v>2.9220779220000002</v>
      </c>
      <c r="R217" s="34">
        <v>1.37987013</v>
      </c>
      <c r="S217" s="34">
        <v>2.0021645019999998</v>
      </c>
      <c r="T217" s="34">
        <v>1.948051948</v>
      </c>
      <c r="U217" s="34">
        <v>-0.16233766199999999</v>
      </c>
      <c r="V217" s="34">
        <v>1.5422077919999999</v>
      </c>
      <c r="W217" s="34">
        <v>1.623376623</v>
      </c>
      <c r="X217" s="34">
        <v>3.246753247</v>
      </c>
      <c r="Y217" s="34">
        <v>2.516233766</v>
      </c>
      <c r="Z217" s="34">
        <v>1.7857142859999999</v>
      </c>
    </row>
    <row r="218" spans="1:26" ht="15.75" x14ac:dyDescent="0.25">
      <c r="A218" s="38">
        <v>3554</v>
      </c>
      <c r="B218" s="33">
        <v>2404</v>
      </c>
      <c r="C218" s="33" t="s">
        <v>20</v>
      </c>
      <c r="D218" s="33" t="s">
        <v>21</v>
      </c>
      <c r="E218" s="33" t="s">
        <v>15</v>
      </c>
      <c r="F218" s="38">
        <v>476.36363640000002</v>
      </c>
      <c r="G218" s="34">
        <v>497.72727270000001</v>
      </c>
      <c r="H218" s="34">
        <v>536.36363640000002</v>
      </c>
      <c r="I218" s="34">
        <v>557.72727269999996</v>
      </c>
      <c r="J218" s="34">
        <v>585.90909090000002</v>
      </c>
      <c r="K218" s="34">
        <v>625.45454549999999</v>
      </c>
      <c r="L218" s="34">
        <v>1.5259740260000001</v>
      </c>
      <c r="M218" s="34">
        <v>2.1428571430000001</v>
      </c>
      <c r="N218" s="34">
        <v>1.9372294370000001</v>
      </c>
      <c r="O218" s="34">
        <v>1.9561688310000001</v>
      </c>
      <c r="P218" s="34">
        <v>2.12987013</v>
      </c>
      <c r="Q218" s="34">
        <v>2.7597402600000001</v>
      </c>
      <c r="R218" s="34">
        <v>2.1428571430000001</v>
      </c>
      <c r="S218" s="34">
        <v>2.0995670999999998</v>
      </c>
      <c r="T218" s="34">
        <v>2.2808441560000001</v>
      </c>
      <c r="U218" s="34">
        <v>1.5259740260000001</v>
      </c>
      <c r="V218" s="34">
        <v>1.769480519</v>
      </c>
      <c r="W218" s="34">
        <v>2.1212121210000001</v>
      </c>
      <c r="X218" s="34">
        <v>2.012987013</v>
      </c>
      <c r="Y218" s="34">
        <v>2.4188311690000002</v>
      </c>
      <c r="Z218" s="34">
        <v>2.8246753249999998</v>
      </c>
    </row>
    <row r="219" spans="1:26" ht="15.75" x14ac:dyDescent="0.25">
      <c r="A219" s="38">
        <v>3557</v>
      </c>
      <c r="B219" s="33">
        <v>2404</v>
      </c>
      <c r="C219" s="33" t="s">
        <v>23</v>
      </c>
      <c r="D219" s="33" t="s">
        <v>21</v>
      </c>
      <c r="E219" s="33" t="s">
        <v>24</v>
      </c>
      <c r="F219" s="38">
        <v>442.27272729999999</v>
      </c>
      <c r="G219" s="34">
        <v>472.27272729999999</v>
      </c>
      <c r="H219" s="34">
        <v>497.27272729999999</v>
      </c>
      <c r="I219" s="34">
        <v>525</v>
      </c>
      <c r="J219" s="34">
        <v>554.09090909999998</v>
      </c>
      <c r="K219" s="34">
        <v>597.27272730000004</v>
      </c>
      <c r="L219" s="34">
        <v>2.1428571430000001</v>
      </c>
      <c r="M219" s="34">
        <v>1.9642857140000001</v>
      </c>
      <c r="N219" s="34">
        <v>1.96969697</v>
      </c>
      <c r="O219" s="34">
        <v>1.996753247</v>
      </c>
      <c r="P219" s="34">
        <v>2.2142857139999998</v>
      </c>
      <c r="Q219" s="34">
        <v>1.7857142859999999</v>
      </c>
      <c r="R219" s="34">
        <v>1.883116883</v>
      </c>
      <c r="S219" s="34">
        <v>1.948051948</v>
      </c>
      <c r="T219" s="34">
        <v>2.2321428569999999</v>
      </c>
      <c r="U219" s="34">
        <v>1.980519481</v>
      </c>
      <c r="V219" s="34">
        <v>2.0292207790000001</v>
      </c>
      <c r="W219" s="34">
        <v>2.3809523810000002</v>
      </c>
      <c r="X219" s="34">
        <v>2.0779220779999998</v>
      </c>
      <c r="Y219" s="34">
        <v>2.5811688309999998</v>
      </c>
      <c r="Z219" s="34">
        <v>3.0844155839999998</v>
      </c>
    </row>
    <row r="220" spans="1:26" ht="15.75" x14ac:dyDescent="0.25">
      <c r="A220" s="38">
        <v>3559</v>
      </c>
      <c r="B220" s="33">
        <v>2404</v>
      </c>
      <c r="C220" s="33" t="s">
        <v>20</v>
      </c>
      <c r="D220" s="33" t="s">
        <v>21</v>
      </c>
      <c r="E220" s="33" t="s">
        <v>15</v>
      </c>
      <c r="F220" s="38">
        <v>453.63636359999998</v>
      </c>
      <c r="G220" s="34">
        <v>462.72727270000001</v>
      </c>
      <c r="H220" s="34">
        <v>484.54545450000001</v>
      </c>
      <c r="I220" s="34">
        <v>515.90909090000002</v>
      </c>
      <c r="J220" s="34">
        <v>542.27272730000004</v>
      </c>
      <c r="K220" s="34">
        <v>570.90909090000002</v>
      </c>
      <c r="L220" s="34">
        <v>0.64935064899999995</v>
      </c>
      <c r="M220" s="34">
        <v>1.1038961039999999</v>
      </c>
      <c r="N220" s="34">
        <v>1.482683983</v>
      </c>
      <c r="O220" s="34">
        <v>1.5827922080000001</v>
      </c>
      <c r="P220" s="34">
        <v>1.6753246749999999</v>
      </c>
      <c r="Q220" s="34">
        <v>1.5584415579999999</v>
      </c>
      <c r="R220" s="34">
        <v>1.8993506490000001</v>
      </c>
      <c r="S220" s="34">
        <v>1.893939394</v>
      </c>
      <c r="T220" s="34">
        <v>1.931818182</v>
      </c>
      <c r="U220" s="34">
        <v>2.2402597399999999</v>
      </c>
      <c r="V220" s="34">
        <v>2.0616883119999998</v>
      </c>
      <c r="W220" s="34">
        <v>2.0562770559999999</v>
      </c>
      <c r="X220" s="34">
        <v>1.883116883</v>
      </c>
      <c r="Y220" s="34">
        <v>1.9642857140000001</v>
      </c>
      <c r="Z220" s="34">
        <v>2.0454545450000001</v>
      </c>
    </row>
    <row r="221" spans="1:26" ht="15.75" x14ac:dyDescent="0.25">
      <c r="A221" s="38">
        <v>3570</v>
      </c>
      <c r="B221" s="33">
        <v>2404</v>
      </c>
      <c r="C221" s="33" t="s">
        <v>23</v>
      </c>
      <c r="D221" s="33" t="s">
        <v>21</v>
      </c>
      <c r="E221" s="33" t="s">
        <v>24</v>
      </c>
      <c r="F221" s="38">
        <v>432.72727270000001</v>
      </c>
      <c r="G221" s="34">
        <v>460</v>
      </c>
      <c r="H221" s="34">
        <v>475.45454549999999</v>
      </c>
      <c r="I221" s="34">
        <v>475</v>
      </c>
      <c r="J221" s="34">
        <v>492.27272729999999</v>
      </c>
      <c r="K221" s="34">
        <v>510.90909090000002</v>
      </c>
      <c r="L221" s="34">
        <v>1.948051948</v>
      </c>
      <c r="M221" s="34">
        <v>1.5259740260000001</v>
      </c>
      <c r="N221" s="34">
        <v>1.006493506</v>
      </c>
      <c r="O221" s="34">
        <v>1.063311688</v>
      </c>
      <c r="P221" s="34">
        <v>1.116883117</v>
      </c>
      <c r="Q221" s="34">
        <v>1.1038961039999999</v>
      </c>
      <c r="R221" s="34">
        <v>0.53571428600000004</v>
      </c>
      <c r="S221" s="34">
        <v>0.768398268</v>
      </c>
      <c r="T221" s="34">
        <v>0.909090909</v>
      </c>
      <c r="U221" s="34">
        <v>-3.2467532E-2</v>
      </c>
      <c r="V221" s="34">
        <v>0.60064935100000005</v>
      </c>
      <c r="W221" s="34">
        <v>0.84415584399999999</v>
      </c>
      <c r="X221" s="34">
        <v>1.233766234</v>
      </c>
      <c r="Y221" s="34">
        <v>1.2824675320000001</v>
      </c>
      <c r="Z221" s="34">
        <v>1.3311688310000001</v>
      </c>
    </row>
    <row r="222" spans="1:26" ht="15.75" x14ac:dyDescent="0.25">
      <c r="A222" s="38">
        <v>3571</v>
      </c>
      <c r="B222" s="33">
        <v>2404</v>
      </c>
      <c r="C222" s="33" t="s">
        <v>20</v>
      </c>
      <c r="D222" s="33" t="s">
        <v>21</v>
      </c>
      <c r="E222" s="33" t="s">
        <v>15</v>
      </c>
      <c r="F222" s="38">
        <v>458.18181820000001</v>
      </c>
      <c r="G222" s="34">
        <v>501.81818179999999</v>
      </c>
      <c r="H222" s="34">
        <v>521.81818180000005</v>
      </c>
      <c r="I222" s="34">
        <v>547.72727269999996</v>
      </c>
      <c r="J222" s="34">
        <v>579.09090909999998</v>
      </c>
      <c r="K222" s="34">
        <v>605.90909090000002</v>
      </c>
      <c r="L222" s="34">
        <v>3.116883117</v>
      </c>
      <c r="M222" s="34">
        <v>2.2727272730000001</v>
      </c>
      <c r="N222" s="34">
        <v>2.1320346319999999</v>
      </c>
      <c r="O222" s="34">
        <v>2.1590909090000001</v>
      </c>
      <c r="P222" s="34">
        <v>2.1103896099999999</v>
      </c>
      <c r="Q222" s="34">
        <v>1.428571429</v>
      </c>
      <c r="R222" s="34">
        <v>1.6396103900000001</v>
      </c>
      <c r="S222" s="34">
        <v>1.83982684</v>
      </c>
      <c r="T222" s="34">
        <v>1.858766234</v>
      </c>
      <c r="U222" s="34">
        <v>1.8506493509999999</v>
      </c>
      <c r="V222" s="34">
        <v>2.0454545450000001</v>
      </c>
      <c r="W222" s="34">
        <v>2.0021645019999998</v>
      </c>
      <c r="X222" s="34">
        <v>2.2402597399999999</v>
      </c>
      <c r="Y222" s="34">
        <v>2.0779220779999998</v>
      </c>
      <c r="Z222" s="34">
        <v>1.915584416</v>
      </c>
    </row>
    <row r="223" spans="1:26" ht="15.75" x14ac:dyDescent="0.25">
      <c r="A223" s="38">
        <v>3581</v>
      </c>
      <c r="B223" s="33">
        <v>2404</v>
      </c>
      <c r="C223" s="33" t="s">
        <v>20</v>
      </c>
      <c r="D223" s="33" t="s">
        <v>21</v>
      </c>
      <c r="E223" s="33" t="s">
        <v>15</v>
      </c>
      <c r="F223" s="38">
        <v>460.45454549999999</v>
      </c>
      <c r="G223" s="34">
        <v>491.36363640000002</v>
      </c>
      <c r="H223" s="34">
        <v>518.63636359999998</v>
      </c>
      <c r="I223" s="34">
        <v>542.72727269999996</v>
      </c>
      <c r="J223" s="34">
        <v>574.09090909999998</v>
      </c>
      <c r="K223" s="34">
        <v>604.54545450000001</v>
      </c>
      <c r="L223" s="34">
        <v>2.2077922079999999</v>
      </c>
      <c r="M223" s="34">
        <v>2.0779220779999998</v>
      </c>
      <c r="N223" s="34">
        <v>1.958874459</v>
      </c>
      <c r="O223" s="34">
        <v>2.0292207790000001</v>
      </c>
      <c r="P223" s="34">
        <v>2.0584415580000002</v>
      </c>
      <c r="Q223" s="34">
        <v>1.948051948</v>
      </c>
      <c r="R223" s="34">
        <v>1.834415584</v>
      </c>
      <c r="S223" s="34">
        <v>1.96969697</v>
      </c>
      <c r="T223" s="34">
        <v>2.0211038960000001</v>
      </c>
      <c r="U223" s="34">
        <v>1.7207792209999999</v>
      </c>
      <c r="V223" s="34">
        <v>1.980519481</v>
      </c>
      <c r="W223" s="34">
        <v>2.0454545450000001</v>
      </c>
      <c r="X223" s="34">
        <v>2.2402597399999999</v>
      </c>
      <c r="Y223" s="34">
        <v>2.2077922079999999</v>
      </c>
      <c r="Z223" s="34">
        <v>2.1753246750000002</v>
      </c>
    </row>
    <row r="224" spans="1:26" ht="15.75" x14ac:dyDescent="0.25">
      <c r="A224" s="38">
        <v>3586</v>
      </c>
      <c r="B224" s="33">
        <v>2404</v>
      </c>
      <c r="C224" s="33" t="s">
        <v>27</v>
      </c>
      <c r="D224" s="33" t="s">
        <v>15</v>
      </c>
      <c r="E224" s="33" t="s">
        <v>24</v>
      </c>
      <c r="F224" s="38">
        <v>571.36363640000002</v>
      </c>
      <c r="G224" s="34">
        <v>582.72727269999996</v>
      </c>
      <c r="H224" s="34">
        <v>627.27272730000004</v>
      </c>
      <c r="I224" s="34">
        <v>662.72727269999996</v>
      </c>
      <c r="J224" s="34">
        <v>690.90909090000002</v>
      </c>
      <c r="K224" s="34">
        <v>730.90909090000002</v>
      </c>
      <c r="L224" s="34">
        <v>0.81168831200000002</v>
      </c>
      <c r="M224" s="34">
        <v>1.996753247</v>
      </c>
      <c r="N224" s="34">
        <v>2.1753246750000002</v>
      </c>
      <c r="O224" s="34">
        <v>2.1347402600000001</v>
      </c>
      <c r="P224" s="34">
        <v>2.2792207790000001</v>
      </c>
      <c r="Q224" s="34">
        <v>3.1818181820000002</v>
      </c>
      <c r="R224" s="34">
        <v>2.8571428569999999</v>
      </c>
      <c r="S224" s="34">
        <v>2.575757576</v>
      </c>
      <c r="T224" s="34">
        <v>2.6461038960000001</v>
      </c>
      <c r="U224" s="34">
        <v>2.5324675320000001</v>
      </c>
      <c r="V224" s="34">
        <v>2.2727272730000001</v>
      </c>
      <c r="W224" s="34">
        <v>2.4675324679999999</v>
      </c>
      <c r="X224" s="34">
        <v>2.012987013</v>
      </c>
      <c r="Y224" s="34">
        <v>2.4350649350000002</v>
      </c>
      <c r="Z224" s="34">
        <v>2.8571428569999999</v>
      </c>
    </row>
    <row r="225" spans="1:26" ht="15.75" x14ac:dyDescent="0.25">
      <c r="A225" s="38">
        <v>3587</v>
      </c>
      <c r="B225" s="33">
        <v>2404</v>
      </c>
      <c r="C225" s="33" t="s">
        <v>27</v>
      </c>
      <c r="D225" s="33" t="s">
        <v>15</v>
      </c>
      <c r="E225" s="33" t="s">
        <v>24</v>
      </c>
      <c r="F225" s="38">
        <v>486.81818179999999</v>
      </c>
      <c r="G225" s="34">
        <v>513.63636359999998</v>
      </c>
      <c r="H225" s="34">
        <v>538.18181819999995</v>
      </c>
      <c r="I225" s="34">
        <v>568.18181819999995</v>
      </c>
      <c r="J225" s="34">
        <v>597.27272730000004</v>
      </c>
      <c r="K225" s="34">
        <v>632.27272730000004</v>
      </c>
      <c r="L225" s="34">
        <v>1.915584416</v>
      </c>
      <c r="M225" s="34">
        <v>1.834415584</v>
      </c>
      <c r="N225" s="34">
        <v>1.9372294370000001</v>
      </c>
      <c r="O225" s="34">
        <v>1.9724025970000001</v>
      </c>
      <c r="P225" s="34">
        <v>2.0779220779999998</v>
      </c>
      <c r="Q225" s="34">
        <v>1.753246753</v>
      </c>
      <c r="R225" s="34">
        <v>1.948051948</v>
      </c>
      <c r="S225" s="34">
        <v>1.9913419910000001</v>
      </c>
      <c r="T225" s="34">
        <v>2.118506494</v>
      </c>
      <c r="U225" s="34">
        <v>2.1428571430000001</v>
      </c>
      <c r="V225" s="34">
        <v>2.1103896099999999</v>
      </c>
      <c r="W225" s="34">
        <v>2.2402597399999999</v>
      </c>
      <c r="X225" s="34">
        <v>2.0779220779999998</v>
      </c>
      <c r="Y225" s="34">
        <v>2.2889610390000001</v>
      </c>
      <c r="Z225" s="34">
        <v>2.5</v>
      </c>
    </row>
    <row r="226" spans="1:26" ht="15.75" x14ac:dyDescent="0.25">
      <c r="A226" s="38">
        <v>3593</v>
      </c>
      <c r="B226" s="33">
        <v>2404</v>
      </c>
      <c r="C226" s="33" t="s">
        <v>23</v>
      </c>
      <c r="D226" s="33" t="s">
        <v>21</v>
      </c>
      <c r="E226" s="33" t="s">
        <v>24</v>
      </c>
      <c r="F226" s="38">
        <v>414.54545450000001</v>
      </c>
      <c r="G226" s="34">
        <v>432.72727270000001</v>
      </c>
      <c r="H226" s="34">
        <v>448.63636359999998</v>
      </c>
      <c r="I226" s="34">
        <v>474.54545450000001</v>
      </c>
      <c r="J226" s="34">
        <v>504.54545450000001</v>
      </c>
      <c r="K226" s="34">
        <v>527.27272730000004</v>
      </c>
      <c r="L226" s="34">
        <v>1.298701299</v>
      </c>
      <c r="M226" s="34">
        <v>1.2175324679999999</v>
      </c>
      <c r="N226" s="34">
        <v>1.428571429</v>
      </c>
      <c r="O226" s="34">
        <v>1.6071428569999999</v>
      </c>
      <c r="P226" s="34">
        <v>1.6103896099999999</v>
      </c>
      <c r="Q226" s="34">
        <v>1.136363636</v>
      </c>
      <c r="R226" s="34">
        <v>1.493506494</v>
      </c>
      <c r="S226" s="34">
        <v>1.7099567099999999</v>
      </c>
      <c r="T226" s="34">
        <v>1.688311688</v>
      </c>
      <c r="U226" s="34">
        <v>1.8506493509999999</v>
      </c>
      <c r="V226" s="34">
        <v>1.996753247</v>
      </c>
      <c r="W226" s="34">
        <v>1.872294372</v>
      </c>
      <c r="X226" s="34">
        <v>2.1428571430000001</v>
      </c>
      <c r="Y226" s="34">
        <v>1.883116883</v>
      </c>
      <c r="Z226" s="34">
        <v>1.623376623</v>
      </c>
    </row>
    <row r="227" spans="1:26" ht="15.75" x14ac:dyDescent="0.25">
      <c r="A227" s="38">
        <v>3598</v>
      </c>
      <c r="B227" s="33">
        <v>2404</v>
      </c>
      <c r="C227" s="33" t="s">
        <v>27</v>
      </c>
      <c r="D227" s="33" t="s">
        <v>15</v>
      </c>
      <c r="E227" s="33" t="s">
        <v>24</v>
      </c>
      <c r="F227" s="38">
        <v>512.72727269999996</v>
      </c>
      <c r="G227" s="34">
        <v>535.90909090000002</v>
      </c>
      <c r="H227" s="34">
        <v>556.81818180000005</v>
      </c>
      <c r="I227" s="34">
        <v>585</v>
      </c>
      <c r="J227" s="34">
        <v>614.54545450000001</v>
      </c>
      <c r="K227" s="34">
        <v>667.27272730000004</v>
      </c>
      <c r="L227" s="34">
        <v>1.6558441559999999</v>
      </c>
      <c r="M227" s="34">
        <v>1.5746753250000001</v>
      </c>
      <c r="N227" s="34">
        <v>1.7207792209999999</v>
      </c>
      <c r="O227" s="34">
        <v>1.818181818</v>
      </c>
      <c r="P227" s="34">
        <v>2.2077922079999999</v>
      </c>
      <c r="Q227" s="34">
        <v>1.493506494</v>
      </c>
      <c r="R227" s="34">
        <v>1.753246753</v>
      </c>
      <c r="S227" s="34">
        <v>1.872294372</v>
      </c>
      <c r="T227" s="34">
        <v>2.3457792209999999</v>
      </c>
      <c r="U227" s="34">
        <v>2.012987013</v>
      </c>
      <c r="V227" s="34">
        <v>2.0616883119999998</v>
      </c>
      <c r="W227" s="34">
        <v>2.62987013</v>
      </c>
      <c r="X227" s="34">
        <v>2.1103896099999999</v>
      </c>
      <c r="Y227" s="34">
        <v>2.9383116880000002</v>
      </c>
      <c r="Z227" s="34">
        <v>3.766233766</v>
      </c>
    </row>
    <row r="228" spans="1:26" ht="15.75" x14ac:dyDescent="0.25">
      <c r="A228" s="38">
        <v>3603</v>
      </c>
      <c r="B228" s="33">
        <v>2404</v>
      </c>
      <c r="C228" s="33" t="s">
        <v>20</v>
      </c>
      <c r="D228" s="33" t="s">
        <v>21</v>
      </c>
      <c r="E228" s="33" t="s">
        <v>15</v>
      </c>
      <c r="F228" s="38">
        <v>457.72727270000001</v>
      </c>
      <c r="G228" s="34">
        <v>491.81818179999999</v>
      </c>
      <c r="H228" s="34">
        <v>517.72727269999996</v>
      </c>
      <c r="I228" s="34">
        <v>540.90909090000002</v>
      </c>
      <c r="J228" s="34">
        <v>570.45454549999999</v>
      </c>
      <c r="K228" s="34">
        <v>602.72727269999996</v>
      </c>
      <c r="L228" s="34">
        <v>2.4350649350000002</v>
      </c>
      <c r="M228" s="34">
        <v>2.1428571430000001</v>
      </c>
      <c r="N228" s="34">
        <v>1.980519481</v>
      </c>
      <c r="O228" s="34">
        <v>2.012987013</v>
      </c>
      <c r="P228" s="34">
        <v>2.0714285710000002</v>
      </c>
      <c r="Q228" s="34">
        <v>1.8506493509999999</v>
      </c>
      <c r="R228" s="34">
        <v>1.753246753</v>
      </c>
      <c r="S228" s="34">
        <v>1.872294372</v>
      </c>
      <c r="T228" s="34">
        <v>1.980519481</v>
      </c>
      <c r="U228" s="34">
        <v>1.6558441559999999</v>
      </c>
      <c r="V228" s="34">
        <v>1.883116883</v>
      </c>
      <c r="W228" s="34">
        <v>2.0238095239999998</v>
      </c>
      <c r="X228" s="34">
        <v>2.1103896099999999</v>
      </c>
      <c r="Y228" s="34">
        <v>2.2077922079999999</v>
      </c>
      <c r="Z228" s="34">
        <v>2.3051948050000002</v>
      </c>
    </row>
    <row r="229" spans="1:26" ht="15.75" x14ac:dyDescent="0.25">
      <c r="A229" s="38">
        <v>3607</v>
      </c>
      <c r="B229" s="33">
        <v>2404</v>
      </c>
      <c r="C229" s="33" t="s">
        <v>20</v>
      </c>
      <c r="D229" s="33" t="s">
        <v>21</v>
      </c>
      <c r="E229" s="33" t="s">
        <v>15</v>
      </c>
      <c r="F229" s="38">
        <v>493.63636359999998</v>
      </c>
      <c r="G229" s="34">
        <v>497.27272729999999</v>
      </c>
      <c r="H229" s="34">
        <v>543.18181819999995</v>
      </c>
      <c r="I229" s="34">
        <v>557.27272730000004</v>
      </c>
      <c r="J229" s="34">
        <v>590.45454549999999</v>
      </c>
      <c r="K229" s="34">
        <v>628.18181819999995</v>
      </c>
      <c r="L229" s="34">
        <v>0.25974026</v>
      </c>
      <c r="M229" s="34">
        <v>1.769480519</v>
      </c>
      <c r="N229" s="34">
        <v>1.5151515149999999</v>
      </c>
      <c r="O229" s="34">
        <v>1.7288961039999999</v>
      </c>
      <c r="P229" s="34">
        <v>1.9220779219999999</v>
      </c>
      <c r="Q229" s="34">
        <v>3.2792207790000001</v>
      </c>
      <c r="R229" s="34">
        <v>2.1428571430000001</v>
      </c>
      <c r="S229" s="34">
        <v>2.2186147190000001</v>
      </c>
      <c r="T229" s="34">
        <v>2.3376623379999999</v>
      </c>
      <c r="U229" s="34">
        <v>1.006493506</v>
      </c>
      <c r="V229" s="34">
        <v>1.688311688</v>
      </c>
      <c r="W229" s="34">
        <v>2.0238095239999998</v>
      </c>
      <c r="X229" s="34">
        <v>2.37012987</v>
      </c>
      <c r="Y229" s="34">
        <v>2.5324675320000001</v>
      </c>
      <c r="Z229" s="34">
        <v>2.6948051949999998</v>
      </c>
    </row>
    <row r="230" spans="1:26" ht="15.75" x14ac:dyDescent="0.25">
      <c r="A230" s="38">
        <v>3610</v>
      </c>
      <c r="B230" s="33">
        <v>2404</v>
      </c>
      <c r="C230" s="33" t="s">
        <v>23</v>
      </c>
      <c r="D230" s="33" t="s">
        <v>21</v>
      </c>
      <c r="E230" s="33" t="s">
        <v>24</v>
      </c>
      <c r="F230" s="38">
        <v>447.27272729999999</v>
      </c>
      <c r="G230" s="34">
        <v>445.90909090000002</v>
      </c>
      <c r="H230" s="34">
        <v>484.54545450000001</v>
      </c>
      <c r="I230" s="34">
        <v>507.27272729999999</v>
      </c>
      <c r="J230" s="34">
        <v>517.72727269999996</v>
      </c>
      <c r="K230" s="34">
        <v>541.81818180000005</v>
      </c>
      <c r="L230" s="34">
        <v>-9.7402596999999994E-2</v>
      </c>
      <c r="M230" s="34">
        <v>1.3311688310000001</v>
      </c>
      <c r="N230" s="34">
        <v>1.428571429</v>
      </c>
      <c r="O230" s="34">
        <v>1.258116883</v>
      </c>
      <c r="P230" s="34">
        <v>1.3506493509999999</v>
      </c>
      <c r="Q230" s="34">
        <v>2.7597402600000001</v>
      </c>
      <c r="R230" s="34">
        <v>2.1915584419999998</v>
      </c>
      <c r="S230" s="34">
        <v>1.7099567099999999</v>
      </c>
      <c r="T230" s="34">
        <v>1.7126623379999999</v>
      </c>
      <c r="U230" s="34">
        <v>1.623376623</v>
      </c>
      <c r="V230" s="34">
        <v>1.185064935</v>
      </c>
      <c r="W230" s="34">
        <v>1.363636364</v>
      </c>
      <c r="X230" s="34">
        <v>0.74675324700000001</v>
      </c>
      <c r="Y230" s="34">
        <v>1.233766234</v>
      </c>
      <c r="Z230" s="34">
        <v>1.7207792209999999</v>
      </c>
    </row>
    <row r="231" spans="1:26" ht="15.75" x14ac:dyDescent="0.25">
      <c r="A231" s="38">
        <v>3636</v>
      </c>
      <c r="B231" s="33">
        <v>2404</v>
      </c>
      <c r="C231" s="33" t="s">
        <v>27</v>
      </c>
      <c r="D231" s="33" t="s">
        <v>15</v>
      </c>
      <c r="E231" s="33" t="s">
        <v>24</v>
      </c>
      <c r="F231" s="38">
        <v>492.27272729999999</v>
      </c>
      <c r="G231" s="34">
        <v>517.27272730000004</v>
      </c>
      <c r="H231" s="34">
        <v>539.54545450000001</v>
      </c>
      <c r="I231" s="34">
        <v>575</v>
      </c>
      <c r="J231" s="34">
        <v>603.63636359999998</v>
      </c>
      <c r="K231" s="34">
        <v>591.36363640000002</v>
      </c>
      <c r="L231" s="34">
        <v>1.7857142859999999</v>
      </c>
      <c r="M231" s="34">
        <v>1.688311688</v>
      </c>
      <c r="N231" s="34">
        <v>1.96969697</v>
      </c>
      <c r="O231" s="34">
        <v>1.988636364</v>
      </c>
      <c r="P231" s="34">
        <v>1.415584416</v>
      </c>
      <c r="Q231" s="34">
        <v>1.5909090910000001</v>
      </c>
      <c r="R231" s="34">
        <v>2.0616883119999998</v>
      </c>
      <c r="S231" s="34">
        <v>2.0562770559999999</v>
      </c>
      <c r="T231" s="34">
        <v>1.323051948</v>
      </c>
      <c r="U231" s="34">
        <v>2.5324675320000001</v>
      </c>
      <c r="V231" s="34">
        <v>2.2889610390000001</v>
      </c>
      <c r="W231" s="34">
        <v>1.233766234</v>
      </c>
      <c r="X231" s="34">
        <v>2.0454545450000001</v>
      </c>
      <c r="Y231" s="34">
        <v>0.58441558400000004</v>
      </c>
      <c r="Z231" s="34">
        <v>-0.87662337700000004</v>
      </c>
    </row>
    <row r="232" spans="1:26" ht="15.75" x14ac:dyDescent="0.25">
      <c r="A232" s="38">
        <v>3642</v>
      </c>
      <c r="B232" s="33">
        <v>2404</v>
      </c>
      <c r="C232" s="33" t="s">
        <v>27</v>
      </c>
      <c r="D232" s="33" t="s">
        <v>15</v>
      </c>
      <c r="E232" s="33" t="s">
        <v>24</v>
      </c>
      <c r="F232" s="38">
        <v>447.27272729999999</v>
      </c>
      <c r="G232" s="34">
        <v>461.81818179999999</v>
      </c>
      <c r="H232" s="34">
        <v>482.27272729999999</v>
      </c>
      <c r="I232" s="34">
        <v>511.81818179999999</v>
      </c>
      <c r="J232" s="34">
        <v>542.27272730000004</v>
      </c>
      <c r="K232" s="34">
        <v>576.81818180000005</v>
      </c>
      <c r="L232" s="34">
        <v>1.0389610389999999</v>
      </c>
      <c r="M232" s="34">
        <v>1.25</v>
      </c>
      <c r="N232" s="34">
        <v>1.5367965370000001</v>
      </c>
      <c r="O232" s="34">
        <v>1.696428571</v>
      </c>
      <c r="P232" s="34">
        <v>1.8506493509999999</v>
      </c>
      <c r="Q232" s="34">
        <v>1.4610389610000001</v>
      </c>
      <c r="R232" s="34">
        <v>1.7857142859999999</v>
      </c>
      <c r="S232" s="34">
        <v>1.915584416</v>
      </c>
      <c r="T232" s="34">
        <v>2.0535714289999998</v>
      </c>
      <c r="U232" s="34">
        <v>2.1103896099999999</v>
      </c>
      <c r="V232" s="34">
        <v>2.1428571430000001</v>
      </c>
      <c r="W232" s="34">
        <v>2.2510822510000001</v>
      </c>
      <c r="X232" s="34">
        <v>2.1753246750000002</v>
      </c>
      <c r="Y232" s="34">
        <v>2.3214285710000002</v>
      </c>
      <c r="Z232" s="34">
        <v>2.4675324679999999</v>
      </c>
    </row>
    <row r="233" spans="1:26" ht="15.75" x14ac:dyDescent="0.25">
      <c r="A233" s="38">
        <v>3649</v>
      </c>
      <c r="B233" s="33">
        <v>2404</v>
      </c>
      <c r="C233" s="33" t="s">
        <v>14</v>
      </c>
      <c r="D233" s="33" t="s">
        <v>15</v>
      </c>
      <c r="E233" s="33" t="s">
        <v>15</v>
      </c>
      <c r="F233" s="38">
        <v>424.54545450000001</v>
      </c>
      <c r="G233" s="34">
        <v>467.27272729999999</v>
      </c>
      <c r="H233" s="34">
        <v>489.09090909999998</v>
      </c>
      <c r="I233" s="34">
        <v>509.09090909999998</v>
      </c>
      <c r="J233" s="34">
        <v>534.54545450000001</v>
      </c>
      <c r="K233" s="34">
        <v>575</v>
      </c>
      <c r="L233" s="34">
        <v>3.0519480520000002</v>
      </c>
      <c r="M233" s="34">
        <v>2.3051948050000002</v>
      </c>
      <c r="N233" s="34">
        <v>2.012987013</v>
      </c>
      <c r="O233" s="34">
        <v>1.9642857140000001</v>
      </c>
      <c r="P233" s="34">
        <v>2.1493506490000001</v>
      </c>
      <c r="Q233" s="34">
        <v>1.5584415579999999</v>
      </c>
      <c r="R233" s="34">
        <v>1.493506494</v>
      </c>
      <c r="S233" s="34">
        <v>1.6017316020000001</v>
      </c>
      <c r="T233" s="34">
        <v>1.923701299</v>
      </c>
      <c r="U233" s="34">
        <v>1.428571429</v>
      </c>
      <c r="V233" s="34">
        <v>1.623376623</v>
      </c>
      <c r="W233" s="34">
        <v>2.0454545450000001</v>
      </c>
      <c r="X233" s="34">
        <v>1.818181818</v>
      </c>
      <c r="Y233" s="34">
        <v>2.3538961039999999</v>
      </c>
      <c r="Z233" s="34">
        <v>2.8896103900000001</v>
      </c>
    </row>
    <row r="234" spans="1:26" ht="15.75" x14ac:dyDescent="0.25">
      <c r="A234" s="38">
        <v>3651</v>
      </c>
      <c r="B234" s="33">
        <v>2404</v>
      </c>
      <c r="C234" s="33" t="s">
        <v>20</v>
      </c>
      <c r="D234" s="33" t="s">
        <v>21</v>
      </c>
      <c r="E234" s="33" t="s">
        <v>15</v>
      </c>
      <c r="F234" s="38">
        <v>432.27272729999999</v>
      </c>
      <c r="G234" s="34">
        <v>434.54545450000001</v>
      </c>
      <c r="H234" s="34">
        <v>473.18181820000001</v>
      </c>
      <c r="I234" s="34">
        <v>503.18181820000001</v>
      </c>
      <c r="J234" s="34">
        <v>542.72727269999996</v>
      </c>
      <c r="K234" s="34">
        <v>569.54545450000001</v>
      </c>
      <c r="L234" s="34">
        <v>0.16233766199999999</v>
      </c>
      <c r="M234" s="34">
        <v>1.4610389610000001</v>
      </c>
      <c r="N234" s="34">
        <v>1.688311688</v>
      </c>
      <c r="O234" s="34">
        <v>1.9724025970000001</v>
      </c>
      <c r="P234" s="34">
        <v>1.9610389610000001</v>
      </c>
      <c r="Q234" s="34">
        <v>2.7597402600000001</v>
      </c>
      <c r="R234" s="34">
        <v>2.4512987009999998</v>
      </c>
      <c r="S234" s="34">
        <v>2.575757576</v>
      </c>
      <c r="T234" s="34">
        <v>2.4107142860000002</v>
      </c>
      <c r="U234" s="34">
        <v>2.1428571430000001</v>
      </c>
      <c r="V234" s="34">
        <v>2.483766234</v>
      </c>
      <c r="W234" s="34">
        <v>2.294372294</v>
      </c>
      <c r="X234" s="34">
        <v>2.8246753249999998</v>
      </c>
      <c r="Y234" s="34">
        <v>2.37012987</v>
      </c>
      <c r="Z234" s="34">
        <v>1.915584416</v>
      </c>
    </row>
    <row r="235" spans="1:26" ht="15.75" x14ac:dyDescent="0.25">
      <c r="A235" s="38">
        <v>3653</v>
      </c>
      <c r="B235" s="33">
        <v>2404</v>
      </c>
      <c r="C235" s="33" t="s">
        <v>20</v>
      </c>
      <c r="D235" s="33" t="s">
        <v>21</v>
      </c>
      <c r="E235" s="33" t="s">
        <v>15</v>
      </c>
      <c r="F235" s="38">
        <v>455</v>
      </c>
      <c r="G235" s="34">
        <v>477.72727270000001</v>
      </c>
      <c r="H235" s="34">
        <v>515</v>
      </c>
      <c r="I235" s="34">
        <v>551.81818180000005</v>
      </c>
      <c r="J235" s="34">
        <v>582.72727269999996</v>
      </c>
      <c r="K235" s="34">
        <v>623.63636359999998</v>
      </c>
      <c r="L235" s="34">
        <v>1.623376623</v>
      </c>
      <c r="M235" s="34">
        <v>2.1428571430000001</v>
      </c>
      <c r="N235" s="34">
        <v>2.3051948050000002</v>
      </c>
      <c r="O235" s="34">
        <v>2.2808441560000001</v>
      </c>
      <c r="P235" s="34">
        <v>2.4090909090000001</v>
      </c>
      <c r="Q235" s="34">
        <v>2.6623376620000001</v>
      </c>
      <c r="R235" s="34">
        <v>2.6461038960000001</v>
      </c>
      <c r="S235" s="34">
        <v>2.5</v>
      </c>
      <c r="T235" s="34">
        <v>2.605519481</v>
      </c>
      <c r="U235" s="34">
        <v>2.62987013</v>
      </c>
      <c r="V235" s="34">
        <v>2.4188311690000002</v>
      </c>
      <c r="W235" s="34">
        <v>2.5865800870000002</v>
      </c>
      <c r="X235" s="34">
        <v>2.2077922079999999</v>
      </c>
      <c r="Y235" s="34">
        <v>2.5649350649999998</v>
      </c>
      <c r="Z235" s="34">
        <v>2.9220779220000002</v>
      </c>
    </row>
    <row r="236" spans="1:26" ht="15.75" x14ac:dyDescent="0.25">
      <c r="A236" s="38">
        <v>3677</v>
      </c>
      <c r="B236" s="33">
        <v>2404</v>
      </c>
      <c r="C236" s="33" t="s">
        <v>23</v>
      </c>
      <c r="D236" s="33" t="s">
        <v>21</v>
      </c>
      <c r="E236" s="33" t="s">
        <v>24</v>
      </c>
      <c r="F236" s="38">
        <v>406.81818179999999</v>
      </c>
      <c r="G236" s="34">
        <v>434.09090909999998</v>
      </c>
      <c r="H236" s="34">
        <v>456.36363640000002</v>
      </c>
      <c r="I236" s="34">
        <v>475.90909090000002</v>
      </c>
      <c r="J236" s="34">
        <v>496.36363640000002</v>
      </c>
      <c r="K236" s="34">
        <v>514.54545450000001</v>
      </c>
      <c r="L236" s="34">
        <v>1.948051948</v>
      </c>
      <c r="M236" s="34">
        <v>1.769480519</v>
      </c>
      <c r="N236" s="34">
        <v>1.6450216449999999</v>
      </c>
      <c r="O236" s="34">
        <v>1.5990259739999999</v>
      </c>
      <c r="P236" s="34">
        <v>1.5389610389999999</v>
      </c>
      <c r="Q236" s="34">
        <v>1.5909090910000001</v>
      </c>
      <c r="R236" s="34">
        <v>1.493506494</v>
      </c>
      <c r="S236" s="34">
        <v>1.482683983</v>
      </c>
      <c r="T236" s="34">
        <v>1.436688312</v>
      </c>
      <c r="U236" s="34">
        <v>1.3961038960000001</v>
      </c>
      <c r="V236" s="34">
        <v>1.428571429</v>
      </c>
      <c r="W236" s="34">
        <v>1.3852813850000001</v>
      </c>
      <c r="X236" s="34">
        <v>1.4610389610000001</v>
      </c>
      <c r="Y236" s="34">
        <v>1.37987013</v>
      </c>
      <c r="Z236" s="34">
        <v>1.298701299</v>
      </c>
    </row>
    <row r="237" spans="1:26" ht="15.75" x14ac:dyDescent="0.25">
      <c r="A237" s="38">
        <v>3683</v>
      </c>
      <c r="B237" s="33">
        <v>2404</v>
      </c>
      <c r="C237" s="33" t="s">
        <v>27</v>
      </c>
      <c r="D237" s="33" t="s">
        <v>15</v>
      </c>
      <c r="E237" s="33" t="s">
        <v>24</v>
      </c>
      <c r="F237" s="38">
        <v>481.81818179999999</v>
      </c>
      <c r="G237" s="34">
        <v>515.45454549999999</v>
      </c>
      <c r="H237" s="34">
        <v>542.72727269999996</v>
      </c>
      <c r="I237" s="34">
        <v>576.36363640000002</v>
      </c>
      <c r="J237" s="34">
        <v>606.36363640000002</v>
      </c>
      <c r="K237" s="34">
        <v>643.63636359999998</v>
      </c>
      <c r="L237" s="34">
        <v>2.4025974030000001</v>
      </c>
      <c r="M237" s="34">
        <v>2.1753246750000002</v>
      </c>
      <c r="N237" s="34">
        <v>2.2510822510000001</v>
      </c>
      <c r="O237" s="34">
        <v>2.2240259739999999</v>
      </c>
      <c r="P237" s="34">
        <v>2.3116883119999998</v>
      </c>
      <c r="Q237" s="34">
        <v>1.948051948</v>
      </c>
      <c r="R237" s="34">
        <v>2.1753246750000002</v>
      </c>
      <c r="S237" s="34">
        <v>2.164502165</v>
      </c>
      <c r="T237" s="34">
        <v>2.2889610390000001</v>
      </c>
      <c r="U237" s="34">
        <v>2.4025974030000001</v>
      </c>
      <c r="V237" s="34">
        <v>2.2727272730000001</v>
      </c>
      <c r="W237" s="34">
        <v>2.4025974030000001</v>
      </c>
      <c r="X237" s="34">
        <v>2.1428571430000001</v>
      </c>
      <c r="Y237" s="34">
        <v>2.4025974030000001</v>
      </c>
      <c r="Z237" s="34">
        <v>2.6623376620000001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E002-AB39-4958-B438-B3F10FCA8847}">
  <dimension ref="A1:AV1105"/>
  <sheetViews>
    <sheetView workbookViewId="0">
      <selection sqref="A1:XFD1048576"/>
    </sheetView>
  </sheetViews>
  <sheetFormatPr defaultRowHeight="15" x14ac:dyDescent="0.25"/>
  <sheetData>
    <row r="1" spans="1:48" x14ac:dyDescent="0.25">
      <c r="A1" s="6" t="s">
        <v>138</v>
      </c>
      <c r="B1" s="6" t="s">
        <v>2</v>
      </c>
      <c r="C1" s="6" t="s">
        <v>47</v>
      </c>
      <c r="D1" s="6" t="s">
        <v>7</v>
      </c>
      <c r="E1" s="6" t="s">
        <v>139</v>
      </c>
      <c r="F1" s="6" t="s">
        <v>49</v>
      </c>
      <c r="G1" s="6" t="s">
        <v>50</v>
      </c>
      <c r="H1" s="6" t="s">
        <v>104</v>
      </c>
      <c r="I1" s="6" t="s">
        <v>140</v>
      </c>
      <c r="J1" s="6" t="s">
        <v>141</v>
      </c>
      <c r="K1" s="6" t="s">
        <v>181</v>
      </c>
      <c r="L1" s="6" t="s">
        <v>131</v>
      </c>
      <c r="M1" s="6" t="s">
        <v>182</v>
      </c>
      <c r="N1" s="6" t="s">
        <v>142</v>
      </c>
      <c r="O1" s="6" t="s">
        <v>143</v>
      </c>
      <c r="P1" s="6" t="s">
        <v>144</v>
      </c>
      <c r="Q1" s="6" t="s">
        <v>145</v>
      </c>
      <c r="R1" s="6" t="s">
        <v>146</v>
      </c>
      <c r="S1" s="6" t="s">
        <v>147</v>
      </c>
      <c r="T1" s="6" t="s">
        <v>148</v>
      </c>
      <c r="U1" s="6" t="s">
        <v>149</v>
      </c>
      <c r="V1" s="6" t="s">
        <v>150</v>
      </c>
      <c r="W1" s="6" t="s">
        <v>151</v>
      </c>
      <c r="X1" s="6" t="s">
        <v>152</v>
      </c>
      <c r="Y1" s="6" t="s">
        <v>153</v>
      </c>
      <c r="Z1" s="6" t="s">
        <v>154</v>
      </c>
      <c r="AA1" s="6" t="s">
        <v>155</v>
      </c>
      <c r="AB1" s="6" t="s">
        <v>156</v>
      </c>
      <c r="AC1" s="6" t="s">
        <v>157</v>
      </c>
      <c r="AD1" s="6" t="s">
        <v>158</v>
      </c>
      <c r="AE1" s="6" t="s">
        <v>159</v>
      </c>
      <c r="AF1" s="6" t="s">
        <v>160</v>
      </c>
      <c r="AG1" s="6" t="s">
        <v>161</v>
      </c>
      <c r="AH1" s="6" t="s">
        <v>162</v>
      </c>
      <c r="AI1" s="6" t="s">
        <v>163</v>
      </c>
      <c r="AJ1" s="6" t="s">
        <v>164</v>
      </c>
      <c r="AK1" s="6" t="s">
        <v>165</v>
      </c>
      <c r="AL1" s="6" t="s">
        <v>166</v>
      </c>
      <c r="AM1" s="6" t="s">
        <v>167</v>
      </c>
      <c r="AN1" s="6" t="s">
        <v>168</v>
      </c>
      <c r="AO1" s="6" t="s">
        <v>169</v>
      </c>
      <c r="AP1" s="6" t="s">
        <v>170</v>
      </c>
      <c r="AQ1" s="6" t="s">
        <v>171</v>
      </c>
      <c r="AR1" s="6" t="s">
        <v>172</v>
      </c>
      <c r="AS1" s="6" t="s">
        <v>173</v>
      </c>
      <c r="AT1" s="6" t="s">
        <v>135</v>
      </c>
      <c r="AU1" t="s">
        <v>174</v>
      </c>
      <c r="AV1" t="s">
        <v>144</v>
      </c>
    </row>
    <row r="2" spans="1:48" x14ac:dyDescent="0.25">
      <c r="A2" s="6">
        <v>2002</v>
      </c>
      <c r="B2" s="6" t="s">
        <v>13</v>
      </c>
      <c r="C2" s="6">
        <v>2214</v>
      </c>
      <c r="D2" s="6" t="s">
        <v>37</v>
      </c>
      <c r="E2" s="6" t="s">
        <v>14</v>
      </c>
      <c r="F2" s="6" t="s">
        <v>15</v>
      </c>
      <c r="G2" s="6" t="s">
        <v>15</v>
      </c>
      <c r="H2" s="6">
        <v>203</v>
      </c>
      <c r="I2" s="6">
        <v>285</v>
      </c>
      <c r="J2" s="6">
        <v>665</v>
      </c>
      <c r="K2" s="6">
        <v>652</v>
      </c>
      <c r="L2" s="6">
        <v>1.88</v>
      </c>
      <c r="M2" s="6">
        <v>1.811464398</v>
      </c>
      <c r="N2" s="6">
        <v>638.83636360000003</v>
      </c>
      <c r="O2" s="6">
        <v>0.64039999999999997</v>
      </c>
      <c r="P2" s="6">
        <v>1.49</v>
      </c>
      <c r="Q2" s="6">
        <v>177</v>
      </c>
      <c r="R2" s="6">
        <v>417.72727270000001</v>
      </c>
      <c r="S2" s="6">
        <v>381</v>
      </c>
      <c r="T2" s="6">
        <v>4</v>
      </c>
      <c r="U2" s="6" t="s">
        <v>175</v>
      </c>
      <c r="V2" s="6">
        <v>3.1</v>
      </c>
      <c r="W2" s="6">
        <v>102.90940000000001</v>
      </c>
      <c r="X2" s="6">
        <v>392</v>
      </c>
      <c r="Y2" s="6">
        <v>1.8</v>
      </c>
      <c r="Z2" s="6">
        <v>30.771945469999999</v>
      </c>
      <c r="AA2" s="6">
        <v>582.01909090000004</v>
      </c>
      <c r="AB2" s="6">
        <v>608.85650780000003</v>
      </c>
      <c r="AC2" s="6">
        <v>179.03252951743701</v>
      </c>
      <c r="AD2" s="6">
        <v>501.53653270000001</v>
      </c>
      <c r="AE2" s="6">
        <v>0.82120230900000002</v>
      </c>
      <c r="AF2" s="6">
        <v>10.82291249</v>
      </c>
      <c r="AG2" s="6">
        <v>9.1490229739999993</v>
      </c>
      <c r="AH2" s="6">
        <v>9.4356366420000004</v>
      </c>
      <c r="AI2" s="6">
        <v>4.3155768739999996</v>
      </c>
      <c r="AJ2" s="6">
        <v>6.5073356149999997</v>
      </c>
      <c r="AK2" s="6">
        <v>9.4356366420000004</v>
      </c>
      <c r="AL2" s="6">
        <v>1.533669194</v>
      </c>
      <c r="AM2" s="6">
        <v>640.37003279999999</v>
      </c>
      <c r="AN2" s="6">
        <v>315.02967369999999</v>
      </c>
      <c r="AO2" s="6">
        <v>62.812906580000003</v>
      </c>
      <c r="AP2" s="6">
        <v>401.27168829999999</v>
      </c>
      <c r="AQ2" s="6">
        <v>1.4661877489999999</v>
      </c>
      <c r="AR2" s="6">
        <v>0.63756527399999996</v>
      </c>
      <c r="AS2" s="6">
        <v>2197.0512349999999</v>
      </c>
      <c r="AT2" s="6">
        <v>0.167373098</v>
      </c>
      <c r="AU2">
        <v>643.40875229999995</v>
      </c>
      <c r="AV2">
        <v>1.6891399229999999</v>
      </c>
    </row>
    <row r="3" spans="1:48" x14ac:dyDescent="0.25">
      <c r="A3" s="6">
        <v>2105</v>
      </c>
      <c r="B3" s="6" t="s">
        <v>17</v>
      </c>
      <c r="C3" s="6">
        <v>2214</v>
      </c>
      <c r="D3" s="6" t="s">
        <v>37</v>
      </c>
      <c r="E3" s="6" t="s">
        <v>14</v>
      </c>
      <c r="F3" s="6" t="s">
        <v>15</v>
      </c>
      <c r="G3" s="6" t="s">
        <v>15</v>
      </c>
      <c r="H3" s="6">
        <v>175</v>
      </c>
      <c r="I3" s="6">
        <v>337</v>
      </c>
      <c r="J3" s="6">
        <v>680</v>
      </c>
      <c r="K3" s="6">
        <v>625</v>
      </c>
      <c r="L3" s="6">
        <v>1.96</v>
      </c>
      <c r="M3" s="6">
        <v>1.648051948</v>
      </c>
      <c r="N3" s="6">
        <v>652.58181820000004</v>
      </c>
      <c r="O3" s="6">
        <v>0.63300000000000001</v>
      </c>
      <c r="P3" s="6">
        <v>1.49</v>
      </c>
      <c r="Q3" s="6">
        <v>177</v>
      </c>
      <c r="R3" s="6">
        <v>395.90909090000002</v>
      </c>
      <c r="S3" s="6">
        <v>343</v>
      </c>
      <c r="T3" s="6">
        <v>5</v>
      </c>
      <c r="U3" s="6" t="s">
        <v>177</v>
      </c>
      <c r="V3" s="6">
        <v>4.0999999999999996</v>
      </c>
      <c r="W3" s="6">
        <v>93.554000000000002</v>
      </c>
      <c r="X3" s="6">
        <v>466</v>
      </c>
      <c r="Y3" s="6">
        <v>2.5</v>
      </c>
      <c r="Z3" s="6">
        <v>34.889605320000001</v>
      </c>
      <c r="AA3" s="6">
        <v>553.30636360000005</v>
      </c>
      <c r="AB3" s="6">
        <v>510.73018150000001</v>
      </c>
      <c r="AC3" s="6">
        <v>105.387895805422</v>
      </c>
      <c r="AD3" s="6">
        <v>610.76106400000003</v>
      </c>
      <c r="AE3" s="6">
        <v>0.58455380899999998</v>
      </c>
      <c r="AF3" s="6">
        <v>7.8280300690000004</v>
      </c>
      <c r="AG3" s="6">
        <v>9.2962698879999994</v>
      </c>
      <c r="AH3" s="6">
        <v>4.9923457989999998</v>
      </c>
      <c r="AI3" s="6">
        <v>4.3850329659999998</v>
      </c>
      <c r="AJ3" s="6">
        <v>3.4429971020000001</v>
      </c>
      <c r="AK3" s="6">
        <v>4.9923457989999998</v>
      </c>
      <c r="AL3" s="6">
        <v>0.75024208199999998</v>
      </c>
      <c r="AM3" s="6">
        <v>653.33206029999997</v>
      </c>
      <c r="AN3" s="6">
        <v>388.9803253</v>
      </c>
      <c r="AO3" s="6">
        <v>63.687806600000002</v>
      </c>
      <c r="AP3" s="6">
        <v>415.61504630000002</v>
      </c>
      <c r="AQ3" s="6">
        <v>0.71723143</v>
      </c>
      <c r="AR3" s="6">
        <v>0.70215117699999996</v>
      </c>
      <c r="AS3" s="6">
        <v>1369.905262</v>
      </c>
      <c r="AT3" s="6">
        <v>0.210532143</v>
      </c>
      <c r="AU3">
        <v>401.17818890000001</v>
      </c>
      <c r="AV3">
        <v>1.1705464400000001</v>
      </c>
    </row>
    <row r="4" spans="1:48" x14ac:dyDescent="0.25">
      <c r="A4" s="6">
        <v>2122</v>
      </c>
      <c r="B4" s="6" t="s">
        <v>41</v>
      </c>
      <c r="C4" s="6">
        <v>2214</v>
      </c>
      <c r="D4" s="6" t="s">
        <v>37</v>
      </c>
      <c r="E4" s="6" t="s">
        <v>14</v>
      </c>
      <c r="F4" s="6" t="s">
        <v>15</v>
      </c>
      <c r="G4" s="6" t="s">
        <v>15</v>
      </c>
      <c r="H4" s="6">
        <v>175</v>
      </c>
      <c r="I4" s="6">
        <v>316</v>
      </c>
      <c r="J4" s="6">
        <v>668</v>
      </c>
      <c r="K4" s="6">
        <v>705</v>
      </c>
      <c r="L4" s="6">
        <v>2.0099999999999998</v>
      </c>
      <c r="M4" s="6">
        <v>2.2246753250000002</v>
      </c>
      <c r="N4" s="6">
        <v>641.45454549999999</v>
      </c>
      <c r="O4" s="6">
        <v>0.63339999999999996</v>
      </c>
      <c r="P4" s="6">
        <v>1.49</v>
      </c>
      <c r="Q4" s="6">
        <v>177</v>
      </c>
      <c r="R4" s="6">
        <v>446.81818179999999</v>
      </c>
      <c r="S4" s="6">
        <v>352</v>
      </c>
      <c r="T4" s="6">
        <v>6</v>
      </c>
      <c r="U4" s="6" t="s">
        <v>178</v>
      </c>
      <c r="V4" s="6">
        <v>2.8</v>
      </c>
      <c r="W4" s="6">
        <v>117.81352</v>
      </c>
      <c r="X4" s="6">
        <v>582</v>
      </c>
      <c r="Y4" s="6">
        <v>2.1</v>
      </c>
      <c r="Z4" s="6">
        <v>33.157320069999997</v>
      </c>
      <c r="AA4" s="6">
        <v>620.30272730000002</v>
      </c>
      <c r="AB4" s="6">
        <v>613.64684969999996</v>
      </c>
      <c r="AC4" s="6">
        <v>133.73209237750601</v>
      </c>
      <c r="AD4" s="6">
        <v>499.66079500000001</v>
      </c>
      <c r="AE4" s="6">
        <v>0.82449318199999999</v>
      </c>
      <c r="AF4" s="6">
        <v>10.89966744</v>
      </c>
      <c r="AG4" s="6">
        <v>9.1771305880000007</v>
      </c>
      <c r="AH4" s="6">
        <v>9.5277067720000002</v>
      </c>
      <c r="AI4" s="6">
        <v>4.3288351829999998</v>
      </c>
      <c r="AJ4" s="6">
        <v>6.5708322570000002</v>
      </c>
      <c r="AK4" s="6">
        <v>9.5277067720000002</v>
      </c>
      <c r="AL4" s="6">
        <v>1.5512745029999999</v>
      </c>
      <c r="AM4" s="6">
        <v>643.00581999999997</v>
      </c>
      <c r="AN4" s="6">
        <v>313.75970239999998</v>
      </c>
      <c r="AO4" s="6">
        <v>62.794540920000003</v>
      </c>
      <c r="AP4" s="6">
        <v>402.79843699999998</v>
      </c>
      <c r="AQ4" s="6">
        <v>1.483018425</v>
      </c>
      <c r="AR4" s="6">
        <v>0.63621805300000001</v>
      </c>
      <c r="AS4" s="6">
        <v>1907.4418020000001</v>
      </c>
      <c r="AT4" s="6">
        <v>0.20410488099999999</v>
      </c>
      <c r="AU4">
        <v>558.59632680000004</v>
      </c>
      <c r="AV4">
        <v>1.5867164869999999</v>
      </c>
    </row>
    <row r="5" spans="1:48" x14ac:dyDescent="0.25">
      <c r="A5" s="6">
        <v>2126</v>
      </c>
      <c r="B5" s="6" t="s">
        <v>41</v>
      </c>
      <c r="C5" s="6">
        <v>2214</v>
      </c>
      <c r="D5" s="6" t="s">
        <v>37</v>
      </c>
      <c r="E5" s="6" t="s">
        <v>14</v>
      </c>
      <c r="F5" s="6" t="s">
        <v>15</v>
      </c>
      <c r="G5" s="6" t="s">
        <v>15</v>
      </c>
      <c r="H5" s="6">
        <v>175</v>
      </c>
      <c r="I5" s="6">
        <v>362</v>
      </c>
      <c r="J5" s="6">
        <v>732</v>
      </c>
      <c r="K5" s="6">
        <v>670</v>
      </c>
      <c r="L5" s="6">
        <v>2.11</v>
      </c>
      <c r="M5" s="6">
        <v>1.7597402600000001</v>
      </c>
      <c r="N5" s="6">
        <v>702.7636364</v>
      </c>
      <c r="O5" s="6">
        <v>0.63360000000000005</v>
      </c>
      <c r="P5" s="6">
        <v>1.49</v>
      </c>
      <c r="Q5" s="6">
        <v>177</v>
      </c>
      <c r="R5" s="6">
        <v>424.54545450000001</v>
      </c>
      <c r="S5" s="6">
        <v>370</v>
      </c>
      <c r="T5" s="6">
        <v>6</v>
      </c>
      <c r="U5" s="6" t="s">
        <v>178</v>
      </c>
      <c r="V5" s="6">
        <v>3.2</v>
      </c>
      <c r="W5" s="6">
        <v>99.554360000000003</v>
      </c>
      <c r="X5" s="6">
        <v>561</v>
      </c>
      <c r="Y5" s="6">
        <v>1.7</v>
      </c>
      <c r="Z5" s="6">
        <v>32.173718170000001</v>
      </c>
      <c r="AA5" s="6">
        <v>590.99181820000001</v>
      </c>
      <c r="AB5" s="6">
        <v>596.49225260000003</v>
      </c>
      <c r="AC5" s="6">
        <v>133.22806972738101</v>
      </c>
      <c r="AD5" s="6">
        <v>563.16073970000002</v>
      </c>
      <c r="AE5" s="6">
        <v>0.69856848000000005</v>
      </c>
      <c r="AF5" s="6">
        <v>9.8893491620000002</v>
      </c>
      <c r="AG5" s="6">
        <v>9.8274186500000003</v>
      </c>
      <c r="AH5" s="6">
        <v>7.6179727740000001</v>
      </c>
      <c r="AI5" s="6">
        <v>4.6355748349999999</v>
      </c>
      <c r="AJ5" s="6">
        <v>5.2537743270000004</v>
      </c>
      <c r="AK5" s="6">
        <v>7.6179727740000001</v>
      </c>
      <c r="AL5" s="6">
        <v>1.165747761</v>
      </c>
      <c r="AM5" s="6">
        <v>703.92938409999999</v>
      </c>
      <c r="AN5" s="6">
        <v>356.75244609999999</v>
      </c>
      <c r="AO5" s="6">
        <v>63.348245169999998</v>
      </c>
      <c r="AP5" s="6">
        <v>445.18843140000001</v>
      </c>
      <c r="AQ5" s="6">
        <v>1.1144548590000001</v>
      </c>
      <c r="AR5" s="6">
        <v>0.68677936699999997</v>
      </c>
      <c r="AS5" s="6">
        <v>1730.636103</v>
      </c>
      <c r="AT5" s="6">
        <v>0.17794298</v>
      </c>
      <c r="AU5">
        <v>506.81859300000002</v>
      </c>
      <c r="AV5">
        <v>1.369779981</v>
      </c>
    </row>
    <row r="6" spans="1:48" x14ac:dyDescent="0.25">
      <c r="A6" s="6">
        <v>2201</v>
      </c>
      <c r="B6" s="6" t="s">
        <v>41</v>
      </c>
      <c r="C6" s="6">
        <v>2214</v>
      </c>
      <c r="D6" s="6" t="s">
        <v>37</v>
      </c>
      <c r="E6" s="6" t="s">
        <v>14</v>
      </c>
      <c r="F6" s="6" t="s">
        <v>15</v>
      </c>
      <c r="G6" s="6" t="s">
        <v>15</v>
      </c>
      <c r="H6" s="6">
        <v>175</v>
      </c>
      <c r="I6" s="6">
        <v>319</v>
      </c>
      <c r="J6" s="6">
        <v>705</v>
      </c>
      <c r="K6" s="6">
        <v>645</v>
      </c>
      <c r="L6" s="6">
        <v>2.21</v>
      </c>
      <c r="M6" s="6">
        <v>1.8675324680000001</v>
      </c>
      <c r="N6" s="6">
        <v>676.8</v>
      </c>
      <c r="O6" s="6">
        <v>0.63380000000000003</v>
      </c>
      <c r="P6" s="6">
        <v>1.49</v>
      </c>
      <c r="Q6" s="6">
        <v>177</v>
      </c>
      <c r="R6" s="6">
        <v>409.09090909999998</v>
      </c>
      <c r="S6" s="6">
        <v>386</v>
      </c>
      <c r="T6" s="6">
        <v>6</v>
      </c>
      <c r="U6" s="6" t="s">
        <v>178</v>
      </c>
      <c r="V6" s="6">
        <v>3.9</v>
      </c>
      <c r="W6" s="6">
        <v>93.683040000000005</v>
      </c>
      <c r="X6" s="6">
        <v>616</v>
      </c>
      <c r="Y6" s="6">
        <v>2.2000000000000002</v>
      </c>
      <c r="Z6" s="6">
        <v>34.647837580000001</v>
      </c>
      <c r="AA6" s="6">
        <v>570.65363639999998</v>
      </c>
      <c r="AB6" s="6">
        <v>534.06899269999997</v>
      </c>
      <c r="AC6" s="6">
        <v>115.35683199293899</v>
      </c>
      <c r="AD6" s="6">
        <v>605.74645669999995</v>
      </c>
      <c r="AE6" s="6">
        <v>0.597357319</v>
      </c>
      <c r="AF6" s="6">
        <v>8.2211243120000006</v>
      </c>
      <c r="AG6" s="6">
        <v>9.5538354939999994</v>
      </c>
      <c r="AH6" s="6">
        <v>5.3861672970000001</v>
      </c>
      <c r="AI6" s="6">
        <v>4.5065261760000004</v>
      </c>
      <c r="AJ6" s="6">
        <v>3.7145981360000002</v>
      </c>
      <c r="AK6" s="6">
        <v>5.3861672970000001</v>
      </c>
      <c r="AL6" s="6">
        <v>0.80855497700000001</v>
      </c>
      <c r="AM6" s="6">
        <v>677.60855500000002</v>
      </c>
      <c r="AN6" s="6">
        <v>385.58517699999999</v>
      </c>
      <c r="AO6" s="6">
        <v>63.65454931</v>
      </c>
      <c r="AP6" s="6">
        <v>430.8139898</v>
      </c>
      <c r="AQ6" s="6">
        <v>0.77297855800000004</v>
      </c>
      <c r="AR6" s="6">
        <v>0.70307238699999997</v>
      </c>
      <c r="AS6" s="6">
        <v>1438.6967549999999</v>
      </c>
      <c r="AT6" s="6">
        <v>0.22716265999999999</v>
      </c>
      <c r="AU6">
        <v>421.32384939999997</v>
      </c>
      <c r="AV6">
        <v>1.0904852570000001</v>
      </c>
    </row>
    <row r="7" spans="1:48" x14ac:dyDescent="0.25">
      <c r="A7" s="6">
        <v>2202</v>
      </c>
      <c r="B7" s="6" t="s">
        <v>13</v>
      </c>
      <c r="C7" s="6">
        <v>2214</v>
      </c>
      <c r="D7" s="6" t="s">
        <v>37</v>
      </c>
      <c r="E7" s="6" t="s">
        <v>14</v>
      </c>
      <c r="F7" s="6" t="s">
        <v>15</v>
      </c>
      <c r="G7" s="6" t="s">
        <v>15</v>
      </c>
      <c r="H7" s="6">
        <v>203</v>
      </c>
      <c r="I7" s="6">
        <v>246</v>
      </c>
      <c r="J7" s="6">
        <v>566</v>
      </c>
      <c r="K7" s="6">
        <v>541</v>
      </c>
      <c r="L7" s="6">
        <v>1.58</v>
      </c>
      <c r="M7" s="6">
        <v>1.4520824000000001</v>
      </c>
      <c r="N7" s="6">
        <v>543.27272730000004</v>
      </c>
      <c r="O7" s="6">
        <v>0.64029999999999998</v>
      </c>
      <c r="P7" s="6">
        <v>1.49</v>
      </c>
      <c r="Q7" s="6">
        <v>177</v>
      </c>
      <c r="R7" s="6">
        <v>346.36363640000002</v>
      </c>
      <c r="S7" s="6">
        <v>320</v>
      </c>
      <c r="T7" s="6">
        <v>6</v>
      </c>
      <c r="U7" s="6" t="s">
        <v>178</v>
      </c>
      <c r="V7" s="6">
        <v>3.8</v>
      </c>
      <c r="W7" s="6">
        <v>75.294839999999994</v>
      </c>
      <c r="X7" s="6">
        <v>611</v>
      </c>
      <c r="Y7" s="6">
        <v>1.7</v>
      </c>
      <c r="Z7" s="6">
        <v>32.41047786</v>
      </c>
      <c r="AA7" s="6">
        <v>488.10454549999997</v>
      </c>
      <c r="AB7" s="6">
        <v>477.22910350000001</v>
      </c>
      <c r="AC7" s="6">
        <v>159.14574805844001</v>
      </c>
      <c r="AD7" s="6">
        <v>544.150308</v>
      </c>
      <c r="AE7" s="6">
        <v>0.73940524500000004</v>
      </c>
      <c r="AF7" s="6">
        <v>8.6297401320000002</v>
      </c>
      <c r="AG7" s="6">
        <v>8.1020687519999992</v>
      </c>
      <c r="AH7" s="6">
        <v>6.9716139039999998</v>
      </c>
      <c r="AI7" s="6">
        <v>3.8217305430000001</v>
      </c>
      <c r="AJ7" s="6">
        <v>4.8080095890000001</v>
      </c>
      <c r="AK7" s="6">
        <v>6.9716139039999998</v>
      </c>
      <c r="AL7" s="6">
        <v>1.100775598</v>
      </c>
      <c r="AM7" s="6">
        <v>544.37350289999995</v>
      </c>
      <c r="AN7" s="6">
        <v>343.88140149999998</v>
      </c>
      <c r="AO7" s="6">
        <v>63.196031769999998</v>
      </c>
      <c r="AP7" s="6">
        <v>343.32680529999999</v>
      </c>
      <c r="AQ7" s="6">
        <v>1.0523414710000001</v>
      </c>
      <c r="AR7" s="6">
        <v>0.66085766099999999</v>
      </c>
      <c r="AS7" s="6">
        <v>1751.8372469999999</v>
      </c>
      <c r="AT7" s="6">
        <v>0.16826490499999999</v>
      </c>
      <c r="AU7">
        <v>513.02737009999998</v>
      </c>
      <c r="AV7">
        <v>1.604349985</v>
      </c>
    </row>
    <row r="8" spans="1:48" x14ac:dyDescent="0.25">
      <c r="A8" s="6">
        <v>2206</v>
      </c>
      <c r="B8" s="6" t="s">
        <v>17</v>
      </c>
      <c r="C8" s="6">
        <v>2214</v>
      </c>
      <c r="D8" s="6" t="s">
        <v>37</v>
      </c>
      <c r="E8" s="6" t="s">
        <v>14</v>
      </c>
      <c r="F8" s="6" t="s">
        <v>15</v>
      </c>
      <c r="G8" s="6" t="s">
        <v>15</v>
      </c>
      <c r="H8" s="6">
        <v>175</v>
      </c>
      <c r="I8" s="6">
        <v>339</v>
      </c>
      <c r="J8" s="6">
        <v>728</v>
      </c>
      <c r="K8" s="6">
        <v>659</v>
      </c>
      <c r="L8" s="6">
        <v>2.2200000000000002</v>
      </c>
      <c r="M8" s="6">
        <v>1.827272727</v>
      </c>
      <c r="N8" s="6">
        <v>698.83636360000003</v>
      </c>
      <c r="O8" s="6">
        <v>0.63380000000000003</v>
      </c>
      <c r="P8" s="6">
        <v>1.49</v>
      </c>
      <c r="Q8" s="6">
        <v>177</v>
      </c>
      <c r="R8" s="6">
        <v>417.72727270000001</v>
      </c>
      <c r="S8" s="6">
        <v>389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8" x14ac:dyDescent="0.25">
      <c r="A9" s="6">
        <v>2211</v>
      </c>
      <c r="B9" s="6" t="s">
        <v>13</v>
      </c>
      <c r="C9" s="6">
        <v>2214</v>
      </c>
      <c r="D9" s="6" t="s">
        <v>37</v>
      </c>
      <c r="E9" s="6" t="s">
        <v>14</v>
      </c>
      <c r="F9" s="6" t="s">
        <v>15</v>
      </c>
      <c r="G9" s="6" t="s">
        <v>15</v>
      </c>
      <c r="H9" s="6">
        <v>175</v>
      </c>
      <c r="I9" s="6">
        <v>301</v>
      </c>
      <c r="J9" s="6">
        <v>695</v>
      </c>
      <c r="K9" s="6">
        <v>670</v>
      </c>
      <c r="L9" s="6">
        <v>2.25</v>
      </c>
      <c r="M9" s="6">
        <v>2.1064935060000001</v>
      </c>
      <c r="N9" s="6">
        <v>667.2</v>
      </c>
      <c r="O9" s="6">
        <v>0.63360000000000005</v>
      </c>
      <c r="P9" s="6">
        <v>1.49</v>
      </c>
      <c r="Q9" s="6">
        <v>177</v>
      </c>
      <c r="R9" s="6">
        <v>424.54545450000001</v>
      </c>
      <c r="S9" s="6">
        <v>394</v>
      </c>
      <c r="T9" s="6">
        <v>6</v>
      </c>
      <c r="U9" s="6" t="s">
        <v>178</v>
      </c>
      <c r="V9" s="6">
        <v>2.6</v>
      </c>
      <c r="W9" s="6">
        <v>109.81304</v>
      </c>
      <c r="X9" s="6">
        <v>569</v>
      </c>
      <c r="Y9" s="6">
        <v>1.6</v>
      </c>
      <c r="Z9" s="6">
        <v>30.88630659</v>
      </c>
      <c r="AA9" s="6">
        <v>590.99181820000001</v>
      </c>
      <c r="AB9" s="6">
        <v>617.09661759999995</v>
      </c>
      <c r="AC9" s="6">
        <v>149.88557062057001</v>
      </c>
      <c r="AD9" s="6">
        <v>516.80983319999996</v>
      </c>
      <c r="AE9" s="6">
        <v>0.79343445499999998</v>
      </c>
      <c r="AF9" s="6">
        <v>10.80326048</v>
      </c>
      <c r="AG9" s="6">
        <v>9.4520176659999997</v>
      </c>
      <c r="AH9" s="6">
        <v>9.199904299</v>
      </c>
      <c r="AI9" s="6">
        <v>4.4584988990000003</v>
      </c>
      <c r="AJ9" s="6">
        <v>6.3447615859999997</v>
      </c>
      <c r="AK9" s="6">
        <v>9.199904299</v>
      </c>
      <c r="AL9" s="6">
        <v>1.468276165</v>
      </c>
      <c r="AM9" s="6">
        <v>668.66827620000004</v>
      </c>
      <c r="AN9" s="6">
        <v>325.3704874</v>
      </c>
      <c r="AO9" s="6">
        <v>62.957487739999998</v>
      </c>
      <c r="AP9" s="6">
        <v>420.05235820000001</v>
      </c>
      <c r="AQ9" s="6">
        <v>1.4036720140000001</v>
      </c>
      <c r="AR9" s="6">
        <v>0.65216284800000002</v>
      </c>
      <c r="AS9" s="6">
        <v>1890.5705849999999</v>
      </c>
      <c r="AT9" s="6">
        <v>0.194986829</v>
      </c>
      <c r="AU9">
        <v>553.65557320000005</v>
      </c>
      <c r="AV9">
        <v>1.4065153130000001</v>
      </c>
    </row>
    <row r="10" spans="1:48" x14ac:dyDescent="0.25">
      <c r="A10" s="6">
        <v>2107</v>
      </c>
      <c r="B10" s="6" t="s">
        <v>26</v>
      </c>
      <c r="C10" s="6">
        <v>2214</v>
      </c>
      <c r="D10" s="6" t="s">
        <v>37</v>
      </c>
      <c r="E10" s="6" t="s">
        <v>27</v>
      </c>
      <c r="F10" s="6" t="s">
        <v>15</v>
      </c>
      <c r="G10" s="6" t="s">
        <v>24</v>
      </c>
      <c r="H10" s="6">
        <v>175</v>
      </c>
      <c r="I10" s="6">
        <v>325</v>
      </c>
      <c r="J10" s="6">
        <v>717</v>
      </c>
      <c r="K10" s="6">
        <v>544</v>
      </c>
      <c r="L10" s="6">
        <v>2.2400000000000002</v>
      </c>
      <c r="M10" s="6">
        <v>1.2493506489999999</v>
      </c>
      <c r="N10" s="6">
        <v>687.9272727</v>
      </c>
      <c r="O10" s="6">
        <v>0.63319999999999999</v>
      </c>
      <c r="P10" s="6">
        <v>1.49</v>
      </c>
      <c r="Q10" s="6">
        <v>177</v>
      </c>
      <c r="R10" s="6">
        <v>344.54545450000001</v>
      </c>
      <c r="S10" s="6">
        <v>391</v>
      </c>
      <c r="T10" s="6">
        <v>5</v>
      </c>
      <c r="U10" s="6" t="s">
        <v>177</v>
      </c>
      <c r="V10" s="6">
        <v>3</v>
      </c>
      <c r="W10" s="6">
        <v>78.133719999999997</v>
      </c>
      <c r="X10" s="6">
        <v>460</v>
      </c>
      <c r="Y10" s="6">
        <v>1.1000000000000001</v>
      </c>
      <c r="Z10" s="6">
        <v>28.511032629999999</v>
      </c>
      <c r="AA10" s="6">
        <v>485.71181819999998</v>
      </c>
      <c r="AB10" s="6">
        <v>536.95229270000004</v>
      </c>
      <c r="AC10" s="6">
        <v>169.28613866891999</v>
      </c>
      <c r="AD10" s="6">
        <v>612.39935249999996</v>
      </c>
      <c r="AE10" s="6">
        <v>0.58033042400000001</v>
      </c>
      <c r="AF10" s="6">
        <v>8.0850739760000003</v>
      </c>
      <c r="AG10" s="6">
        <v>9.6714010300000002</v>
      </c>
      <c r="AH10" s="6">
        <v>5.1084839190000002</v>
      </c>
      <c r="AI10" s="6">
        <v>4.5619816179999999</v>
      </c>
      <c r="AJ10" s="6">
        <v>3.523092358</v>
      </c>
      <c r="AK10" s="6">
        <v>5.1084839190000002</v>
      </c>
      <c r="AL10" s="6">
        <v>0.76473418599999998</v>
      </c>
      <c r="AM10" s="6">
        <v>688.69200690000002</v>
      </c>
      <c r="AN10" s="6">
        <v>390.08953120000001</v>
      </c>
      <c r="AO10" s="6">
        <v>63.698553830000002</v>
      </c>
      <c r="AP10" s="6">
        <v>438.19972410000003</v>
      </c>
      <c r="AQ10" s="6">
        <v>0.73108588200000002</v>
      </c>
      <c r="AR10" s="6">
        <v>0.70546608700000002</v>
      </c>
      <c r="AS10" s="6">
        <v>1414.8879460000001</v>
      </c>
      <c r="AT10" s="6">
        <v>0.154525568</v>
      </c>
      <c r="AU10">
        <v>414.35141479999999</v>
      </c>
      <c r="AV10">
        <v>1.0593528329999999</v>
      </c>
    </row>
    <row r="11" spans="1:48" x14ac:dyDescent="0.25">
      <c r="A11" s="6">
        <v>2108</v>
      </c>
      <c r="B11" s="6" t="s">
        <v>26</v>
      </c>
      <c r="C11" s="6">
        <v>2214</v>
      </c>
      <c r="D11" s="6" t="s">
        <v>37</v>
      </c>
      <c r="E11" s="6" t="s">
        <v>27</v>
      </c>
      <c r="F11" s="6" t="s">
        <v>15</v>
      </c>
      <c r="G11" s="6" t="s">
        <v>24</v>
      </c>
      <c r="H11" s="6">
        <v>175</v>
      </c>
      <c r="I11" s="6">
        <v>341</v>
      </c>
      <c r="J11" s="6">
        <v>715</v>
      </c>
      <c r="K11" s="6">
        <v>681</v>
      </c>
      <c r="L11" s="6">
        <v>2.14</v>
      </c>
      <c r="M11" s="6">
        <v>1.9402597399999999</v>
      </c>
      <c r="N11" s="6">
        <v>686.83636360000003</v>
      </c>
      <c r="O11" s="6">
        <v>0.63349999999999995</v>
      </c>
      <c r="P11" s="6">
        <v>1.49</v>
      </c>
      <c r="Q11" s="6">
        <v>177</v>
      </c>
      <c r="R11" s="6">
        <v>431.36363640000002</v>
      </c>
      <c r="S11" s="6">
        <v>374</v>
      </c>
      <c r="T11" s="6">
        <v>6</v>
      </c>
      <c r="U11" s="6" t="s">
        <v>178</v>
      </c>
      <c r="V11" s="6">
        <v>3.4</v>
      </c>
      <c r="W11" s="6">
        <v>91.489360000000005</v>
      </c>
      <c r="X11" s="6">
        <v>603</v>
      </c>
      <c r="Y11" s="6">
        <v>1.4</v>
      </c>
      <c r="Z11" s="6">
        <v>31.661961229999999</v>
      </c>
      <c r="AA11" s="6">
        <v>599.96454549999999</v>
      </c>
      <c r="AB11" s="6">
        <v>614.75306209999997</v>
      </c>
      <c r="AC11" s="6">
        <v>140.90351928832499</v>
      </c>
      <c r="AD11" s="6">
        <v>534.04822530000001</v>
      </c>
      <c r="AE11" s="6">
        <v>0.76001467099999998</v>
      </c>
      <c r="AF11" s="6">
        <v>10.57581145</v>
      </c>
      <c r="AG11" s="6">
        <v>9.6598961299999999</v>
      </c>
      <c r="AH11" s="6">
        <v>8.7279221709999995</v>
      </c>
      <c r="AI11" s="6">
        <v>4.5565547779999998</v>
      </c>
      <c r="AJ11" s="6">
        <v>6.0192566699999999</v>
      </c>
      <c r="AK11" s="6">
        <v>8.7279221709999995</v>
      </c>
      <c r="AL11" s="6">
        <v>1.3684051589999999</v>
      </c>
      <c r="AM11" s="6">
        <v>688.20476880000001</v>
      </c>
      <c r="AN11" s="6">
        <v>337.04176960000001</v>
      </c>
      <c r="AO11" s="6">
        <v>63.110736750000001</v>
      </c>
      <c r="AP11" s="6">
        <v>433.46748930000001</v>
      </c>
      <c r="AQ11" s="6">
        <v>1.3081953319999999</v>
      </c>
      <c r="AR11" s="6">
        <v>0.66662242599999999</v>
      </c>
      <c r="AS11" s="6">
        <v>1850.7670029999999</v>
      </c>
      <c r="AT11" s="6">
        <v>0.183462021</v>
      </c>
      <c r="AU11">
        <v>541.99905279999996</v>
      </c>
      <c r="AV11">
        <v>1.448843155</v>
      </c>
    </row>
    <row r="12" spans="1:48" x14ac:dyDescent="0.25">
      <c r="A12" s="6">
        <v>2131</v>
      </c>
      <c r="B12" s="6" t="s">
        <v>26</v>
      </c>
      <c r="C12" s="6">
        <v>2214</v>
      </c>
      <c r="D12" s="6" t="s">
        <v>37</v>
      </c>
      <c r="E12" s="6" t="s">
        <v>27</v>
      </c>
      <c r="F12" s="6" t="s">
        <v>15</v>
      </c>
      <c r="G12" s="6" t="s">
        <v>24</v>
      </c>
      <c r="H12" s="6">
        <v>175</v>
      </c>
      <c r="I12" s="6">
        <v>345</v>
      </c>
      <c r="J12" s="6">
        <v>688</v>
      </c>
      <c r="K12" s="6">
        <v>657</v>
      </c>
      <c r="L12" s="6">
        <v>1.96</v>
      </c>
      <c r="M12" s="6">
        <v>1.787012987</v>
      </c>
      <c r="N12" s="6">
        <v>660.87272729999995</v>
      </c>
      <c r="O12" s="6">
        <v>0.63349999999999995</v>
      </c>
      <c r="P12" s="6">
        <v>1.49</v>
      </c>
      <c r="Q12" s="6">
        <v>177</v>
      </c>
      <c r="R12" s="6">
        <v>416.36363640000002</v>
      </c>
      <c r="S12" s="6">
        <v>344</v>
      </c>
      <c r="T12" s="6">
        <v>5</v>
      </c>
      <c r="U12" s="6" t="s">
        <v>177</v>
      </c>
      <c r="V12" s="6">
        <v>3.7</v>
      </c>
      <c r="W12" s="6">
        <v>84.714759999999998</v>
      </c>
      <c r="X12" s="6">
        <v>536</v>
      </c>
      <c r="Y12" s="6">
        <v>1.6</v>
      </c>
      <c r="Z12" s="6">
        <v>31.72266612</v>
      </c>
      <c r="AA12" s="6">
        <v>580.22454549999998</v>
      </c>
      <c r="AB12" s="6">
        <v>591.62662909999995</v>
      </c>
      <c r="AC12" s="6">
        <v>138.26490148545599</v>
      </c>
      <c r="AD12" s="6">
        <v>533.94683080000004</v>
      </c>
      <c r="AE12" s="6">
        <v>0.76021768899999997</v>
      </c>
      <c r="AF12" s="6">
        <v>10.27727806</v>
      </c>
      <c r="AG12" s="6">
        <v>9.3847102580000001</v>
      </c>
      <c r="AH12" s="6">
        <v>8.4832655050000003</v>
      </c>
      <c r="AI12" s="6">
        <v>4.4267501219999996</v>
      </c>
      <c r="AJ12" s="6">
        <v>5.8505279339999996</v>
      </c>
      <c r="AK12" s="6">
        <v>8.4832655050000003</v>
      </c>
      <c r="AL12" s="6">
        <v>1.3335669489999999</v>
      </c>
      <c r="AM12" s="6">
        <v>662.2062942</v>
      </c>
      <c r="AN12" s="6">
        <v>336.97312019999998</v>
      </c>
      <c r="AO12" s="6">
        <v>63.109864279999996</v>
      </c>
      <c r="AP12" s="6">
        <v>417.07588120000003</v>
      </c>
      <c r="AQ12" s="6">
        <v>1.2748900030000001</v>
      </c>
      <c r="AR12" s="6">
        <v>0.66445622299999996</v>
      </c>
      <c r="AS12" s="6">
        <v>1798.5236600000001</v>
      </c>
      <c r="AT12" s="6">
        <v>0.17387998800000001</v>
      </c>
      <c r="AU12">
        <v>526.69953499999997</v>
      </c>
      <c r="AV12">
        <v>1.5317104779999999</v>
      </c>
    </row>
    <row r="13" spans="1:48" x14ac:dyDescent="0.25">
      <c r="A13" s="6">
        <v>2215</v>
      </c>
      <c r="B13" s="6" t="s">
        <v>43</v>
      </c>
      <c r="C13" s="6">
        <v>2214</v>
      </c>
      <c r="D13" s="6" t="s">
        <v>37</v>
      </c>
      <c r="E13" s="6" t="s">
        <v>27</v>
      </c>
      <c r="F13" s="6" t="s">
        <v>15</v>
      </c>
      <c r="G13" s="6" t="s">
        <v>24</v>
      </c>
      <c r="H13" s="6">
        <v>175</v>
      </c>
      <c r="I13" s="6">
        <v>328</v>
      </c>
      <c r="J13" s="6">
        <v>710</v>
      </c>
      <c r="K13" s="6">
        <v>684</v>
      </c>
      <c r="L13" s="6">
        <v>2.19</v>
      </c>
      <c r="M13" s="6">
        <v>2.0376623380000001</v>
      </c>
      <c r="N13" s="6">
        <v>682.03636359999996</v>
      </c>
      <c r="O13" s="6">
        <v>0.63319999999999999</v>
      </c>
      <c r="P13" s="6">
        <v>1.49</v>
      </c>
      <c r="Q13" s="6">
        <v>177</v>
      </c>
      <c r="R13" s="6">
        <v>433.18181820000001</v>
      </c>
      <c r="S13" s="6">
        <v>383</v>
      </c>
      <c r="T13" s="6">
        <v>5</v>
      </c>
      <c r="U13" s="6" t="s">
        <v>177</v>
      </c>
      <c r="V13" s="6">
        <v>4.3</v>
      </c>
      <c r="W13" s="6">
        <v>82.972719999999995</v>
      </c>
      <c r="X13" s="6">
        <v>492</v>
      </c>
      <c r="Y13" s="6">
        <v>1.9</v>
      </c>
      <c r="Z13" s="6">
        <v>33.594333949999999</v>
      </c>
      <c r="AA13" s="6">
        <v>602.35727269999995</v>
      </c>
      <c r="AB13" s="6">
        <v>586.51186370000005</v>
      </c>
      <c r="AC13" s="6">
        <v>127.11225941813601</v>
      </c>
      <c r="AD13" s="6">
        <v>555.85129989999996</v>
      </c>
      <c r="AE13" s="6">
        <v>0.71458737100000003</v>
      </c>
      <c r="AF13" s="6">
        <v>9.8915134939999998</v>
      </c>
      <c r="AG13" s="6">
        <v>9.6092201680000002</v>
      </c>
      <c r="AH13" s="6">
        <v>7.770350584</v>
      </c>
      <c r="AI13" s="6">
        <v>4.5326510219999996</v>
      </c>
      <c r="AJ13" s="6">
        <v>5.3588624710000001</v>
      </c>
      <c r="AK13" s="6">
        <v>7.770350584</v>
      </c>
      <c r="AL13" s="6">
        <v>1.1976352809999999</v>
      </c>
      <c r="AM13" s="6">
        <v>683.23399889999996</v>
      </c>
      <c r="AN13" s="6">
        <v>351.80357770000001</v>
      </c>
      <c r="AO13" s="6">
        <v>63.29095169</v>
      </c>
      <c r="AP13" s="6">
        <v>431.66730539999998</v>
      </c>
      <c r="AQ13" s="6">
        <v>1.144939328</v>
      </c>
      <c r="AR13" s="6">
        <v>0.68076311599999995</v>
      </c>
      <c r="AS13" s="6">
        <v>1731.0148610000001</v>
      </c>
      <c r="AT13" s="6">
        <v>0.20600106700000001</v>
      </c>
      <c r="AU13">
        <v>506.9295128</v>
      </c>
      <c r="AV13">
        <v>1.323732852</v>
      </c>
    </row>
    <row r="14" spans="1:48" x14ac:dyDescent="0.25">
      <c r="A14" s="6">
        <v>2217</v>
      </c>
      <c r="B14" s="6" t="s">
        <v>26</v>
      </c>
      <c r="C14" s="6">
        <v>2214</v>
      </c>
      <c r="D14" s="6" t="s">
        <v>37</v>
      </c>
      <c r="E14" s="6" t="s">
        <v>27</v>
      </c>
      <c r="F14" s="6" t="s">
        <v>15</v>
      </c>
      <c r="G14" s="6" t="s">
        <v>24</v>
      </c>
      <c r="H14" s="6">
        <v>175</v>
      </c>
      <c r="I14" s="6">
        <v>325</v>
      </c>
      <c r="J14" s="6">
        <v>678</v>
      </c>
      <c r="K14" s="6">
        <v>627</v>
      </c>
      <c r="L14" s="6">
        <v>2.02</v>
      </c>
      <c r="M14" s="6">
        <v>1.7298701299999999</v>
      </c>
      <c r="N14" s="6">
        <v>650.83636360000003</v>
      </c>
      <c r="O14" s="6">
        <v>0.63329999999999997</v>
      </c>
      <c r="P14" s="6">
        <v>1.49</v>
      </c>
      <c r="Q14" s="6">
        <v>177</v>
      </c>
      <c r="R14" s="6">
        <v>397.27272729999999</v>
      </c>
      <c r="S14" s="6">
        <v>353</v>
      </c>
      <c r="T14" s="6">
        <v>5</v>
      </c>
      <c r="U14" s="6" t="s">
        <v>177</v>
      </c>
      <c r="V14" s="6">
        <v>3.5</v>
      </c>
      <c r="W14" s="6">
        <v>89.166640000000001</v>
      </c>
      <c r="X14" s="6">
        <v>512</v>
      </c>
      <c r="Y14" s="6">
        <v>1.7</v>
      </c>
      <c r="Z14" s="6">
        <v>31.526300240000001</v>
      </c>
      <c r="AA14" s="6">
        <v>555.10090909999997</v>
      </c>
      <c r="AB14" s="6">
        <v>566.57224210000004</v>
      </c>
      <c r="AC14" s="6">
        <v>139.91038020366301</v>
      </c>
      <c r="AD14" s="6">
        <v>549.09111089999999</v>
      </c>
      <c r="AE14" s="6">
        <v>0.729049689</v>
      </c>
      <c r="AF14" s="6">
        <v>9.7434497570000005</v>
      </c>
      <c r="AG14" s="6">
        <v>9.2776151609999999</v>
      </c>
      <c r="AH14" s="6">
        <v>7.7824634760000002</v>
      </c>
      <c r="AI14" s="6">
        <v>4.3762335669999999</v>
      </c>
      <c r="AJ14" s="6">
        <v>5.3672161899999997</v>
      </c>
      <c r="AK14" s="6">
        <v>7.7824634760000002</v>
      </c>
      <c r="AL14" s="6">
        <v>1.209412868</v>
      </c>
      <c r="AM14" s="6">
        <v>652.04577649999999</v>
      </c>
      <c r="AN14" s="6">
        <v>347.22658039999999</v>
      </c>
      <c r="AO14" s="6">
        <v>63.236605640000001</v>
      </c>
      <c r="AP14" s="6">
        <v>411.56682460000002</v>
      </c>
      <c r="AQ14" s="6">
        <v>1.156198702</v>
      </c>
      <c r="AR14" s="6">
        <v>0.67392257600000005</v>
      </c>
      <c r="AS14" s="6">
        <v>1705.103707</v>
      </c>
      <c r="AT14" s="6">
        <v>0.177541854</v>
      </c>
      <c r="AU14">
        <v>499.3414042</v>
      </c>
      <c r="AV14">
        <v>1.4129274460000001</v>
      </c>
    </row>
    <row r="15" spans="1:48" x14ac:dyDescent="0.25">
      <c r="A15" s="6">
        <v>2223</v>
      </c>
      <c r="B15" s="6" t="s">
        <v>43</v>
      </c>
      <c r="C15" s="6">
        <v>2214</v>
      </c>
      <c r="D15" s="6" t="s">
        <v>37</v>
      </c>
      <c r="E15" s="6" t="s">
        <v>27</v>
      </c>
      <c r="F15" s="6" t="s">
        <v>15</v>
      </c>
      <c r="G15" s="6" t="s">
        <v>24</v>
      </c>
      <c r="H15" s="6">
        <v>203</v>
      </c>
      <c r="I15" s="6">
        <v>268</v>
      </c>
      <c r="J15" s="6">
        <v>650</v>
      </c>
      <c r="K15" s="6">
        <v>635</v>
      </c>
      <c r="L15" s="6">
        <v>1.88</v>
      </c>
      <c r="M15" s="6">
        <v>1.804746977</v>
      </c>
      <c r="N15" s="6">
        <v>624.43636360000005</v>
      </c>
      <c r="O15" s="6">
        <v>0.64039999999999997</v>
      </c>
      <c r="P15" s="6">
        <v>1.49</v>
      </c>
      <c r="Q15" s="6">
        <v>177</v>
      </c>
      <c r="R15" s="6">
        <v>406.36363640000002</v>
      </c>
      <c r="S15" s="6">
        <v>382</v>
      </c>
      <c r="T15" s="6">
        <v>5</v>
      </c>
      <c r="U15" s="6" t="s">
        <v>177</v>
      </c>
      <c r="V15" s="6">
        <v>3.7</v>
      </c>
      <c r="W15" s="6">
        <v>87.682680000000005</v>
      </c>
      <c r="X15" s="6">
        <v>458</v>
      </c>
      <c r="Y15" s="6">
        <v>1.7</v>
      </c>
      <c r="Z15" s="6">
        <v>31.922253139999999</v>
      </c>
      <c r="AA15" s="6">
        <v>567.06454550000001</v>
      </c>
      <c r="AB15" s="6">
        <v>573.66241930000001</v>
      </c>
      <c r="AC15" s="6">
        <v>169.26505765669199</v>
      </c>
      <c r="AD15" s="6">
        <v>520.30701639999995</v>
      </c>
      <c r="AE15" s="6">
        <v>0.78683281000000005</v>
      </c>
      <c r="AF15" s="6">
        <v>10.19413462</v>
      </c>
      <c r="AG15" s="6">
        <v>8.9939120409999997</v>
      </c>
      <c r="AH15" s="6">
        <v>8.6299987540000007</v>
      </c>
      <c r="AI15" s="6">
        <v>4.2424113400000003</v>
      </c>
      <c r="AJ15" s="6">
        <v>5.9517232790000003</v>
      </c>
      <c r="AK15" s="6">
        <v>8.6299987540000007</v>
      </c>
      <c r="AL15" s="6">
        <v>1.3787571240000001</v>
      </c>
      <c r="AM15" s="6">
        <v>625.81512080000005</v>
      </c>
      <c r="AN15" s="6">
        <v>327.73826109999999</v>
      </c>
      <c r="AO15" s="6">
        <v>62.989398719999997</v>
      </c>
      <c r="AP15" s="6">
        <v>393.32871080000001</v>
      </c>
      <c r="AQ15" s="6">
        <v>1.3180918100000001</v>
      </c>
      <c r="AR15" s="6">
        <v>0.65132314899999999</v>
      </c>
      <c r="AS15" s="6">
        <v>2069.4093280000002</v>
      </c>
      <c r="AT15" s="6">
        <v>0.17703778100000001</v>
      </c>
      <c r="AU15">
        <v>606.02868609999996</v>
      </c>
      <c r="AV15">
        <v>1.5853306890000001</v>
      </c>
    </row>
    <row r="16" spans="1:48" x14ac:dyDescent="0.25">
      <c r="A16" s="6">
        <v>2006</v>
      </c>
      <c r="B16" s="6" t="s">
        <v>30</v>
      </c>
      <c r="C16" s="6">
        <v>2214</v>
      </c>
      <c r="D16" s="6" t="s">
        <v>37</v>
      </c>
      <c r="E16" s="6" t="s">
        <v>20</v>
      </c>
      <c r="F16" s="6" t="s">
        <v>21</v>
      </c>
      <c r="G16" s="6" t="s">
        <v>15</v>
      </c>
      <c r="H16" s="6">
        <v>175</v>
      </c>
      <c r="I16" s="6">
        <v>338</v>
      </c>
      <c r="J16" s="6">
        <v>634</v>
      </c>
      <c r="K16" s="6">
        <v>667</v>
      </c>
      <c r="L16" s="6">
        <v>1.69</v>
      </c>
      <c r="M16" s="6">
        <v>1.881818182</v>
      </c>
      <c r="N16" s="6">
        <v>608.50909090000005</v>
      </c>
      <c r="O16" s="6">
        <v>0.63349999999999995</v>
      </c>
      <c r="P16" s="6">
        <v>1.49</v>
      </c>
      <c r="Q16" s="6">
        <v>177</v>
      </c>
      <c r="R16" s="6">
        <v>422.72727270000001</v>
      </c>
      <c r="S16" s="6">
        <v>296</v>
      </c>
      <c r="T16" s="6">
        <v>4</v>
      </c>
      <c r="U16" s="6" t="s">
        <v>175</v>
      </c>
      <c r="V16" s="6">
        <v>2.9</v>
      </c>
      <c r="W16" s="6">
        <v>98.005880000000005</v>
      </c>
      <c r="X16" s="6">
        <v>393</v>
      </c>
      <c r="Y16" s="6">
        <v>1.4</v>
      </c>
      <c r="Z16" s="6">
        <v>29.29785013</v>
      </c>
      <c r="AA16" s="6">
        <v>588.59909089999996</v>
      </c>
      <c r="AB16" s="6">
        <v>639.83361179999997</v>
      </c>
      <c r="AC16" s="6">
        <v>160.41882751425101</v>
      </c>
      <c r="AD16" s="6">
        <v>454.59841449999999</v>
      </c>
      <c r="AE16" s="6">
        <v>0.89570533699999999</v>
      </c>
      <c r="AF16" s="6">
        <v>11.381964549999999</v>
      </c>
      <c r="AG16" s="6">
        <v>8.8213042139999995</v>
      </c>
      <c r="AH16" s="6">
        <v>10.47040939</v>
      </c>
      <c r="AI16" s="6">
        <v>4.1609925539999999</v>
      </c>
      <c r="AJ16" s="6">
        <v>7.220971993</v>
      </c>
      <c r="AK16" s="6">
        <v>10.47040939</v>
      </c>
      <c r="AL16" s="6">
        <v>1.8034570270000001</v>
      </c>
      <c r="AM16" s="6">
        <v>610.31254790000003</v>
      </c>
      <c r="AN16" s="6">
        <v>283.25014229999999</v>
      </c>
      <c r="AO16" s="6">
        <v>62.307771719999998</v>
      </c>
      <c r="AP16" s="6">
        <v>379.1484552</v>
      </c>
      <c r="AQ16" s="6">
        <v>1.7241049180000001</v>
      </c>
      <c r="AR16" s="6">
        <v>0.592973309</v>
      </c>
      <c r="AS16" s="6">
        <v>1991.8437960000001</v>
      </c>
      <c r="AT16" s="6">
        <v>0.165333337</v>
      </c>
      <c r="AU16">
        <v>583.31353899999999</v>
      </c>
      <c r="AV16">
        <v>1.971259272</v>
      </c>
    </row>
    <row r="17" spans="1:48" x14ac:dyDescent="0.25">
      <c r="A17" s="6">
        <v>2032</v>
      </c>
      <c r="B17" s="6" t="s">
        <v>30</v>
      </c>
      <c r="C17" s="6">
        <v>2214</v>
      </c>
      <c r="D17" s="6" t="s">
        <v>37</v>
      </c>
      <c r="E17" s="6" t="s">
        <v>20</v>
      </c>
      <c r="F17" s="6" t="s">
        <v>21</v>
      </c>
      <c r="G17" s="6" t="s">
        <v>15</v>
      </c>
      <c r="H17" s="6">
        <v>203</v>
      </c>
      <c r="I17" s="6">
        <v>268</v>
      </c>
      <c r="J17" s="6">
        <v>643</v>
      </c>
      <c r="K17" s="6">
        <v>641</v>
      </c>
      <c r="L17" s="6">
        <v>1.85</v>
      </c>
      <c r="M17" s="6">
        <v>1.8394536500000001</v>
      </c>
      <c r="N17" s="6">
        <v>617.67272730000002</v>
      </c>
      <c r="O17" s="6">
        <v>0.64039999999999997</v>
      </c>
      <c r="P17" s="6">
        <v>1.49</v>
      </c>
      <c r="Q17" s="6">
        <v>177</v>
      </c>
      <c r="R17" s="6">
        <v>410.45454549999999</v>
      </c>
      <c r="S17" s="6">
        <v>376</v>
      </c>
      <c r="T17" s="6">
        <v>5</v>
      </c>
      <c r="U17" s="6" t="s">
        <v>177</v>
      </c>
      <c r="V17" s="6">
        <v>3</v>
      </c>
      <c r="W17" s="6">
        <v>92.844279999999998</v>
      </c>
      <c r="X17" s="6">
        <v>546</v>
      </c>
      <c r="Y17" s="6">
        <v>1.3</v>
      </c>
      <c r="Z17" s="6">
        <v>29.869585839999999</v>
      </c>
      <c r="AA17" s="6">
        <v>572.44818180000004</v>
      </c>
      <c r="AB17" s="6">
        <v>612.55655190000004</v>
      </c>
      <c r="AC17" s="6">
        <v>187.58643464815799</v>
      </c>
      <c r="AD17" s="6">
        <v>481.9923364</v>
      </c>
      <c r="AE17" s="6">
        <v>0.85421034699999998</v>
      </c>
      <c r="AF17" s="6">
        <v>10.977044149999999</v>
      </c>
      <c r="AG17" s="6">
        <v>8.9207489160000009</v>
      </c>
      <c r="AH17" s="6">
        <v>9.8152583880000002</v>
      </c>
      <c r="AI17" s="6">
        <v>4.2079004319999997</v>
      </c>
      <c r="AJ17" s="6">
        <v>6.7691437160000003</v>
      </c>
      <c r="AK17" s="6">
        <v>9.8152583880000002</v>
      </c>
      <c r="AL17" s="6">
        <v>1.6336168879999999</v>
      </c>
      <c r="AM17" s="6">
        <v>619.30634420000001</v>
      </c>
      <c r="AN17" s="6">
        <v>301.79724299999998</v>
      </c>
      <c r="AO17" s="6">
        <v>62.61453143</v>
      </c>
      <c r="AP17" s="6">
        <v>386.75288389999997</v>
      </c>
      <c r="AQ17" s="6">
        <v>1.5617377450000001</v>
      </c>
      <c r="AR17" s="6">
        <v>0.61903425999999995</v>
      </c>
      <c r="AS17" s="6">
        <v>2228.339962</v>
      </c>
      <c r="AT17" s="6">
        <v>0.16757276600000001</v>
      </c>
      <c r="AU17">
        <v>652.57168869999998</v>
      </c>
      <c r="AV17">
        <v>1.7359827269999999</v>
      </c>
    </row>
    <row r="18" spans="1:48" x14ac:dyDescent="0.25">
      <c r="A18" s="6">
        <v>2102</v>
      </c>
      <c r="B18" s="6" t="s">
        <v>28</v>
      </c>
      <c r="C18" s="6">
        <v>2214</v>
      </c>
      <c r="D18" s="6" t="s">
        <v>37</v>
      </c>
      <c r="E18" s="6" t="s">
        <v>20</v>
      </c>
      <c r="F18" s="6" t="s">
        <v>21</v>
      </c>
      <c r="G18" s="6" t="s">
        <v>15</v>
      </c>
      <c r="H18" s="6">
        <v>175</v>
      </c>
      <c r="I18" s="6">
        <v>330</v>
      </c>
      <c r="J18" s="6">
        <v>714</v>
      </c>
      <c r="K18" s="6">
        <v>673</v>
      </c>
      <c r="L18" s="6">
        <v>2.19</v>
      </c>
      <c r="M18" s="6">
        <v>1.9558441559999999</v>
      </c>
      <c r="N18" s="6">
        <v>685.52727270000003</v>
      </c>
      <c r="O18" s="6">
        <v>0.6331</v>
      </c>
      <c r="P18" s="6">
        <v>1.49</v>
      </c>
      <c r="Q18" s="6">
        <v>177</v>
      </c>
      <c r="R18" s="6">
        <v>425.90909090000002</v>
      </c>
      <c r="S18" s="6">
        <v>384</v>
      </c>
      <c r="T18" s="6">
        <v>6</v>
      </c>
      <c r="U18" s="6" t="s">
        <v>178</v>
      </c>
      <c r="V18" s="6">
        <v>3.9</v>
      </c>
      <c r="W18" s="6">
        <v>91.424840000000003</v>
      </c>
      <c r="X18" s="6">
        <v>576</v>
      </c>
      <c r="Y18" s="6">
        <v>2</v>
      </c>
      <c r="Z18" s="6">
        <v>34.057297429999998</v>
      </c>
      <c r="AA18" s="6">
        <v>592.78636359999996</v>
      </c>
      <c r="AB18" s="6">
        <v>568.36060859999998</v>
      </c>
      <c r="AC18" s="6">
        <v>121.638558206147</v>
      </c>
      <c r="AD18" s="6">
        <v>576.53896380000003</v>
      </c>
      <c r="AE18" s="6">
        <v>0.66822284300000001</v>
      </c>
      <c r="AF18" s="6">
        <v>9.2852079459999999</v>
      </c>
      <c r="AG18" s="6">
        <v>9.6460842190000005</v>
      </c>
      <c r="AH18" s="6">
        <v>6.8659939190000001</v>
      </c>
      <c r="AI18" s="6">
        <v>4.5500397259999996</v>
      </c>
      <c r="AJ18" s="6">
        <v>4.7351682200000003</v>
      </c>
      <c r="AK18" s="6">
        <v>6.8659939190000001</v>
      </c>
      <c r="AL18" s="6">
        <v>1.043487871</v>
      </c>
      <c r="AM18" s="6">
        <v>686.57076059999997</v>
      </c>
      <c r="AN18" s="6">
        <v>365.81019509999999</v>
      </c>
      <c r="AO18" s="6">
        <v>63.449344809999999</v>
      </c>
      <c r="AP18" s="6">
        <v>434.96256299999999</v>
      </c>
      <c r="AQ18" s="6">
        <v>0.99757440500000005</v>
      </c>
      <c r="AR18" s="6">
        <v>0.69257069000000004</v>
      </c>
      <c r="AS18" s="6">
        <v>1624.9113910000001</v>
      </c>
      <c r="AT18" s="6">
        <v>0.21064085699999999</v>
      </c>
      <c r="AU18">
        <v>475.85700029999998</v>
      </c>
      <c r="AV18">
        <v>1.2403855459999999</v>
      </c>
    </row>
    <row r="19" spans="1:48" x14ac:dyDescent="0.25">
      <c r="A19" s="6">
        <v>2113</v>
      </c>
      <c r="B19" s="6" t="s">
        <v>30</v>
      </c>
      <c r="C19" s="6">
        <v>2214</v>
      </c>
      <c r="D19" s="6" t="s">
        <v>37</v>
      </c>
      <c r="E19" s="6" t="s">
        <v>20</v>
      </c>
      <c r="F19" s="6" t="s">
        <v>21</v>
      </c>
      <c r="G19" s="6" t="s">
        <v>15</v>
      </c>
      <c r="H19" s="6">
        <v>203</v>
      </c>
      <c r="I19" s="6">
        <v>311</v>
      </c>
      <c r="J19" s="6">
        <v>655</v>
      </c>
      <c r="K19" s="6">
        <v>605</v>
      </c>
      <c r="L19" s="6">
        <v>1.69</v>
      </c>
      <c r="M19" s="6">
        <v>1.4520824000000001</v>
      </c>
      <c r="N19" s="6">
        <v>628.36363640000002</v>
      </c>
      <c r="O19" s="6">
        <v>0.64039999999999997</v>
      </c>
      <c r="P19" s="6">
        <v>1.49</v>
      </c>
      <c r="Q19" s="6">
        <v>177</v>
      </c>
      <c r="R19" s="6">
        <v>387.72727270000001</v>
      </c>
      <c r="S19" s="6">
        <v>344</v>
      </c>
      <c r="T19" s="6">
        <v>4</v>
      </c>
      <c r="U19" s="6" t="s">
        <v>175</v>
      </c>
      <c r="V19" s="6">
        <v>3.5</v>
      </c>
      <c r="W19" s="6">
        <v>88.908559999999994</v>
      </c>
      <c r="X19" s="6">
        <v>439</v>
      </c>
      <c r="Y19" s="6">
        <v>1.8</v>
      </c>
      <c r="Z19" s="6">
        <v>30.777338</v>
      </c>
      <c r="AA19" s="6">
        <v>542.53909090000002</v>
      </c>
      <c r="AB19" s="6">
        <v>564.46043880000002</v>
      </c>
      <c r="AC19" s="6">
        <v>174.768746287845</v>
      </c>
      <c r="AD19" s="6">
        <v>532.11491460000002</v>
      </c>
      <c r="AE19" s="6">
        <v>0.76387252500000002</v>
      </c>
      <c r="AF19" s="6">
        <v>9.9433090130000004</v>
      </c>
      <c r="AG19" s="6">
        <v>9.0363028889999999</v>
      </c>
      <c r="AH19" s="6">
        <v>8.2373078849999999</v>
      </c>
      <c r="AI19" s="6">
        <v>4.2624070229999997</v>
      </c>
      <c r="AJ19" s="6">
        <v>5.6809019899999997</v>
      </c>
      <c r="AK19" s="6">
        <v>8.2373078849999999</v>
      </c>
      <c r="AL19" s="6">
        <v>1.30132896</v>
      </c>
      <c r="AM19" s="6">
        <v>629.66496529999995</v>
      </c>
      <c r="AN19" s="6">
        <v>335.73281830000002</v>
      </c>
      <c r="AO19" s="6">
        <v>63.094043990000003</v>
      </c>
      <c r="AP19" s="6">
        <v>396.46002920000001</v>
      </c>
      <c r="AQ19" s="6">
        <v>1.244070486</v>
      </c>
      <c r="AR19" s="6">
        <v>0.66041436099999995</v>
      </c>
      <c r="AS19" s="6">
        <v>2018.49173</v>
      </c>
      <c r="AT19" s="6">
        <v>0.14603613300000001</v>
      </c>
      <c r="AU19">
        <v>591.11741429999995</v>
      </c>
      <c r="AV19">
        <v>1.7190460169999999</v>
      </c>
    </row>
    <row r="20" spans="1:48" x14ac:dyDescent="0.25">
      <c r="A20" s="6">
        <v>2116</v>
      </c>
      <c r="B20" s="6" t="s">
        <v>30</v>
      </c>
      <c r="C20" s="6">
        <v>2214</v>
      </c>
      <c r="D20" s="6" t="s">
        <v>37</v>
      </c>
      <c r="E20" s="6" t="s">
        <v>20</v>
      </c>
      <c r="F20" s="6" t="s">
        <v>21</v>
      </c>
      <c r="G20" s="6" t="s">
        <v>15</v>
      </c>
      <c r="H20" s="6">
        <v>175</v>
      </c>
      <c r="I20" s="6">
        <v>311</v>
      </c>
      <c r="J20" s="6">
        <v>562</v>
      </c>
      <c r="K20" s="6">
        <v>665</v>
      </c>
      <c r="L20" s="6">
        <v>1.43</v>
      </c>
      <c r="M20" s="6">
        <v>2.0220779219999998</v>
      </c>
      <c r="N20" s="6">
        <v>539.12727270000005</v>
      </c>
      <c r="O20" s="6">
        <v>0.63290000000000002</v>
      </c>
      <c r="P20" s="6">
        <v>1.49</v>
      </c>
      <c r="Q20" s="6">
        <v>177</v>
      </c>
      <c r="R20" s="6">
        <v>420.90909090000002</v>
      </c>
      <c r="S20" s="6">
        <v>250</v>
      </c>
      <c r="T20" s="6">
        <v>4</v>
      </c>
      <c r="U20" s="6" t="s">
        <v>175</v>
      </c>
      <c r="V20" s="6">
        <v>4.3</v>
      </c>
      <c r="W20" s="6">
        <v>92.908799999999999</v>
      </c>
      <c r="X20" s="6">
        <v>432</v>
      </c>
      <c r="Y20" s="6">
        <v>2.6</v>
      </c>
      <c r="Z20" s="6">
        <v>35.076514400000001</v>
      </c>
      <c r="AA20" s="6">
        <v>586.20636360000003</v>
      </c>
      <c r="AB20" s="6">
        <v>544.66360069999996</v>
      </c>
      <c r="AC20" s="6">
        <v>115.48874282045701</v>
      </c>
      <c r="AD20" s="6">
        <v>473.14128579999999</v>
      </c>
      <c r="AE20" s="6">
        <v>0.86822639099999999</v>
      </c>
      <c r="AF20" s="6">
        <v>10.075189480000001</v>
      </c>
      <c r="AG20" s="6">
        <v>8.0556571239999997</v>
      </c>
      <c r="AH20" s="6">
        <v>9.0992592670000008</v>
      </c>
      <c r="AI20" s="6">
        <v>3.7998382660000001</v>
      </c>
      <c r="AJ20" s="6">
        <v>6.275351219</v>
      </c>
      <c r="AK20" s="6">
        <v>9.0992592670000008</v>
      </c>
      <c r="AL20" s="6">
        <v>1.544065767</v>
      </c>
      <c r="AM20" s="6">
        <v>540.67133850000005</v>
      </c>
      <c r="AN20" s="6">
        <v>295.8046243</v>
      </c>
      <c r="AO20" s="6">
        <v>62.519300940000001</v>
      </c>
      <c r="AP20" s="6">
        <v>337.05860209999997</v>
      </c>
      <c r="AQ20" s="6">
        <v>1.4761268729999999</v>
      </c>
      <c r="AR20" s="6">
        <v>0.60420643200000002</v>
      </c>
      <c r="AS20" s="6">
        <v>1763.15816</v>
      </c>
      <c r="AT20" s="6">
        <v>0.20069874900000001</v>
      </c>
      <c r="AU20">
        <v>516.34271130000002</v>
      </c>
      <c r="AV20">
        <v>2.0616224409999999</v>
      </c>
    </row>
    <row r="21" spans="1:48" x14ac:dyDescent="0.25">
      <c r="A21" s="6">
        <v>2117</v>
      </c>
      <c r="B21" s="6" t="s">
        <v>30</v>
      </c>
      <c r="C21" s="6">
        <v>2214</v>
      </c>
      <c r="D21" s="6" t="s">
        <v>37</v>
      </c>
      <c r="E21" s="6" t="s">
        <v>20</v>
      </c>
      <c r="F21" s="6" t="s">
        <v>21</v>
      </c>
      <c r="G21" s="6" t="s">
        <v>15</v>
      </c>
      <c r="H21" s="6">
        <v>175</v>
      </c>
      <c r="I21" s="6">
        <v>303</v>
      </c>
      <c r="J21" s="6">
        <v>642</v>
      </c>
      <c r="K21" s="6">
        <v>691</v>
      </c>
      <c r="L21" s="6">
        <v>1.94</v>
      </c>
      <c r="M21" s="6">
        <v>2.2168831170000001</v>
      </c>
      <c r="N21" s="6">
        <v>616.36363640000002</v>
      </c>
      <c r="O21" s="6">
        <v>0.6331</v>
      </c>
      <c r="P21" s="6">
        <v>1.49</v>
      </c>
      <c r="Q21" s="6">
        <v>177</v>
      </c>
      <c r="R21" s="6">
        <v>437.72727270000001</v>
      </c>
      <c r="S21" s="6">
        <v>339</v>
      </c>
      <c r="T21" s="6">
        <v>5</v>
      </c>
      <c r="U21" s="6" t="s">
        <v>177</v>
      </c>
      <c r="V21" s="6">
        <v>3.7</v>
      </c>
      <c r="W21" s="6">
        <v>94.199200000000005</v>
      </c>
      <c r="X21" s="6">
        <v>492</v>
      </c>
      <c r="Y21" s="6">
        <v>1.9</v>
      </c>
      <c r="Z21" s="6">
        <v>32.92450659</v>
      </c>
      <c r="AA21" s="6">
        <v>608.33909089999997</v>
      </c>
      <c r="AB21" s="6">
        <v>603.94570929999998</v>
      </c>
      <c r="AC21" s="6">
        <v>135.56719165778301</v>
      </c>
      <c r="AD21" s="6">
        <v>487.82831579999998</v>
      </c>
      <c r="AE21" s="6">
        <v>0.84465081099999995</v>
      </c>
      <c r="AF21" s="6">
        <v>10.83694137</v>
      </c>
      <c r="AG21" s="6">
        <v>8.90656523</v>
      </c>
      <c r="AH21" s="6">
        <v>9.6218104590000006</v>
      </c>
      <c r="AI21" s="6">
        <v>4.2012100139999999</v>
      </c>
      <c r="AJ21" s="6">
        <v>6.6357313510000004</v>
      </c>
      <c r="AK21" s="6">
        <v>9.6218104590000006</v>
      </c>
      <c r="AL21" s="6">
        <v>1.5910941359999999</v>
      </c>
      <c r="AM21" s="6">
        <v>617.95473049999998</v>
      </c>
      <c r="AN21" s="6">
        <v>305.74850249999997</v>
      </c>
      <c r="AO21" s="6">
        <v>62.675431629999999</v>
      </c>
      <c r="AP21" s="6">
        <v>386.30856949999998</v>
      </c>
      <c r="AQ21" s="6">
        <v>1.5210859940000001</v>
      </c>
      <c r="AR21" s="6">
        <v>0.62405113700000003</v>
      </c>
      <c r="AS21" s="6">
        <v>1896.464739</v>
      </c>
      <c r="AT21" s="6">
        <v>0.20456723399999999</v>
      </c>
      <c r="AU21">
        <v>555.38168240000005</v>
      </c>
      <c r="AV21">
        <v>1.64005329</v>
      </c>
    </row>
    <row r="22" spans="1:48" x14ac:dyDescent="0.25">
      <c r="A22" s="6">
        <v>2120</v>
      </c>
      <c r="B22" s="6" t="s">
        <v>40</v>
      </c>
      <c r="C22" s="6">
        <v>2214</v>
      </c>
      <c r="D22" s="6" t="s">
        <v>37</v>
      </c>
      <c r="E22" s="6" t="s">
        <v>20</v>
      </c>
      <c r="F22" s="6" t="s">
        <v>21</v>
      </c>
      <c r="G22" s="6" t="s">
        <v>15</v>
      </c>
      <c r="H22" s="6">
        <v>203</v>
      </c>
      <c r="I22" s="6">
        <v>295</v>
      </c>
      <c r="J22" s="6">
        <v>670</v>
      </c>
      <c r="K22" s="6">
        <v>688</v>
      </c>
      <c r="L22" s="6">
        <v>1.85</v>
      </c>
      <c r="M22" s="6">
        <v>1.934617107</v>
      </c>
      <c r="N22" s="6">
        <v>643.63636359999998</v>
      </c>
      <c r="O22" s="6">
        <v>0.64039999999999997</v>
      </c>
      <c r="P22" s="6">
        <v>1.49</v>
      </c>
      <c r="Q22" s="6">
        <v>177</v>
      </c>
      <c r="R22" s="6">
        <v>440.45454549999999</v>
      </c>
      <c r="S22" s="6">
        <v>375</v>
      </c>
      <c r="T22" s="6">
        <v>5</v>
      </c>
      <c r="U22" s="6" t="s">
        <v>177</v>
      </c>
      <c r="V22" s="6">
        <v>3.7</v>
      </c>
      <c r="W22" s="6">
        <v>93.48948</v>
      </c>
      <c r="X22" s="6">
        <v>547</v>
      </c>
      <c r="Y22" s="6">
        <v>1.8</v>
      </c>
      <c r="Z22" s="6">
        <v>32.66876233</v>
      </c>
      <c r="AA22" s="6">
        <v>611.92818179999995</v>
      </c>
      <c r="AB22" s="6">
        <v>612.06692599999997</v>
      </c>
      <c r="AC22" s="6">
        <v>163.89130687971101</v>
      </c>
      <c r="AD22" s="6">
        <v>502.65447899999998</v>
      </c>
      <c r="AE22" s="6">
        <v>0.81922852000000002</v>
      </c>
      <c r="AF22" s="6">
        <v>10.85768545</v>
      </c>
      <c r="AG22" s="6">
        <v>9.2005316960000005</v>
      </c>
      <c r="AH22" s="6">
        <v>9.4508274169999993</v>
      </c>
      <c r="AI22" s="6">
        <v>4.339873442</v>
      </c>
      <c r="AJ22" s="6">
        <v>6.5178120120000003</v>
      </c>
      <c r="AK22" s="6">
        <v>9.4508274169999993</v>
      </c>
      <c r="AL22" s="6">
        <v>1.5335835209999999</v>
      </c>
      <c r="AM22" s="6">
        <v>645.16994720000002</v>
      </c>
      <c r="AN22" s="6">
        <v>315.7865812</v>
      </c>
      <c r="AO22" s="6">
        <v>62.823787379999999</v>
      </c>
      <c r="AP22" s="6">
        <v>404.35674060000002</v>
      </c>
      <c r="AQ22" s="6">
        <v>1.4661058469999999</v>
      </c>
      <c r="AR22" s="6">
        <v>0.63888393499999996</v>
      </c>
      <c r="AS22" s="6">
        <v>2204.1101469999999</v>
      </c>
      <c r="AT22" s="6">
        <v>0.17817951300000001</v>
      </c>
      <c r="AU22">
        <v>645.47596199999998</v>
      </c>
      <c r="AV22">
        <v>1.719185371</v>
      </c>
    </row>
    <row r="23" spans="1:48" x14ac:dyDescent="0.25">
      <c r="A23" s="6">
        <v>2123</v>
      </c>
      <c r="B23" s="6" t="s">
        <v>30</v>
      </c>
      <c r="C23" s="6">
        <v>2214</v>
      </c>
      <c r="D23" s="6" t="s">
        <v>37</v>
      </c>
      <c r="E23" s="6" t="s">
        <v>20</v>
      </c>
      <c r="F23" s="6" t="s">
        <v>21</v>
      </c>
      <c r="G23" s="6" t="s">
        <v>15</v>
      </c>
      <c r="H23" s="6">
        <v>203</v>
      </c>
      <c r="I23" s="6">
        <v>313</v>
      </c>
      <c r="J23" s="6">
        <v>668</v>
      </c>
      <c r="K23" s="6">
        <v>643</v>
      </c>
      <c r="L23" s="6">
        <v>1.75</v>
      </c>
      <c r="M23" s="6">
        <v>1.623376623</v>
      </c>
      <c r="N23" s="6">
        <v>641.67272730000002</v>
      </c>
      <c r="O23" s="6">
        <v>0.64</v>
      </c>
      <c r="P23" s="6">
        <v>1.49</v>
      </c>
      <c r="Q23" s="6">
        <v>177</v>
      </c>
      <c r="R23" s="6">
        <v>411.36363640000002</v>
      </c>
      <c r="S23" s="6">
        <v>355</v>
      </c>
      <c r="T23" s="6">
        <v>6</v>
      </c>
      <c r="U23" s="6" t="s">
        <v>178</v>
      </c>
      <c r="V23" s="6">
        <v>3.6</v>
      </c>
      <c r="W23" s="6">
        <v>89.940880000000007</v>
      </c>
      <c r="X23" s="6">
        <v>648</v>
      </c>
      <c r="Y23" s="6">
        <v>1.8</v>
      </c>
      <c r="Z23" s="6">
        <v>33.042258519999997</v>
      </c>
      <c r="AA23" s="6">
        <v>573.64454550000005</v>
      </c>
      <c r="AB23" s="6">
        <v>563.1222659</v>
      </c>
      <c r="AC23" s="6">
        <v>153.96331582302801</v>
      </c>
      <c r="AD23" s="6">
        <v>544.67667540000002</v>
      </c>
      <c r="AE23" s="6">
        <v>0.73831063799999996</v>
      </c>
      <c r="AF23" s="6">
        <v>9.7628378349999991</v>
      </c>
      <c r="AG23" s="6">
        <v>9.1794715940000007</v>
      </c>
      <c r="AH23" s="6">
        <v>7.8777026860000001</v>
      </c>
      <c r="AI23" s="6">
        <v>4.3299394309999997</v>
      </c>
      <c r="AJ23" s="6">
        <v>5.4328984040000003</v>
      </c>
      <c r="AK23" s="6">
        <v>7.8777026860000001</v>
      </c>
      <c r="AL23" s="6">
        <v>1.2296652779999999</v>
      </c>
      <c r="AM23" s="6">
        <v>642.90239259999998</v>
      </c>
      <c r="AN23" s="6">
        <v>344.23777940000002</v>
      </c>
      <c r="AO23" s="6">
        <v>63.20038933</v>
      </c>
      <c r="AP23" s="6">
        <v>405.5396619</v>
      </c>
      <c r="AQ23" s="6">
        <v>1.175560006</v>
      </c>
      <c r="AR23" s="6">
        <v>0.67025178299999999</v>
      </c>
      <c r="AS23" s="6">
        <v>1981.85608</v>
      </c>
      <c r="AT23" s="6">
        <v>0.16628122400000001</v>
      </c>
      <c r="AU23">
        <v>580.38862610000001</v>
      </c>
      <c r="AV23">
        <v>1.6338515389999999</v>
      </c>
    </row>
    <row r="24" spans="1:48" x14ac:dyDescent="0.25">
      <c r="A24" s="6">
        <v>2132</v>
      </c>
      <c r="B24" s="6" t="s">
        <v>40</v>
      </c>
      <c r="C24" s="6">
        <v>2214</v>
      </c>
      <c r="D24" s="6" t="s">
        <v>37</v>
      </c>
      <c r="E24" s="6" t="s">
        <v>20</v>
      </c>
      <c r="F24" s="6" t="s">
        <v>21</v>
      </c>
      <c r="G24" s="6" t="s">
        <v>15</v>
      </c>
      <c r="H24" s="6">
        <v>203</v>
      </c>
      <c r="I24" s="6">
        <v>303</v>
      </c>
      <c r="J24" s="6">
        <v>666</v>
      </c>
      <c r="K24" s="6">
        <v>650</v>
      </c>
      <c r="L24" s="6">
        <v>1.79</v>
      </c>
      <c r="M24" s="6">
        <v>1.70958352</v>
      </c>
      <c r="N24" s="6">
        <v>639.70909089999998</v>
      </c>
      <c r="O24" s="6">
        <v>0.63990000000000002</v>
      </c>
      <c r="P24" s="6">
        <v>1.49</v>
      </c>
      <c r="Q24" s="6">
        <v>177</v>
      </c>
      <c r="R24" s="6">
        <v>415.90909090000002</v>
      </c>
      <c r="S24" s="6">
        <v>363</v>
      </c>
      <c r="T24" s="6">
        <v>6</v>
      </c>
      <c r="U24" s="6" t="s">
        <v>178</v>
      </c>
      <c r="V24" s="6">
        <v>3.6</v>
      </c>
      <c r="W24" s="6">
        <v>90.973200000000006</v>
      </c>
      <c r="X24" s="6">
        <v>591</v>
      </c>
      <c r="Y24" s="6">
        <v>1.7</v>
      </c>
      <c r="Z24" s="6">
        <v>32.704220509999999</v>
      </c>
      <c r="AA24" s="6">
        <v>579.62636359999999</v>
      </c>
      <c r="AB24" s="6">
        <v>575.24599230000001</v>
      </c>
      <c r="AC24" s="6">
        <v>159.27355618016</v>
      </c>
      <c r="AD24" s="6">
        <v>531.56553819999999</v>
      </c>
      <c r="AE24" s="6">
        <v>0.76496372700000004</v>
      </c>
      <c r="AF24" s="6">
        <v>10.092052410000001</v>
      </c>
      <c r="AG24" s="6">
        <v>9.1583953729999994</v>
      </c>
      <c r="AH24" s="6">
        <v>8.3694791659999996</v>
      </c>
      <c r="AI24" s="6">
        <v>4.319997817</v>
      </c>
      <c r="AJ24" s="6">
        <v>5.7720545970000003</v>
      </c>
      <c r="AK24" s="6">
        <v>8.3694791659999996</v>
      </c>
      <c r="AL24" s="6">
        <v>1.3212829319999999</v>
      </c>
      <c r="AM24" s="6">
        <v>641.03037380000001</v>
      </c>
      <c r="AN24" s="6">
        <v>335.36086210000002</v>
      </c>
      <c r="AO24" s="6">
        <v>63.089278370000002</v>
      </c>
      <c r="AP24" s="6">
        <v>403.58784910000003</v>
      </c>
      <c r="AQ24" s="6">
        <v>1.2631464830000001</v>
      </c>
      <c r="AR24" s="6">
        <v>0.66098539599999995</v>
      </c>
      <c r="AS24" s="6">
        <v>2048.6866399999999</v>
      </c>
      <c r="AT24" s="6">
        <v>0.169398993</v>
      </c>
      <c r="AU24">
        <v>599.96002539999995</v>
      </c>
      <c r="AV24">
        <v>1.6509218960000001</v>
      </c>
    </row>
    <row r="25" spans="1:48" x14ac:dyDescent="0.25">
      <c r="A25" s="6">
        <v>2141</v>
      </c>
      <c r="B25" s="6" t="s">
        <v>42</v>
      </c>
      <c r="C25" s="6">
        <v>2214</v>
      </c>
      <c r="D25" s="6" t="s">
        <v>37</v>
      </c>
      <c r="E25" s="6" t="s">
        <v>20</v>
      </c>
      <c r="F25" s="6" t="s">
        <v>21</v>
      </c>
      <c r="G25" s="6" t="s">
        <v>15</v>
      </c>
      <c r="H25" s="6">
        <v>203</v>
      </c>
      <c r="I25" s="6">
        <v>285</v>
      </c>
      <c r="J25" s="6">
        <v>646</v>
      </c>
      <c r="K25" s="6">
        <v>631</v>
      </c>
      <c r="L25" s="6">
        <v>1.78</v>
      </c>
      <c r="M25" s="6">
        <v>1.7084639500000001</v>
      </c>
      <c r="N25" s="6">
        <v>619.85454549999997</v>
      </c>
      <c r="O25" s="6">
        <v>0.64</v>
      </c>
      <c r="P25" s="6">
        <v>1.49</v>
      </c>
      <c r="Q25" s="6">
        <v>177</v>
      </c>
      <c r="R25" s="6">
        <v>404.09090909999998</v>
      </c>
      <c r="S25" s="6">
        <v>361</v>
      </c>
      <c r="T25" s="6">
        <v>6</v>
      </c>
      <c r="U25" s="6" t="s">
        <v>178</v>
      </c>
      <c r="V25" s="6">
        <v>4</v>
      </c>
      <c r="W25" s="6">
        <v>88.005279999999999</v>
      </c>
      <c r="X25" s="6">
        <v>640</v>
      </c>
      <c r="Y25" s="6">
        <v>2</v>
      </c>
      <c r="Z25" s="6">
        <v>34.101707009999998</v>
      </c>
      <c r="AA25" s="6">
        <v>564.07363640000005</v>
      </c>
      <c r="AB25" s="6">
        <v>535.42457279999996</v>
      </c>
      <c r="AC25" s="6">
        <v>146.84484171195899</v>
      </c>
      <c r="AD25" s="6">
        <v>553.37481270000001</v>
      </c>
      <c r="AE25" s="6">
        <v>0.71992476800000005</v>
      </c>
      <c r="AF25" s="6">
        <v>9.2759034830000004</v>
      </c>
      <c r="AG25" s="6">
        <v>8.9443717060000001</v>
      </c>
      <c r="AH25" s="6">
        <v>7.3324473269999997</v>
      </c>
      <c r="AI25" s="6">
        <v>4.2190432580000001</v>
      </c>
      <c r="AJ25" s="6">
        <v>5.0568602250000003</v>
      </c>
      <c r="AK25" s="6">
        <v>7.3324473269999997</v>
      </c>
      <c r="AL25" s="6">
        <v>1.139424934</v>
      </c>
      <c r="AM25" s="6">
        <v>620.99397039999997</v>
      </c>
      <c r="AN25" s="6">
        <v>350.12686789999998</v>
      </c>
      <c r="AO25" s="6">
        <v>63.271197000000001</v>
      </c>
      <c r="AP25" s="6">
        <v>392.1893905</v>
      </c>
      <c r="AQ25" s="6">
        <v>1.0892902369999999</v>
      </c>
      <c r="AR25" s="6">
        <v>0.67396208999999996</v>
      </c>
      <c r="AS25" s="6">
        <v>1883.008407</v>
      </c>
      <c r="AT25" s="6">
        <v>0.184183024</v>
      </c>
      <c r="AU25">
        <v>551.44098159999999</v>
      </c>
      <c r="AV25">
        <v>1.5269605530000001</v>
      </c>
    </row>
    <row r="26" spans="1:48" x14ac:dyDescent="0.25">
      <c r="A26" s="6">
        <v>2207</v>
      </c>
      <c r="B26" s="6" t="s">
        <v>30</v>
      </c>
      <c r="C26" s="6">
        <v>2214</v>
      </c>
      <c r="D26" s="6" t="s">
        <v>37</v>
      </c>
      <c r="E26" s="6" t="s">
        <v>20</v>
      </c>
      <c r="F26" s="6" t="s">
        <v>21</v>
      </c>
      <c r="G26" s="6" t="s">
        <v>15</v>
      </c>
      <c r="H26" s="6">
        <v>175</v>
      </c>
      <c r="I26" s="6">
        <v>320</v>
      </c>
      <c r="J26" s="6">
        <v>680</v>
      </c>
      <c r="K26" s="6">
        <v>663</v>
      </c>
      <c r="L26" s="6">
        <v>2.06</v>
      </c>
      <c r="M26" s="6">
        <v>1.9610389610000001</v>
      </c>
      <c r="N26" s="6">
        <v>652.36363640000002</v>
      </c>
      <c r="O26" s="6">
        <v>0.63370000000000004</v>
      </c>
      <c r="P26" s="6">
        <v>1.49</v>
      </c>
      <c r="Q26" s="6">
        <v>177</v>
      </c>
      <c r="R26" s="6">
        <v>420</v>
      </c>
      <c r="S26" s="6">
        <v>360</v>
      </c>
      <c r="T26" s="6">
        <v>5</v>
      </c>
      <c r="U26" s="6" t="s">
        <v>177</v>
      </c>
      <c r="V26" s="6">
        <v>5.4</v>
      </c>
      <c r="W26" s="6">
        <v>73.230199999999996</v>
      </c>
      <c r="X26" s="6">
        <v>523</v>
      </c>
      <c r="Y26" s="6">
        <v>2.6</v>
      </c>
      <c r="Z26" s="6">
        <v>37.325383299999999</v>
      </c>
      <c r="AA26" s="6">
        <v>585.01</v>
      </c>
      <c r="AB26" s="6">
        <v>507.3288824</v>
      </c>
      <c r="AC26" s="6">
        <v>95.757112206138004</v>
      </c>
      <c r="AD26" s="6">
        <v>614.65023780000001</v>
      </c>
      <c r="AE26" s="6">
        <v>0.57449533200000003</v>
      </c>
      <c r="AF26" s="6">
        <v>7.6914031630000004</v>
      </c>
      <c r="AG26" s="6">
        <v>9.2939387300000007</v>
      </c>
      <c r="AH26" s="6">
        <v>4.7958312090000002</v>
      </c>
      <c r="AI26" s="6">
        <v>4.3839333629999997</v>
      </c>
      <c r="AJ26" s="6">
        <v>3.3074697990000002</v>
      </c>
      <c r="AK26" s="6">
        <v>4.7958312090000002</v>
      </c>
      <c r="AL26" s="6">
        <v>0.72014118900000001</v>
      </c>
      <c r="AM26" s="6">
        <v>653.08377759999996</v>
      </c>
      <c r="AN26" s="6">
        <v>391.61349680000001</v>
      </c>
      <c r="AO26" s="6">
        <v>63.713226280000001</v>
      </c>
      <c r="AP26" s="6">
        <v>415.64191979999998</v>
      </c>
      <c r="AQ26" s="6">
        <v>0.68845497600000005</v>
      </c>
      <c r="AR26" s="6">
        <v>0.70282761999999999</v>
      </c>
      <c r="AS26" s="6">
        <v>1345.995553</v>
      </c>
      <c r="AT26" s="6">
        <v>0.25496504599999997</v>
      </c>
      <c r="AU26">
        <v>394.17620570000003</v>
      </c>
      <c r="AV26">
        <v>1.094933905</v>
      </c>
    </row>
    <row r="27" spans="1:48" x14ac:dyDescent="0.25">
      <c r="A27" s="6">
        <v>2208</v>
      </c>
      <c r="B27" s="6" t="s">
        <v>28</v>
      </c>
      <c r="C27" s="6">
        <v>2214</v>
      </c>
      <c r="D27" s="6" t="s">
        <v>37</v>
      </c>
      <c r="E27" s="6" t="s">
        <v>20</v>
      </c>
      <c r="F27" s="6" t="s">
        <v>21</v>
      </c>
      <c r="G27" s="6" t="s">
        <v>15</v>
      </c>
      <c r="H27" s="6">
        <v>175</v>
      </c>
      <c r="I27" s="6">
        <v>279</v>
      </c>
      <c r="J27" s="6">
        <v>565</v>
      </c>
      <c r="K27" s="6">
        <v>573</v>
      </c>
      <c r="L27" s="6">
        <v>1.63</v>
      </c>
      <c r="M27" s="6">
        <v>1.6779220779999999</v>
      </c>
      <c r="N27" s="6">
        <v>542.4</v>
      </c>
      <c r="O27" s="6">
        <v>0.63329999999999997</v>
      </c>
      <c r="P27" s="6">
        <v>1.49</v>
      </c>
      <c r="Q27" s="6">
        <v>177</v>
      </c>
      <c r="R27" s="6">
        <v>362.72727270000001</v>
      </c>
      <c r="S27" s="6">
        <v>286</v>
      </c>
      <c r="T27" s="6">
        <v>4</v>
      </c>
      <c r="U27" s="6" t="s">
        <v>175</v>
      </c>
      <c r="V27" s="6">
        <v>3.4</v>
      </c>
      <c r="W27" s="6">
        <v>83.424359999999993</v>
      </c>
      <c r="X27" s="6">
        <v>430</v>
      </c>
      <c r="Y27" s="6">
        <v>1.5</v>
      </c>
      <c r="Z27" s="6">
        <v>29.710226330000001</v>
      </c>
      <c r="AA27" s="6">
        <v>509.63909089999999</v>
      </c>
      <c r="AB27" s="6">
        <v>544.61421259999997</v>
      </c>
      <c r="AC27" s="6">
        <v>158.24531249170201</v>
      </c>
      <c r="AD27" s="6">
        <v>476.0566177</v>
      </c>
      <c r="AE27" s="6">
        <v>0.86367402999999998</v>
      </c>
      <c r="AF27" s="6">
        <v>10.067957760000001</v>
      </c>
      <c r="AG27" s="6">
        <v>8.092305262</v>
      </c>
      <c r="AH27" s="6">
        <v>9.0637073259999994</v>
      </c>
      <c r="AI27" s="6">
        <v>3.8171251239999999</v>
      </c>
      <c r="AJ27" s="6">
        <v>6.2508326380000003</v>
      </c>
      <c r="AK27" s="6">
        <v>9.0637073259999994</v>
      </c>
      <c r="AL27" s="6">
        <v>1.532117153</v>
      </c>
      <c r="AM27" s="6">
        <v>543.93211719999999</v>
      </c>
      <c r="AN27" s="6">
        <v>297.7784547</v>
      </c>
      <c r="AO27" s="6">
        <v>62.551058759999997</v>
      </c>
      <c r="AP27" s="6">
        <v>339.27694270000001</v>
      </c>
      <c r="AQ27" s="6">
        <v>1.4647039980000001</v>
      </c>
      <c r="AR27" s="6">
        <v>0.60713399199999996</v>
      </c>
      <c r="AS27" s="6">
        <v>1761.8926080000001</v>
      </c>
      <c r="AT27" s="6">
        <v>0.16665962600000001</v>
      </c>
      <c r="AU27">
        <v>515.97209320000002</v>
      </c>
      <c r="AV27">
        <v>1.804671868</v>
      </c>
    </row>
    <row r="28" spans="1:48" x14ac:dyDescent="0.25">
      <c r="A28" s="6">
        <v>2209</v>
      </c>
      <c r="B28" s="6" t="s">
        <v>28</v>
      </c>
      <c r="C28" s="6">
        <v>2214</v>
      </c>
      <c r="D28" s="6" t="s">
        <v>37</v>
      </c>
      <c r="E28" s="6" t="s">
        <v>20</v>
      </c>
      <c r="F28" s="6" t="s">
        <v>21</v>
      </c>
      <c r="G28" s="6" t="s">
        <v>15</v>
      </c>
      <c r="H28" s="6">
        <v>175</v>
      </c>
      <c r="I28" s="6">
        <v>279</v>
      </c>
      <c r="J28" s="6">
        <v>645</v>
      </c>
      <c r="K28" s="6">
        <v>628</v>
      </c>
      <c r="L28" s="6">
        <v>2.09</v>
      </c>
      <c r="M28" s="6">
        <v>1.9961038959999999</v>
      </c>
      <c r="N28" s="6">
        <v>619.41818179999996</v>
      </c>
      <c r="O28" s="6">
        <v>0.6331</v>
      </c>
      <c r="P28" s="6">
        <v>1.49</v>
      </c>
      <c r="Q28" s="6">
        <v>177</v>
      </c>
      <c r="R28" s="6">
        <v>397.72727270000001</v>
      </c>
      <c r="S28" s="6">
        <v>366</v>
      </c>
      <c r="T28" s="6">
        <v>5</v>
      </c>
      <c r="U28" s="6" t="s">
        <v>177</v>
      </c>
      <c r="V28" s="6">
        <v>4.3</v>
      </c>
      <c r="W28" s="6">
        <v>86.263239999999996</v>
      </c>
      <c r="X28" s="6">
        <v>546</v>
      </c>
      <c r="Y28" s="6">
        <v>2.2999999999999998</v>
      </c>
      <c r="Z28" s="6">
        <v>34.585030410000002</v>
      </c>
      <c r="AA28" s="6">
        <v>555.69909089999999</v>
      </c>
      <c r="AB28" s="6">
        <v>518.29018770000005</v>
      </c>
      <c r="AC28" s="6">
        <v>119.946938524095</v>
      </c>
      <c r="AD28" s="6">
        <v>571.26663389999999</v>
      </c>
      <c r="AE28" s="6">
        <v>0.68034054899999996</v>
      </c>
      <c r="AF28" s="6">
        <v>8.7612501680000001</v>
      </c>
      <c r="AG28" s="6">
        <v>8.9396488129999998</v>
      </c>
      <c r="AH28" s="6">
        <v>6.5894303000000001</v>
      </c>
      <c r="AI28" s="6">
        <v>4.216815478</v>
      </c>
      <c r="AJ28" s="6">
        <v>4.5444346900000001</v>
      </c>
      <c r="AK28" s="6">
        <v>6.5894303000000001</v>
      </c>
      <c r="AL28" s="6">
        <v>1.011435329</v>
      </c>
      <c r="AM28" s="6">
        <v>620.42961709999997</v>
      </c>
      <c r="AN28" s="6">
        <v>362.24055529999998</v>
      </c>
      <c r="AO28" s="6">
        <v>63.410066999999998</v>
      </c>
      <c r="AP28" s="6">
        <v>392.77348410000002</v>
      </c>
      <c r="AQ28" s="6">
        <v>0.96693217399999998</v>
      </c>
      <c r="AR28" s="6">
        <v>0.68421797299999998</v>
      </c>
      <c r="AS28" s="6">
        <v>1533.218779</v>
      </c>
      <c r="AT28" s="6">
        <v>0.227833227</v>
      </c>
      <c r="AU28">
        <v>449.0047232</v>
      </c>
      <c r="AV28">
        <v>1.2255712050000001</v>
      </c>
    </row>
    <row r="29" spans="1:48" x14ac:dyDescent="0.25">
      <c r="A29" s="6">
        <v>2221</v>
      </c>
      <c r="B29" s="6" t="s">
        <v>30</v>
      </c>
      <c r="C29" s="6">
        <v>2214</v>
      </c>
      <c r="D29" s="6" t="s">
        <v>37</v>
      </c>
      <c r="E29" s="6" t="s">
        <v>20</v>
      </c>
      <c r="F29" s="6" t="s">
        <v>21</v>
      </c>
      <c r="G29" s="6" t="s">
        <v>15</v>
      </c>
      <c r="H29" s="6">
        <v>203</v>
      </c>
      <c r="I29" s="6">
        <v>286</v>
      </c>
      <c r="J29" s="6">
        <v>672</v>
      </c>
      <c r="K29" s="6">
        <v>648</v>
      </c>
      <c r="L29" s="6">
        <v>1.9</v>
      </c>
      <c r="M29" s="6">
        <v>1.782355575</v>
      </c>
      <c r="N29" s="6">
        <v>645.3818182</v>
      </c>
      <c r="O29" s="6">
        <v>0.64029999999999998</v>
      </c>
      <c r="P29" s="6">
        <v>1.49</v>
      </c>
      <c r="Q29" s="6">
        <v>177</v>
      </c>
      <c r="R29" s="6">
        <v>415</v>
      </c>
      <c r="S29" s="6">
        <v>386</v>
      </c>
      <c r="T29" s="6">
        <v>6</v>
      </c>
      <c r="U29" s="6" t="s">
        <v>178</v>
      </c>
      <c r="V29" s="6">
        <v>3.5</v>
      </c>
      <c r="W29" s="6">
        <v>95.037959999999998</v>
      </c>
      <c r="X29" s="6">
        <v>579</v>
      </c>
      <c r="Y29" s="6">
        <v>1.9</v>
      </c>
      <c r="Z29" s="6">
        <v>33.006545150000001</v>
      </c>
      <c r="AA29" s="6">
        <v>578.42999999999995</v>
      </c>
      <c r="AB29" s="6">
        <v>569.06472080000003</v>
      </c>
      <c r="AC29" s="6">
        <v>158.61093505620701</v>
      </c>
      <c r="AD29" s="6">
        <v>542.10443529999998</v>
      </c>
      <c r="AE29" s="6">
        <v>0.74364021199999997</v>
      </c>
      <c r="AF29" s="6">
        <v>9.8759111470000001</v>
      </c>
      <c r="AG29" s="6">
        <v>9.2192383059999994</v>
      </c>
      <c r="AH29" s="6">
        <v>8.0144600570000009</v>
      </c>
      <c r="AI29" s="6">
        <v>4.3486973139999998</v>
      </c>
      <c r="AJ29" s="6">
        <v>5.5272138330000002</v>
      </c>
      <c r="AK29" s="6">
        <v>8.0144600570000009</v>
      </c>
      <c r="AL29" s="6">
        <v>1.2531596229999999</v>
      </c>
      <c r="AM29" s="6">
        <v>646.6349778</v>
      </c>
      <c r="AN29" s="6">
        <v>342.49624</v>
      </c>
      <c r="AO29" s="6">
        <v>63.179014539999997</v>
      </c>
      <c r="AP29" s="6">
        <v>407.74587279999997</v>
      </c>
      <c r="AQ29" s="6">
        <v>1.1980205989999999</v>
      </c>
      <c r="AR29" s="6">
        <v>0.66883943000000001</v>
      </c>
      <c r="AS29" s="6">
        <v>2004.8099629999999</v>
      </c>
      <c r="AT29" s="6">
        <v>0.180475052</v>
      </c>
      <c r="AU29">
        <v>587.11069459999999</v>
      </c>
      <c r="AV29">
        <v>1.5213704690000001</v>
      </c>
    </row>
    <row r="30" spans="1:48" x14ac:dyDescent="0.25">
      <c r="A30" s="6">
        <v>2233</v>
      </c>
      <c r="B30" s="6" t="s">
        <v>44</v>
      </c>
      <c r="C30" s="6">
        <v>2214</v>
      </c>
      <c r="D30" s="6" t="s">
        <v>37</v>
      </c>
      <c r="E30" s="6" t="s">
        <v>20</v>
      </c>
      <c r="F30" s="6" t="s">
        <v>21</v>
      </c>
      <c r="G30" s="6" t="s">
        <v>15</v>
      </c>
      <c r="H30" s="6">
        <v>203</v>
      </c>
      <c r="I30" s="6">
        <v>308</v>
      </c>
      <c r="J30" s="6">
        <v>635</v>
      </c>
      <c r="K30" s="6">
        <v>631</v>
      </c>
      <c r="L30" s="6">
        <v>1.61</v>
      </c>
      <c r="M30" s="6">
        <v>1.5920286610000001</v>
      </c>
      <c r="N30" s="6">
        <v>609.3818182</v>
      </c>
      <c r="O30" s="6">
        <v>0.64049999999999996</v>
      </c>
      <c r="P30" s="6">
        <v>1.49</v>
      </c>
      <c r="Q30" s="6">
        <v>177</v>
      </c>
      <c r="R30" s="6">
        <v>404.09090909999998</v>
      </c>
      <c r="S30" s="6">
        <v>327</v>
      </c>
      <c r="T30" s="6">
        <v>7</v>
      </c>
      <c r="U30" s="6" t="s">
        <v>179</v>
      </c>
      <c r="V30" s="6">
        <v>3.8</v>
      </c>
      <c r="W30" s="6">
        <v>85.747079999999997</v>
      </c>
      <c r="X30" s="6">
        <v>674</v>
      </c>
      <c r="Y30" s="6">
        <v>1.8</v>
      </c>
      <c r="Z30" s="6">
        <v>34.121511290000001</v>
      </c>
      <c r="AA30" s="6">
        <v>564.07363640000005</v>
      </c>
      <c r="AB30" s="6">
        <v>535.10761539999999</v>
      </c>
      <c r="AC30" s="6">
        <v>142.82427711407499</v>
      </c>
      <c r="AD30" s="6">
        <v>544.34753069999999</v>
      </c>
      <c r="AE30" s="6">
        <v>0.73899535100000002</v>
      </c>
      <c r="AF30" s="6">
        <v>9.4007085650000004</v>
      </c>
      <c r="AG30" s="6">
        <v>8.8307911879999992</v>
      </c>
      <c r="AH30" s="6">
        <v>7.5910994839999999</v>
      </c>
      <c r="AI30" s="6">
        <v>4.165467542</v>
      </c>
      <c r="AJ30" s="6">
        <v>5.2352410239999996</v>
      </c>
      <c r="AK30" s="6">
        <v>7.5910994839999999</v>
      </c>
      <c r="AL30" s="6">
        <v>1.189307841</v>
      </c>
      <c r="AM30" s="6">
        <v>610.57112600000005</v>
      </c>
      <c r="AN30" s="6">
        <v>344.01493149999999</v>
      </c>
      <c r="AO30" s="6">
        <v>63.197665479999998</v>
      </c>
      <c r="AP30" s="6">
        <v>385.1150829</v>
      </c>
      <c r="AQ30" s="6">
        <v>1.1369782960000001</v>
      </c>
      <c r="AR30" s="6">
        <v>0.66721641200000004</v>
      </c>
      <c r="AS30" s="6">
        <v>1908.3438389999999</v>
      </c>
      <c r="AT30" s="6">
        <v>0.16935198600000001</v>
      </c>
      <c r="AU30">
        <v>558.86048930000004</v>
      </c>
      <c r="AV30">
        <v>1.70881595</v>
      </c>
    </row>
    <row r="31" spans="1:48" x14ac:dyDescent="0.25">
      <c r="A31" s="6">
        <v>2235</v>
      </c>
      <c r="B31" s="6" t="s">
        <v>44</v>
      </c>
      <c r="C31" s="6">
        <v>2214</v>
      </c>
      <c r="D31" s="6" t="s">
        <v>37</v>
      </c>
      <c r="E31" s="6" t="s">
        <v>20</v>
      </c>
      <c r="F31" s="6" t="s">
        <v>21</v>
      </c>
      <c r="G31" s="6" t="s">
        <v>15</v>
      </c>
      <c r="H31" s="6">
        <v>203</v>
      </c>
      <c r="I31" s="6">
        <v>269</v>
      </c>
      <c r="J31" s="6">
        <v>663</v>
      </c>
      <c r="K31" s="6">
        <v>645</v>
      </c>
      <c r="L31" s="6">
        <v>1.94</v>
      </c>
      <c r="M31" s="6">
        <v>1.8528884910000001</v>
      </c>
      <c r="N31" s="6">
        <v>636.43636360000005</v>
      </c>
      <c r="O31" s="6">
        <v>0.64059999999999995</v>
      </c>
      <c r="P31" s="6">
        <v>1.49</v>
      </c>
      <c r="Q31" s="6">
        <v>177</v>
      </c>
      <c r="R31" s="6">
        <v>413.18181820000001</v>
      </c>
      <c r="S31" s="6">
        <v>394</v>
      </c>
      <c r="T31" s="6">
        <v>5</v>
      </c>
      <c r="U31" s="6" t="s">
        <v>177</v>
      </c>
      <c r="V31" s="6">
        <v>2.2999999999999998</v>
      </c>
      <c r="W31" s="6">
        <v>102.00612</v>
      </c>
      <c r="X31" s="6">
        <v>544</v>
      </c>
      <c r="Y31" s="6">
        <v>1.1000000000000001</v>
      </c>
      <c r="Z31" s="6">
        <v>28.114759939999999</v>
      </c>
      <c r="AA31" s="6">
        <v>576.03727270000002</v>
      </c>
      <c r="AB31" s="6">
        <v>644.66980460000002</v>
      </c>
      <c r="AC31" s="6">
        <v>202.82179426746501</v>
      </c>
      <c r="AD31" s="6">
        <v>471.89519289999998</v>
      </c>
      <c r="AE31" s="6">
        <v>0.87015295699999995</v>
      </c>
      <c r="AF31" s="6">
        <v>11.435722370000001</v>
      </c>
      <c r="AG31" s="6">
        <v>9.1232323520000005</v>
      </c>
      <c r="AH31" s="6">
        <v>10.341850770000001</v>
      </c>
      <c r="AI31" s="6">
        <v>4.303411487</v>
      </c>
      <c r="AJ31" s="6">
        <v>7.1323108790000003</v>
      </c>
      <c r="AK31" s="6">
        <v>10.341850770000001</v>
      </c>
      <c r="AL31" s="6">
        <v>1.738307906</v>
      </c>
      <c r="AM31" s="6">
        <v>638.17467150000004</v>
      </c>
      <c r="AN31" s="6">
        <v>294.96095509999998</v>
      </c>
      <c r="AO31" s="6">
        <v>62.505607070000003</v>
      </c>
      <c r="AP31" s="6">
        <v>397.80841270000002</v>
      </c>
      <c r="AQ31" s="6">
        <v>1.661822358</v>
      </c>
      <c r="AR31" s="6">
        <v>0.61145344300000004</v>
      </c>
      <c r="AS31" s="6">
        <v>2321.4516400000002</v>
      </c>
      <c r="AT31" s="6">
        <v>0.16202636200000001</v>
      </c>
      <c r="AU31">
        <v>679.83954100000005</v>
      </c>
      <c r="AV31">
        <v>1.7250830340000001</v>
      </c>
    </row>
    <row r="32" spans="1:48" x14ac:dyDescent="0.25">
      <c r="A32" s="6">
        <v>2238</v>
      </c>
      <c r="B32" s="6" t="s">
        <v>28</v>
      </c>
      <c r="C32" s="6">
        <v>2214</v>
      </c>
      <c r="D32" s="6" t="s">
        <v>37</v>
      </c>
      <c r="E32" s="6" t="s">
        <v>20</v>
      </c>
      <c r="F32" s="6" t="s">
        <v>21</v>
      </c>
      <c r="G32" s="6" t="s">
        <v>15</v>
      </c>
      <c r="H32" s="6">
        <v>203</v>
      </c>
      <c r="I32" s="6">
        <v>302</v>
      </c>
      <c r="J32" s="6">
        <v>689</v>
      </c>
      <c r="K32" s="6">
        <v>697</v>
      </c>
      <c r="L32" s="6">
        <v>1.91</v>
      </c>
      <c r="M32" s="6">
        <v>1.9469323780000001</v>
      </c>
      <c r="N32" s="6">
        <v>661.74545450000005</v>
      </c>
      <c r="O32" s="6">
        <v>0.64019999999999999</v>
      </c>
      <c r="P32" s="6">
        <v>1.49</v>
      </c>
      <c r="Q32" s="6">
        <v>177</v>
      </c>
      <c r="R32" s="6">
        <v>446.36363640000002</v>
      </c>
      <c r="S32" s="6">
        <v>387</v>
      </c>
      <c r="T32" s="6">
        <v>6</v>
      </c>
      <c r="U32" s="6" t="s">
        <v>178</v>
      </c>
      <c r="V32" s="6">
        <v>3</v>
      </c>
      <c r="W32" s="6">
        <v>105.36116</v>
      </c>
      <c r="X32" s="6">
        <v>587</v>
      </c>
      <c r="Y32" s="6">
        <v>1.6</v>
      </c>
      <c r="Z32" s="6">
        <v>31.849166329999999</v>
      </c>
      <c r="AA32" s="6">
        <v>619.70454549999999</v>
      </c>
      <c r="AB32" s="6">
        <v>633.91182219999996</v>
      </c>
      <c r="AC32" s="6">
        <v>170.45603194740701</v>
      </c>
      <c r="AD32" s="6">
        <v>498.98789740000001</v>
      </c>
      <c r="AE32" s="6">
        <v>0.82566737899999998</v>
      </c>
      <c r="AF32" s="6">
        <v>11.17313678</v>
      </c>
      <c r="AG32" s="6">
        <v>9.3940035850000001</v>
      </c>
      <c r="AH32" s="6">
        <v>9.7759043670000008</v>
      </c>
      <c r="AI32" s="6">
        <v>4.4311337660000003</v>
      </c>
      <c r="AJ32" s="6">
        <v>6.7420030119999996</v>
      </c>
      <c r="AK32" s="6">
        <v>9.7759043670000008</v>
      </c>
      <c r="AL32" s="6">
        <v>1.589534869</v>
      </c>
      <c r="AM32" s="6">
        <v>663.33498940000004</v>
      </c>
      <c r="AN32" s="6">
        <v>313.3041159</v>
      </c>
      <c r="AO32" s="6">
        <v>62.787918820000002</v>
      </c>
      <c r="AP32" s="6">
        <v>415.4961988</v>
      </c>
      <c r="AQ32" s="6">
        <v>1.5195953339999999</v>
      </c>
      <c r="AR32" s="6">
        <v>0.63728713400000003</v>
      </c>
      <c r="AS32" s="6">
        <v>2268.1467659999998</v>
      </c>
      <c r="AT32" s="6">
        <v>0.17425119</v>
      </c>
      <c r="AU32">
        <v>664.22915279999995</v>
      </c>
      <c r="AV32">
        <v>1.7151457000000001</v>
      </c>
    </row>
    <row r="33" spans="1:48" x14ac:dyDescent="0.25">
      <c r="A33" s="6">
        <v>2240</v>
      </c>
      <c r="B33" s="6" t="s">
        <v>40</v>
      </c>
      <c r="C33" s="6">
        <v>2214</v>
      </c>
      <c r="D33" s="6" t="s">
        <v>37</v>
      </c>
      <c r="E33" s="6" t="s">
        <v>20</v>
      </c>
      <c r="F33" s="6" t="s">
        <v>21</v>
      </c>
      <c r="G33" s="6" t="s">
        <v>15</v>
      </c>
      <c r="H33" s="6">
        <v>203</v>
      </c>
      <c r="I33" s="6">
        <v>274</v>
      </c>
      <c r="J33" s="6">
        <v>674</v>
      </c>
      <c r="K33" s="6">
        <v>662</v>
      </c>
      <c r="L33" s="6">
        <v>1.97</v>
      </c>
      <c r="M33" s="6">
        <v>1.9099865650000001</v>
      </c>
      <c r="N33" s="6">
        <v>646.90909090000002</v>
      </c>
      <c r="O33" s="6">
        <v>0.6401</v>
      </c>
      <c r="P33" s="6">
        <v>1.49</v>
      </c>
      <c r="Q33" s="6">
        <v>177</v>
      </c>
      <c r="R33" s="6">
        <v>423.63636359999998</v>
      </c>
      <c r="S33" s="6">
        <v>400</v>
      </c>
      <c r="T33" s="6">
        <v>5</v>
      </c>
      <c r="U33" s="6" t="s">
        <v>177</v>
      </c>
      <c r="V33" s="6">
        <v>3.7</v>
      </c>
      <c r="W33" s="6">
        <v>95.10248</v>
      </c>
      <c r="X33" s="6">
        <v>539</v>
      </c>
      <c r="Y33" s="6">
        <v>2</v>
      </c>
      <c r="Z33" s="6">
        <v>32.946155079999997</v>
      </c>
      <c r="AA33" s="6">
        <v>589.79545450000001</v>
      </c>
      <c r="AB33" s="6">
        <v>582.78707420000001</v>
      </c>
      <c r="AC33" s="6">
        <v>161.62216571115101</v>
      </c>
      <c r="AD33" s="6">
        <v>530.59266260000004</v>
      </c>
      <c r="AE33" s="6">
        <v>0.766890611</v>
      </c>
      <c r="AF33" s="6">
        <v>10.202758920000001</v>
      </c>
      <c r="AG33" s="6">
        <v>9.2355962159999994</v>
      </c>
      <c r="AH33" s="6">
        <v>8.4772011299999992</v>
      </c>
      <c r="AI33" s="6">
        <v>4.3564133089999997</v>
      </c>
      <c r="AJ33" s="6">
        <v>5.8463456069999999</v>
      </c>
      <c r="AK33" s="6">
        <v>8.4772011299999992</v>
      </c>
      <c r="AL33" s="6">
        <v>1.338452113</v>
      </c>
      <c r="AM33" s="6">
        <v>648.24754299999995</v>
      </c>
      <c r="AN33" s="6">
        <v>334.70217509999998</v>
      </c>
      <c r="AO33" s="6">
        <v>63.080814840000002</v>
      </c>
      <c r="AP33" s="6">
        <v>408.07552579999998</v>
      </c>
      <c r="AQ33" s="6">
        <v>1.27956022</v>
      </c>
      <c r="AR33" s="6">
        <v>0.66088602299999999</v>
      </c>
      <c r="AS33" s="6">
        <v>2071.1600600000002</v>
      </c>
      <c r="AT33" s="6">
        <v>0.18720295000000001</v>
      </c>
      <c r="AU33">
        <v>606.54138999999998</v>
      </c>
      <c r="AV33">
        <v>1.517215529</v>
      </c>
    </row>
    <row r="34" spans="1:48" x14ac:dyDescent="0.25">
      <c r="A34" s="6">
        <v>2244</v>
      </c>
      <c r="B34" s="6" t="s">
        <v>42</v>
      </c>
      <c r="C34" s="6">
        <v>2214</v>
      </c>
      <c r="D34" s="6" t="s">
        <v>37</v>
      </c>
      <c r="E34" s="6" t="s">
        <v>20</v>
      </c>
      <c r="F34" s="6" t="s">
        <v>21</v>
      </c>
      <c r="G34" s="6" t="s">
        <v>15</v>
      </c>
      <c r="H34" s="6">
        <v>203</v>
      </c>
      <c r="I34" s="6">
        <v>270</v>
      </c>
      <c r="J34" s="6">
        <v>672</v>
      </c>
      <c r="K34" s="6">
        <v>649</v>
      </c>
      <c r="L34" s="6">
        <v>1.98</v>
      </c>
      <c r="M34" s="6">
        <v>1.8663233319999999</v>
      </c>
      <c r="N34" s="6">
        <v>645.16363639999997</v>
      </c>
      <c r="O34" s="6">
        <v>0.64049999999999996</v>
      </c>
      <c r="P34" s="6">
        <v>1.49</v>
      </c>
      <c r="Q34" s="6">
        <v>177</v>
      </c>
      <c r="R34" s="6">
        <v>415.45454549999999</v>
      </c>
      <c r="S34" s="6">
        <v>402</v>
      </c>
      <c r="T34" s="6">
        <v>5</v>
      </c>
      <c r="U34" s="6" t="s">
        <v>177</v>
      </c>
      <c r="V34" s="6">
        <v>3.6</v>
      </c>
      <c r="W34" s="6">
        <v>95.037959999999998</v>
      </c>
      <c r="X34" s="6">
        <v>509</v>
      </c>
      <c r="Y34" s="6">
        <v>2</v>
      </c>
      <c r="Z34" s="6">
        <v>32.91028446</v>
      </c>
      <c r="AA34" s="6">
        <v>579.02818179999997</v>
      </c>
      <c r="AB34" s="6">
        <v>571.27668389999997</v>
      </c>
      <c r="AC34" s="6">
        <v>161.54969051280901</v>
      </c>
      <c r="AD34" s="6">
        <v>539.82286839999995</v>
      </c>
      <c r="AE34" s="6">
        <v>0.74832643700000001</v>
      </c>
      <c r="AF34" s="6">
        <v>9.9356266190000007</v>
      </c>
      <c r="AG34" s="6">
        <v>9.2169006719999995</v>
      </c>
      <c r="AH34" s="6">
        <v>8.1026463450000001</v>
      </c>
      <c r="AI34" s="6">
        <v>4.3475946570000001</v>
      </c>
      <c r="AJ34" s="6">
        <v>5.5880319619999996</v>
      </c>
      <c r="AK34" s="6">
        <v>8.1026463450000001</v>
      </c>
      <c r="AL34" s="6">
        <v>1.269378675</v>
      </c>
      <c r="AM34" s="6">
        <v>646.43301499999995</v>
      </c>
      <c r="AN34" s="6">
        <v>340.95150130000002</v>
      </c>
      <c r="AO34" s="6">
        <v>63.15988471</v>
      </c>
      <c r="AP34" s="6">
        <v>407.48460890000001</v>
      </c>
      <c r="AQ34" s="6">
        <v>1.2135260130000001</v>
      </c>
      <c r="AR34" s="6">
        <v>0.66726422500000004</v>
      </c>
      <c r="AS34" s="6">
        <v>2016.932204</v>
      </c>
      <c r="AT34" s="6">
        <v>0.187841533</v>
      </c>
      <c r="AU34">
        <v>590.66070549999995</v>
      </c>
      <c r="AV34">
        <v>1.468309098</v>
      </c>
    </row>
    <row r="35" spans="1:48" x14ac:dyDescent="0.25">
      <c r="A35" s="6">
        <v>2245</v>
      </c>
      <c r="B35" s="6" t="s">
        <v>42</v>
      </c>
      <c r="C35" s="6">
        <v>2214</v>
      </c>
      <c r="D35" s="6" t="s">
        <v>37</v>
      </c>
      <c r="E35" s="6" t="s">
        <v>20</v>
      </c>
      <c r="F35" s="6" t="s">
        <v>21</v>
      </c>
      <c r="G35" s="6" t="s">
        <v>15</v>
      </c>
      <c r="H35" s="6">
        <v>203</v>
      </c>
      <c r="I35" s="6">
        <v>227</v>
      </c>
      <c r="J35" s="6">
        <v>607</v>
      </c>
      <c r="K35" s="6">
        <v>529</v>
      </c>
      <c r="L35" s="6">
        <v>1.87</v>
      </c>
      <c r="M35" s="6">
        <v>1.484549933</v>
      </c>
      <c r="N35" s="6">
        <v>582.54545450000001</v>
      </c>
      <c r="O35" s="6">
        <v>0.64059999999999995</v>
      </c>
      <c r="P35" s="6">
        <v>1.49</v>
      </c>
      <c r="Q35" s="6">
        <v>177</v>
      </c>
      <c r="R35" s="6">
        <v>338.63636359999998</v>
      </c>
      <c r="S35" s="6">
        <v>380</v>
      </c>
      <c r="T35" s="6">
        <v>5</v>
      </c>
      <c r="U35" s="6" t="s">
        <v>177</v>
      </c>
      <c r="V35" s="6">
        <v>3.2</v>
      </c>
      <c r="W35" s="6">
        <v>79.295079999999999</v>
      </c>
      <c r="X35" s="6">
        <v>533</v>
      </c>
      <c r="Y35" s="6">
        <v>1.4</v>
      </c>
      <c r="Z35" s="6">
        <v>29.744559379999998</v>
      </c>
      <c r="AA35" s="6">
        <v>477.93545449999999</v>
      </c>
      <c r="AB35" s="6">
        <v>508.4826463</v>
      </c>
      <c r="AC35" s="6">
        <v>189.42435870565501</v>
      </c>
      <c r="AD35" s="6">
        <v>547.62287230000004</v>
      </c>
      <c r="AE35" s="6">
        <v>0.732145924</v>
      </c>
      <c r="AF35" s="6">
        <v>9.0042340579999998</v>
      </c>
      <c r="AG35" s="6">
        <v>8.5374831560000004</v>
      </c>
      <c r="AH35" s="6">
        <v>7.2168230739999997</v>
      </c>
      <c r="AI35" s="6">
        <v>4.0271146959999999</v>
      </c>
      <c r="AJ35" s="6">
        <v>4.9771193609999997</v>
      </c>
      <c r="AK35" s="6">
        <v>7.2168230739999997</v>
      </c>
      <c r="AL35" s="6">
        <v>1.131085777</v>
      </c>
      <c r="AM35" s="6">
        <v>583.67654030000006</v>
      </c>
      <c r="AN35" s="6">
        <v>346.232507</v>
      </c>
      <c r="AO35" s="6">
        <v>63.224624919999997</v>
      </c>
      <c r="AP35" s="6">
        <v>368.31217859999998</v>
      </c>
      <c r="AQ35" s="6">
        <v>1.081318003</v>
      </c>
      <c r="AR35" s="6">
        <v>0.66691414000000004</v>
      </c>
      <c r="AS35" s="6">
        <v>1827.859514</v>
      </c>
      <c r="AT35" s="6">
        <v>0.16487242799999999</v>
      </c>
      <c r="AU35">
        <v>535.29057049999994</v>
      </c>
      <c r="AV35">
        <v>1.4103464130000001</v>
      </c>
    </row>
    <row r="36" spans="1:48" x14ac:dyDescent="0.25">
      <c r="A36" s="6">
        <v>2246</v>
      </c>
      <c r="B36" s="6" t="s">
        <v>42</v>
      </c>
      <c r="C36" s="6">
        <v>2214</v>
      </c>
      <c r="D36" s="6" t="s">
        <v>37</v>
      </c>
      <c r="E36" s="6" t="s">
        <v>20</v>
      </c>
      <c r="F36" s="6" t="s">
        <v>21</v>
      </c>
      <c r="G36" s="6" t="s">
        <v>15</v>
      </c>
      <c r="H36" s="6">
        <v>175</v>
      </c>
      <c r="I36" s="6">
        <v>336</v>
      </c>
      <c r="J36" s="6">
        <v>676</v>
      </c>
      <c r="K36" s="6">
        <v>666</v>
      </c>
      <c r="L36" s="6">
        <v>1.94</v>
      </c>
      <c r="M36" s="6">
        <v>1.885714286</v>
      </c>
      <c r="N36" s="6">
        <v>648.65454550000004</v>
      </c>
      <c r="O36" s="6">
        <v>0.63339999999999996</v>
      </c>
      <c r="P36" s="6">
        <v>1.49</v>
      </c>
      <c r="Q36" s="6">
        <v>177</v>
      </c>
      <c r="R36" s="6">
        <v>421.81818179999999</v>
      </c>
      <c r="S36" s="6">
        <v>340</v>
      </c>
      <c r="T36" s="6">
        <v>5</v>
      </c>
      <c r="U36" s="6" t="s">
        <v>177</v>
      </c>
      <c r="V36" s="6">
        <v>3.6</v>
      </c>
      <c r="W36" s="6">
        <v>96.909040000000005</v>
      </c>
      <c r="X36" s="6">
        <v>523</v>
      </c>
      <c r="Y36" s="6">
        <v>2.1</v>
      </c>
      <c r="Z36" s="6">
        <v>33.145500579999997</v>
      </c>
      <c r="AA36" s="6">
        <v>587.40272730000004</v>
      </c>
      <c r="AB36" s="6">
        <v>576.91121099999998</v>
      </c>
      <c r="AC36" s="6">
        <v>127.80415457076001</v>
      </c>
      <c r="AD36" s="6">
        <v>537.44296670000006</v>
      </c>
      <c r="AE36" s="6">
        <v>0.75317347800000001</v>
      </c>
      <c r="AF36" s="6">
        <v>10.040535630000001</v>
      </c>
      <c r="AG36" s="6">
        <v>9.2542791530000006</v>
      </c>
      <c r="AH36" s="6">
        <v>8.2291989359999995</v>
      </c>
      <c r="AI36" s="6">
        <v>4.3652260160000003</v>
      </c>
      <c r="AJ36" s="6">
        <v>5.6753096110000003</v>
      </c>
      <c r="AK36" s="6">
        <v>8.2291989359999995</v>
      </c>
      <c r="AL36" s="6">
        <v>1.2913347319999999</v>
      </c>
      <c r="AM36" s="6">
        <v>649.94588020000003</v>
      </c>
      <c r="AN36" s="6">
        <v>339.3401849</v>
      </c>
      <c r="AO36" s="6">
        <v>63.139757320000001</v>
      </c>
      <c r="AP36" s="6">
        <v>409.55890579999999</v>
      </c>
      <c r="AQ36" s="6">
        <v>1.2345160040000001</v>
      </c>
      <c r="AR36" s="6">
        <v>0.66590955699999999</v>
      </c>
      <c r="AS36" s="6">
        <v>1757.0937349999999</v>
      </c>
      <c r="AT36" s="6">
        <v>0.18781012799999999</v>
      </c>
      <c r="AU36">
        <v>514.56673809999995</v>
      </c>
      <c r="AV36">
        <v>1.5144439110000001</v>
      </c>
    </row>
    <row r="37" spans="1:48" x14ac:dyDescent="0.25">
      <c r="A37" s="6">
        <v>2003</v>
      </c>
      <c r="B37" s="6" t="s">
        <v>36</v>
      </c>
      <c r="C37" s="6">
        <v>2214</v>
      </c>
      <c r="D37" s="6" t="s">
        <v>37</v>
      </c>
      <c r="E37" s="6" t="s">
        <v>23</v>
      </c>
      <c r="F37" s="6" t="s">
        <v>21</v>
      </c>
      <c r="G37" s="6" t="s">
        <v>24</v>
      </c>
      <c r="H37" s="6">
        <v>203</v>
      </c>
      <c r="I37" s="6">
        <v>256</v>
      </c>
      <c r="J37" s="6">
        <v>651</v>
      </c>
      <c r="K37" s="6">
        <v>621</v>
      </c>
      <c r="L37" s="6">
        <v>1.95</v>
      </c>
      <c r="M37" s="6">
        <v>1.799149127</v>
      </c>
      <c r="N37" s="6">
        <v>625.3090909</v>
      </c>
      <c r="O37" s="6">
        <v>0.63980000000000004</v>
      </c>
      <c r="P37" s="6">
        <v>1.49</v>
      </c>
      <c r="Q37" s="6">
        <v>177</v>
      </c>
      <c r="R37" s="6">
        <v>397.27272729999999</v>
      </c>
      <c r="S37" s="6">
        <v>396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8" x14ac:dyDescent="0.25">
      <c r="A38" s="6">
        <v>2015</v>
      </c>
      <c r="B38" s="6" t="s">
        <v>36</v>
      </c>
      <c r="C38" s="6">
        <v>2214</v>
      </c>
      <c r="D38" s="6" t="s">
        <v>37</v>
      </c>
      <c r="E38" s="6" t="s">
        <v>23</v>
      </c>
      <c r="F38" s="6" t="s">
        <v>21</v>
      </c>
      <c r="G38" s="6" t="s">
        <v>24</v>
      </c>
      <c r="H38" s="6">
        <v>203</v>
      </c>
      <c r="I38" s="6">
        <v>303</v>
      </c>
      <c r="J38" s="6">
        <v>703</v>
      </c>
      <c r="K38" s="6">
        <v>680</v>
      </c>
      <c r="L38" s="6">
        <v>1.97</v>
      </c>
      <c r="M38" s="6">
        <v>1.8596059110000001</v>
      </c>
      <c r="N38" s="6">
        <v>674.6181818</v>
      </c>
      <c r="O38" s="6">
        <v>0.64059999999999995</v>
      </c>
      <c r="P38" s="6">
        <v>1.49</v>
      </c>
      <c r="Q38" s="6">
        <v>177</v>
      </c>
      <c r="R38" s="6">
        <v>435.90909090000002</v>
      </c>
      <c r="S38" s="6">
        <v>400</v>
      </c>
      <c r="T38" s="6">
        <v>8</v>
      </c>
      <c r="U38" s="6" t="s">
        <v>176</v>
      </c>
      <c r="V38" s="6">
        <v>3.3</v>
      </c>
      <c r="W38" s="6">
        <v>103.03843999999999</v>
      </c>
      <c r="X38" s="6">
        <v>797</v>
      </c>
      <c r="Y38" s="6">
        <v>1.9</v>
      </c>
      <c r="Z38" s="6">
        <v>34.628882609999998</v>
      </c>
      <c r="AA38" s="6">
        <v>605.94636360000004</v>
      </c>
      <c r="AB38" s="6">
        <v>573.98260110000001</v>
      </c>
      <c r="AC38" s="6">
        <v>145.744888201908</v>
      </c>
      <c r="AD38" s="6">
        <v>561.80708319999997</v>
      </c>
      <c r="AE38" s="6">
        <v>0.70156497600000001</v>
      </c>
      <c r="AF38" s="6">
        <v>9.6319272680000001</v>
      </c>
      <c r="AG38" s="6">
        <v>9.5307269580000007</v>
      </c>
      <c r="AH38" s="6">
        <v>7.4476369499999997</v>
      </c>
      <c r="AI38" s="6">
        <v>4.4956259230000004</v>
      </c>
      <c r="AJ38" s="6">
        <v>5.1363013449999997</v>
      </c>
      <c r="AK38" s="6">
        <v>7.4476369499999997</v>
      </c>
      <c r="AL38" s="6">
        <v>1.143842995</v>
      </c>
      <c r="AM38" s="6">
        <v>675.76202479999995</v>
      </c>
      <c r="AN38" s="6">
        <v>355.83595070000001</v>
      </c>
      <c r="AO38" s="6">
        <v>63.337747309999997</v>
      </c>
      <c r="AP38" s="6">
        <v>427.28795930000001</v>
      </c>
      <c r="AQ38" s="6">
        <v>1.0935139030000001</v>
      </c>
      <c r="AR38" s="6">
        <v>0.68372080300000004</v>
      </c>
      <c r="AS38" s="6">
        <v>1955.2812349999999</v>
      </c>
      <c r="AT38" s="6">
        <v>0.19306685600000001</v>
      </c>
      <c r="AU38">
        <v>572.60615499999994</v>
      </c>
      <c r="AV38">
        <v>1.4323292110000001</v>
      </c>
    </row>
    <row r="39" spans="1:48" x14ac:dyDescent="0.25">
      <c r="A39" s="6">
        <v>2017</v>
      </c>
      <c r="B39" s="6" t="s">
        <v>38</v>
      </c>
      <c r="C39" s="6">
        <v>2214</v>
      </c>
      <c r="D39" s="6" t="s">
        <v>37</v>
      </c>
      <c r="E39" s="6" t="s">
        <v>23</v>
      </c>
      <c r="F39" s="6" t="s">
        <v>21</v>
      </c>
      <c r="G39" s="6" t="s">
        <v>24</v>
      </c>
      <c r="H39" s="6">
        <v>203</v>
      </c>
      <c r="I39" s="6">
        <v>295</v>
      </c>
      <c r="J39" s="6">
        <v>579</v>
      </c>
      <c r="K39" s="6">
        <v>535</v>
      </c>
      <c r="L39" s="6">
        <v>1.4</v>
      </c>
      <c r="M39" s="6">
        <v>1.18674429</v>
      </c>
      <c r="N39" s="6">
        <v>555.9272727</v>
      </c>
      <c r="O39" s="6">
        <v>0.6401</v>
      </c>
      <c r="P39" s="6">
        <v>1.49</v>
      </c>
      <c r="Q39" s="6">
        <v>177</v>
      </c>
      <c r="R39" s="6">
        <v>342.72727270000001</v>
      </c>
      <c r="S39" s="6">
        <v>285</v>
      </c>
      <c r="T39" s="6">
        <v>5</v>
      </c>
      <c r="U39" s="6" t="s">
        <v>177</v>
      </c>
      <c r="V39" s="6">
        <v>3.3</v>
      </c>
      <c r="W39" s="6">
        <v>78.972480000000004</v>
      </c>
      <c r="X39" s="6">
        <v>475</v>
      </c>
      <c r="Y39" s="6">
        <v>1.5</v>
      </c>
      <c r="Z39" s="6">
        <v>30.083732099999999</v>
      </c>
      <c r="AA39" s="6">
        <v>483.31909089999999</v>
      </c>
      <c r="AB39" s="6">
        <v>509.09660059999999</v>
      </c>
      <c r="AC39" s="6">
        <v>180.789701597961</v>
      </c>
      <c r="AD39" s="6">
        <v>521.97016450000001</v>
      </c>
      <c r="AE39" s="6">
        <v>0.78366143899999996</v>
      </c>
      <c r="AF39" s="6">
        <v>9.3055859779999999</v>
      </c>
      <c r="AG39" s="6">
        <v>8.2432027439999995</v>
      </c>
      <c r="AH39" s="6">
        <v>7.8550600560000001</v>
      </c>
      <c r="AI39" s="6">
        <v>3.8883031809999999</v>
      </c>
      <c r="AJ39" s="6">
        <v>5.4172827970000004</v>
      </c>
      <c r="AK39" s="6">
        <v>7.8550600560000001</v>
      </c>
      <c r="AL39" s="6">
        <v>1.2626735170000001</v>
      </c>
      <c r="AM39" s="6">
        <v>557.18994620000001</v>
      </c>
      <c r="AN39" s="6">
        <v>328.86429829999997</v>
      </c>
      <c r="AO39" s="6">
        <v>63.004424520000001</v>
      </c>
      <c r="AP39" s="6">
        <v>350.25877889999998</v>
      </c>
      <c r="AQ39" s="6">
        <v>1.2071158829999999</v>
      </c>
      <c r="AR39" s="6">
        <v>0.64639737799999997</v>
      </c>
      <c r="AS39" s="6">
        <v>1889.033954</v>
      </c>
      <c r="AT39" s="6">
        <v>0.12753031300000001</v>
      </c>
      <c r="AU39">
        <v>553.20556920000001</v>
      </c>
      <c r="AV39">
        <v>1.9441729270000001</v>
      </c>
    </row>
    <row r="40" spans="1:48" x14ac:dyDescent="0.25">
      <c r="A40" s="6">
        <v>2021</v>
      </c>
      <c r="B40" s="6" t="s">
        <v>36</v>
      </c>
      <c r="C40" s="6">
        <v>2214</v>
      </c>
      <c r="D40" s="6" t="s">
        <v>37</v>
      </c>
      <c r="E40" s="6" t="s">
        <v>23</v>
      </c>
      <c r="F40" s="6" t="s">
        <v>21</v>
      </c>
      <c r="G40" s="6" t="s">
        <v>24</v>
      </c>
      <c r="H40" s="6">
        <v>203</v>
      </c>
      <c r="I40" s="6">
        <v>282</v>
      </c>
      <c r="J40" s="6">
        <v>699</v>
      </c>
      <c r="K40" s="6">
        <v>699</v>
      </c>
      <c r="L40" s="6">
        <v>2.06</v>
      </c>
      <c r="M40" s="6">
        <v>2.0532915360000001</v>
      </c>
      <c r="N40" s="6">
        <v>671.34545449999996</v>
      </c>
      <c r="O40" s="6">
        <v>0.64019999999999999</v>
      </c>
      <c r="P40" s="6">
        <v>1.49</v>
      </c>
      <c r="Q40" s="6">
        <v>177</v>
      </c>
      <c r="R40" s="6">
        <v>447.27272729999999</v>
      </c>
      <c r="S40" s="6">
        <v>418</v>
      </c>
      <c r="T40" s="6">
        <v>8</v>
      </c>
      <c r="U40" s="6" t="s">
        <v>176</v>
      </c>
      <c r="V40" s="6">
        <v>3.7</v>
      </c>
      <c r="W40" s="6">
        <v>93.037840000000003</v>
      </c>
      <c r="X40" s="6">
        <v>765</v>
      </c>
      <c r="Y40" s="6">
        <v>1.7</v>
      </c>
      <c r="Z40" s="6">
        <v>34.574081319999998</v>
      </c>
      <c r="AA40" s="6">
        <v>620.90090910000004</v>
      </c>
      <c r="AB40" s="6">
        <v>591.64366940000002</v>
      </c>
      <c r="AC40" s="6">
        <v>150.892107711313</v>
      </c>
      <c r="AD40" s="6">
        <v>542.39256469999998</v>
      </c>
      <c r="AE40" s="6">
        <v>0.74304566100000002</v>
      </c>
      <c r="AF40" s="6">
        <v>10.16428434</v>
      </c>
      <c r="AG40" s="6">
        <v>9.4960290829999998</v>
      </c>
      <c r="AH40" s="6">
        <v>8.2432867390000002</v>
      </c>
      <c r="AI40" s="6">
        <v>4.479259001</v>
      </c>
      <c r="AJ40" s="6">
        <v>5.6850253369999999</v>
      </c>
      <c r="AK40" s="6">
        <v>8.2432867390000002</v>
      </c>
      <c r="AL40" s="6">
        <v>1.285268801</v>
      </c>
      <c r="AM40" s="6">
        <v>672.6307233</v>
      </c>
      <c r="AN40" s="6">
        <v>342.69131850000002</v>
      </c>
      <c r="AO40" s="6">
        <v>63.181418919999999</v>
      </c>
      <c r="AP40" s="6">
        <v>424.16558400000002</v>
      </c>
      <c r="AQ40" s="6">
        <v>1.2287169739999999</v>
      </c>
      <c r="AR40" s="6">
        <v>0.67118943799999997</v>
      </c>
      <c r="AS40" s="6">
        <v>2063.349721</v>
      </c>
      <c r="AT40" s="6">
        <v>0.20201043799999999</v>
      </c>
      <c r="AU40">
        <v>604.25412389999997</v>
      </c>
      <c r="AV40">
        <v>1.447315267</v>
      </c>
    </row>
    <row r="41" spans="1:48" x14ac:dyDescent="0.25">
      <c r="A41" s="6">
        <v>2025</v>
      </c>
      <c r="B41" s="6" t="s">
        <v>38</v>
      </c>
      <c r="C41" s="6">
        <v>2214</v>
      </c>
      <c r="D41" s="6" t="s">
        <v>37</v>
      </c>
      <c r="E41" s="6" t="s">
        <v>23</v>
      </c>
      <c r="F41" s="6" t="s">
        <v>21</v>
      </c>
      <c r="G41" s="6" t="s">
        <v>24</v>
      </c>
      <c r="H41" s="6">
        <v>203</v>
      </c>
      <c r="I41" s="6">
        <v>314</v>
      </c>
      <c r="J41" s="6">
        <v>745</v>
      </c>
      <c r="K41" s="6">
        <v>725</v>
      </c>
      <c r="L41" s="6">
        <v>2.12</v>
      </c>
      <c r="M41" s="6">
        <v>2.0253022839999999</v>
      </c>
      <c r="N41" s="6">
        <v>714.7636364</v>
      </c>
      <c r="O41" s="6">
        <v>0.64039999999999997</v>
      </c>
      <c r="P41" s="6">
        <v>1.49</v>
      </c>
      <c r="Q41" s="6">
        <v>177</v>
      </c>
      <c r="R41" s="6">
        <v>464.54545450000001</v>
      </c>
      <c r="S41" s="6">
        <v>430</v>
      </c>
      <c r="T41" s="6">
        <v>6</v>
      </c>
      <c r="U41" s="6" t="s">
        <v>178</v>
      </c>
      <c r="V41" s="6">
        <v>3.8</v>
      </c>
      <c r="W41" s="6">
        <v>90.005399999999995</v>
      </c>
      <c r="X41" s="6">
        <v>582</v>
      </c>
      <c r="Y41" s="6">
        <v>1.5</v>
      </c>
      <c r="Z41" s="6">
        <v>32.883206520000002</v>
      </c>
      <c r="AA41" s="6">
        <v>643.6318182</v>
      </c>
      <c r="AB41" s="6">
        <v>644.21693960000005</v>
      </c>
      <c r="AC41" s="6">
        <v>162.88865142742301</v>
      </c>
      <c r="AD41" s="6">
        <v>530.34466680000003</v>
      </c>
      <c r="AE41" s="6">
        <v>0.76738066900000002</v>
      </c>
      <c r="AF41" s="6">
        <v>11.00232465</v>
      </c>
      <c r="AG41" s="6">
        <v>9.9530075530000008</v>
      </c>
      <c r="AH41" s="6">
        <v>9.1458891629999997</v>
      </c>
      <c r="AI41" s="6">
        <v>4.6948148840000004</v>
      </c>
      <c r="AJ41" s="6">
        <v>6.307509767</v>
      </c>
      <c r="AK41" s="6">
        <v>9.1458891629999997</v>
      </c>
      <c r="AL41" s="6">
        <v>1.434829331</v>
      </c>
      <c r="AM41" s="6">
        <v>716.19846570000004</v>
      </c>
      <c r="AN41" s="6">
        <v>334.53426910000002</v>
      </c>
      <c r="AO41" s="6">
        <v>63.078652439999999</v>
      </c>
      <c r="AP41" s="6">
        <v>450.86326989999998</v>
      </c>
      <c r="AQ41" s="6">
        <v>1.37169684</v>
      </c>
      <c r="AR41" s="6">
        <v>0.66611151000000002</v>
      </c>
      <c r="AS41" s="6">
        <v>2233.471904</v>
      </c>
      <c r="AT41" s="6">
        <v>0.18407948800000001</v>
      </c>
      <c r="AU41">
        <v>654.07458329999997</v>
      </c>
      <c r="AV41">
        <v>1.5203001410000001</v>
      </c>
    </row>
    <row r="42" spans="1:48" x14ac:dyDescent="0.25">
      <c r="A42" s="6">
        <v>2027</v>
      </c>
      <c r="B42" s="6" t="s">
        <v>38</v>
      </c>
      <c r="C42" s="6">
        <v>2214</v>
      </c>
      <c r="D42" s="6" t="s">
        <v>37</v>
      </c>
      <c r="E42" s="6" t="s">
        <v>23</v>
      </c>
      <c r="F42" s="6" t="s">
        <v>21</v>
      </c>
      <c r="G42" s="6" t="s">
        <v>24</v>
      </c>
      <c r="H42" s="6">
        <v>203</v>
      </c>
      <c r="I42" s="6">
        <v>272</v>
      </c>
      <c r="J42" s="6">
        <v>604</v>
      </c>
      <c r="K42" s="6">
        <v>568</v>
      </c>
      <c r="L42" s="6">
        <v>1.64</v>
      </c>
      <c r="M42" s="6">
        <v>1.457680251</v>
      </c>
      <c r="N42" s="6">
        <v>580.14545450000003</v>
      </c>
      <c r="O42" s="6">
        <v>0.64049999999999996</v>
      </c>
      <c r="P42" s="6">
        <v>1.49</v>
      </c>
      <c r="Q42" s="6">
        <v>177</v>
      </c>
      <c r="R42" s="6">
        <v>363.63636359999998</v>
      </c>
      <c r="S42" s="6">
        <v>333</v>
      </c>
      <c r="T42" s="6">
        <v>6</v>
      </c>
      <c r="U42" s="6" t="s">
        <v>178</v>
      </c>
      <c r="V42" s="6">
        <v>3.2</v>
      </c>
      <c r="W42" s="6">
        <v>71.101039999999998</v>
      </c>
      <c r="X42" s="6">
        <v>635</v>
      </c>
      <c r="Y42" s="6">
        <v>0.6</v>
      </c>
      <c r="Z42" s="6">
        <v>27.55991053</v>
      </c>
      <c r="AA42" s="6">
        <v>510.83545450000003</v>
      </c>
      <c r="AB42" s="6">
        <v>580.37163910000004</v>
      </c>
      <c r="AC42" s="6">
        <v>211.67430724624899</v>
      </c>
      <c r="AD42" s="6">
        <v>477.81371209999998</v>
      </c>
      <c r="AE42" s="6">
        <v>0.86089982499999995</v>
      </c>
      <c r="AF42" s="6">
        <v>10.554971220000001</v>
      </c>
      <c r="AG42" s="6">
        <v>8.5110896839999999</v>
      </c>
      <c r="AH42" s="6">
        <v>9.4834441050000002</v>
      </c>
      <c r="AI42" s="6">
        <v>4.0146649449999998</v>
      </c>
      <c r="AJ42" s="6">
        <v>6.5403062800000002</v>
      </c>
      <c r="AK42" s="6">
        <v>9.4834441050000002</v>
      </c>
      <c r="AL42" s="6">
        <v>1.5926498529999999</v>
      </c>
      <c r="AM42" s="6">
        <v>581.7381044</v>
      </c>
      <c r="AN42" s="6">
        <v>298.96809839999997</v>
      </c>
      <c r="AO42" s="6">
        <v>62.570012290000001</v>
      </c>
      <c r="AP42" s="6">
        <v>362.99708220000002</v>
      </c>
      <c r="AQ42" s="6">
        <v>1.5225732590000001</v>
      </c>
      <c r="AR42" s="6">
        <v>0.61211330100000005</v>
      </c>
      <c r="AS42" s="6">
        <v>2142.6591589999998</v>
      </c>
      <c r="AT42" s="6">
        <v>0.13810366900000001</v>
      </c>
      <c r="AU42">
        <v>627.47997580000003</v>
      </c>
      <c r="AV42">
        <v>1.887157822</v>
      </c>
    </row>
    <row r="43" spans="1:48" x14ac:dyDescent="0.25">
      <c r="A43" s="6">
        <v>2029</v>
      </c>
      <c r="B43" s="6" t="s">
        <v>38</v>
      </c>
      <c r="C43" s="6">
        <v>2214</v>
      </c>
      <c r="D43" s="6" t="s">
        <v>37</v>
      </c>
      <c r="E43" s="6" t="s">
        <v>23</v>
      </c>
      <c r="F43" s="6" t="s">
        <v>21</v>
      </c>
      <c r="G43" s="6" t="s">
        <v>24</v>
      </c>
      <c r="H43" s="6">
        <v>203</v>
      </c>
      <c r="I43" s="6">
        <v>271</v>
      </c>
      <c r="J43" s="6">
        <v>675</v>
      </c>
      <c r="K43" s="6">
        <v>632</v>
      </c>
      <c r="L43" s="6">
        <v>1.99</v>
      </c>
      <c r="M43" s="6">
        <v>1.7801164350000001</v>
      </c>
      <c r="N43" s="6">
        <v>647.78181819999998</v>
      </c>
      <c r="O43" s="6">
        <v>0.63980000000000004</v>
      </c>
      <c r="P43" s="6">
        <v>1.49</v>
      </c>
      <c r="Q43" s="6">
        <v>177</v>
      </c>
      <c r="R43" s="6">
        <v>404.54545450000001</v>
      </c>
      <c r="S43" s="6">
        <v>404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8" x14ac:dyDescent="0.25">
      <c r="A44" s="6">
        <v>2030</v>
      </c>
      <c r="B44" s="6" t="s">
        <v>36</v>
      </c>
      <c r="C44" s="6">
        <v>2214</v>
      </c>
      <c r="D44" s="6" t="s">
        <v>37</v>
      </c>
      <c r="E44" s="6" t="s">
        <v>23</v>
      </c>
      <c r="F44" s="6" t="s">
        <v>21</v>
      </c>
      <c r="G44" s="6" t="s">
        <v>24</v>
      </c>
      <c r="H44" s="6">
        <v>203</v>
      </c>
      <c r="I44" s="6">
        <v>256</v>
      </c>
      <c r="J44" s="6">
        <v>665</v>
      </c>
      <c r="K44" s="6">
        <v>634</v>
      </c>
      <c r="L44" s="6">
        <v>2.02</v>
      </c>
      <c r="M44" s="6">
        <v>1.860725481</v>
      </c>
      <c r="N44" s="6">
        <v>638.83636360000003</v>
      </c>
      <c r="O44" s="6">
        <v>0.63990000000000002</v>
      </c>
      <c r="P44" s="6">
        <v>1.49</v>
      </c>
      <c r="Q44" s="6">
        <v>177</v>
      </c>
      <c r="R44" s="6">
        <v>405.45454549999999</v>
      </c>
      <c r="S44" s="6">
        <v>410</v>
      </c>
      <c r="T44" s="6">
        <v>7</v>
      </c>
      <c r="U44" s="6" t="s">
        <v>179</v>
      </c>
      <c r="V44" s="6">
        <v>2.2000000000000002</v>
      </c>
      <c r="W44" s="6">
        <v>106.07088</v>
      </c>
      <c r="X44" s="6">
        <v>712</v>
      </c>
      <c r="Y44" s="6">
        <v>1.2</v>
      </c>
      <c r="Z44" s="6">
        <v>29.921570939999999</v>
      </c>
      <c r="AA44" s="6">
        <v>565.8681818</v>
      </c>
      <c r="AB44" s="6">
        <v>604.33959619999996</v>
      </c>
      <c r="AC44" s="6">
        <v>187.25519094799699</v>
      </c>
      <c r="AD44" s="6">
        <v>505.28508099999999</v>
      </c>
      <c r="AE44" s="6">
        <v>0.81454747999999999</v>
      </c>
      <c r="AF44" s="6">
        <v>10.73520618</v>
      </c>
      <c r="AG44" s="6">
        <v>9.1490229739999993</v>
      </c>
      <c r="AH44" s="6">
        <v>9.3084624890000001</v>
      </c>
      <c r="AI44" s="6">
        <v>4.3155768739999996</v>
      </c>
      <c r="AJ44" s="6">
        <v>6.4196293029999998</v>
      </c>
      <c r="AK44" s="6">
        <v>9.3084624890000001</v>
      </c>
      <c r="AL44" s="6">
        <v>1.50712191</v>
      </c>
      <c r="AM44" s="6">
        <v>640.34348550000004</v>
      </c>
      <c r="AN44" s="6">
        <v>317.56763460000002</v>
      </c>
      <c r="AO44" s="6">
        <v>62.849200690000004</v>
      </c>
      <c r="AP44" s="6">
        <v>401.50354829999998</v>
      </c>
      <c r="AQ44" s="6">
        <v>1.440808546</v>
      </c>
      <c r="AR44" s="6">
        <v>0.64065164799999996</v>
      </c>
      <c r="AS44" s="6">
        <v>2179.246854</v>
      </c>
      <c r="AT44" s="6">
        <v>0.17332927300000001</v>
      </c>
      <c r="AU44">
        <v>638.19472059999998</v>
      </c>
      <c r="AV44">
        <v>1.5583000950000001</v>
      </c>
    </row>
    <row r="45" spans="1:48" x14ac:dyDescent="0.25">
      <c r="A45" s="6">
        <v>2101</v>
      </c>
      <c r="B45" s="6" t="s">
        <v>38</v>
      </c>
      <c r="C45" s="6">
        <v>2214</v>
      </c>
      <c r="D45" s="6" t="s">
        <v>37</v>
      </c>
      <c r="E45" s="6" t="s">
        <v>23</v>
      </c>
      <c r="F45" s="6" t="s">
        <v>21</v>
      </c>
      <c r="G45" s="6" t="s">
        <v>24</v>
      </c>
      <c r="H45" s="6">
        <v>203</v>
      </c>
      <c r="I45" s="6">
        <v>283</v>
      </c>
      <c r="J45" s="6">
        <v>662</v>
      </c>
      <c r="K45" s="6">
        <v>645</v>
      </c>
      <c r="L45" s="6">
        <v>1.87</v>
      </c>
      <c r="M45" s="6">
        <v>1.7857142859999999</v>
      </c>
      <c r="N45" s="6">
        <v>635.78181819999998</v>
      </c>
      <c r="O45" s="6">
        <v>0.63990000000000002</v>
      </c>
      <c r="P45" s="6">
        <v>1.49</v>
      </c>
      <c r="Q45" s="6">
        <v>177</v>
      </c>
      <c r="R45" s="6">
        <v>412.72727270000001</v>
      </c>
      <c r="S45" s="6">
        <v>380</v>
      </c>
      <c r="T45" s="6">
        <v>6</v>
      </c>
      <c r="U45" s="6" t="s">
        <v>178</v>
      </c>
      <c r="V45" s="6">
        <v>4.5</v>
      </c>
      <c r="W45" s="6">
        <v>75.036760000000001</v>
      </c>
      <c r="X45" s="6">
        <v>608</v>
      </c>
      <c r="Y45" s="6">
        <v>1.9</v>
      </c>
      <c r="Z45" s="6">
        <v>34.313221650000003</v>
      </c>
      <c r="AA45" s="6">
        <v>575.4390909</v>
      </c>
      <c r="AB45" s="6">
        <v>544.79523029999996</v>
      </c>
      <c r="AC45" s="6">
        <v>146.885328973805</v>
      </c>
      <c r="AD45" s="6">
        <v>557.83107519999999</v>
      </c>
      <c r="AE45" s="6">
        <v>0.71028777099999996</v>
      </c>
      <c r="AF45" s="6">
        <v>9.3275412640000006</v>
      </c>
      <c r="AG45" s="6">
        <v>9.1161943290000007</v>
      </c>
      <c r="AH45" s="6">
        <v>7.2898019190000003</v>
      </c>
      <c r="AI45" s="6">
        <v>4.3000916650000001</v>
      </c>
      <c r="AJ45" s="6">
        <v>5.0274495989999997</v>
      </c>
      <c r="AK45" s="6">
        <v>7.2898019190000003</v>
      </c>
      <c r="AL45" s="6">
        <v>1.1271841899999999</v>
      </c>
      <c r="AM45" s="6">
        <v>636.90900239999996</v>
      </c>
      <c r="AN45" s="6">
        <v>353.14398779999999</v>
      </c>
      <c r="AO45" s="6">
        <v>63.306618</v>
      </c>
      <c r="AP45" s="6">
        <v>402.49196690000002</v>
      </c>
      <c r="AQ45" s="6">
        <v>1.077588086</v>
      </c>
      <c r="AR45" s="6">
        <v>0.67808570000000001</v>
      </c>
      <c r="AS45" s="6">
        <v>1893.490877</v>
      </c>
      <c r="AT45" s="6">
        <v>0.19144533799999999</v>
      </c>
      <c r="AU45">
        <v>554.51078380000001</v>
      </c>
      <c r="AV45">
        <v>1.4601121770000001</v>
      </c>
    </row>
    <row r="46" spans="1:48" x14ac:dyDescent="0.25">
      <c r="A46" s="6">
        <v>2109</v>
      </c>
      <c r="B46" s="6" t="s">
        <v>22</v>
      </c>
      <c r="C46" s="6">
        <v>2214</v>
      </c>
      <c r="D46" s="6" t="s">
        <v>37</v>
      </c>
      <c r="E46" s="6" t="s">
        <v>23</v>
      </c>
      <c r="F46" s="6" t="s">
        <v>21</v>
      </c>
      <c r="G46" s="6" t="s">
        <v>24</v>
      </c>
      <c r="H46" s="6">
        <v>175</v>
      </c>
      <c r="I46" s="6">
        <v>289</v>
      </c>
      <c r="J46" s="6">
        <v>611</v>
      </c>
      <c r="K46" s="6">
        <v>608</v>
      </c>
      <c r="L46" s="6">
        <v>1.84</v>
      </c>
      <c r="M46" s="6">
        <v>1.8220779220000001</v>
      </c>
      <c r="N46" s="6">
        <v>586.6909091</v>
      </c>
      <c r="O46" s="6">
        <v>0.63300000000000001</v>
      </c>
      <c r="P46" s="6">
        <v>1.49</v>
      </c>
      <c r="Q46" s="6">
        <v>177</v>
      </c>
      <c r="R46" s="6">
        <v>385</v>
      </c>
      <c r="S46" s="6">
        <v>322</v>
      </c>
      <c r="T46" s="6">
        <v>5</v>
      </c>
      <c r="U46" s="6" t="s">
        <v>177</v>
      </c>
      <c r="V46" s="6">
        <v>3.4</v>
      </c>
      <c r="W46" s="6">
        <v>89.618279999999999</v>
      </c>
      <c r="X46" s="6">
        <v>549</v>
      </c>
      <c r="Y46" s="6">
        <v>1.7</v>
      </c>
      <c r="Z46" s="6">
        <v>31.257091920000001</v>
      </c>
      <c r="AA46" s="6">
        <v>538.95000000000005</v>
      </c>
      <c r="AB46" s="6">
        <v>552.75406190000001</v>
      </c>
      <c r="AC46" s="6">
        <v>144.57991993052499</v>
      </c>
      <c r="AD46" s="6">
        <v>507.3472524</v>
      </c>
      <c r="AE46" s="6">
        <v>0.81084203499999996</v>
      </c>
      <c r="AF46" s="6">
        <v>10.025245979999999</v>
      </c>
      <c r="AG46" s="6">
        <v>8.5830079640000001</v>
      </c>
      <c r="AH46" s="6">
        <v>8.6661531119999999</v>
      </c>
      <c r="AI46" s="6">
        <v>4.0485886620000002</v>
      </c>
      <c r="AJ46" s="6">
        <v>5.9766573190000001</v>
      </c>
      <c r="AK46" s="6">
        <v>8.6661531119999999</v>
      </c>
      <c r="AL46" s="6">
        <v>1.408096424</v>
      </c>
      <c r="AM46" s="6">
        <v>588.09900549999998</v>
      </c>
      <c r="AN46" s="6">
        <v>318.96383120000002</v>
      </c>
      <c r="AO46" s="6">
        <v>62.868938329999999</v>
      </c>
      <c r="AP46" s="6">
        <v>368.84634579999999</v>
      </c>
      <c r="AQ46" s="6">
        <v>1.346140181</v>
      </c>
      <c r="AR46" s="6">
        <v>0.63784682800000003</v>
      </c>
      <c r="AS46" s="6">
        <v>1754.4180469999999</v>
      </c>
      <c r="AT46" s="6">
        <v>0.18174894899999999</v>
      </c>
      <c r="AU46">
        <v>513.78316010000003</v>
      </c>
      <c r="AV46">
        <v>1.5965013450000001</v>
      </c>
    </row>
    <row r="47" spans="1:48" x14ac:dyDescent="0.25">
      <c r="A47" s="6">
        <v>2111</v>
      </c>
      <c r="B47" s="6" t="s">
        <v>22</v>
      </c>
      <c r="C47" s="6">
        <v>2214</v>
      </c>
      <c r="D47" s="6" t="s">
        <v>37</v>
      </c>
      <c r="E47" s="6" t="s">
        <v>23</v>
      </c>
      <c r="F47" s="6" t="s">
        <v>21</v>
      </c>
      <c r="G47" s="6" t="s">
        <v>24</v>
      </c>
      <c r="H47" s="6">
        <v>175</v>
      </c>
      <c r="I47" s="6">
        <v>297</v>
      </c>
      <c r="J47" s="6">
        <v>638</v>
      </c>
      <c r="K47" s="6">
        <v>723</v>
      </c>
      <c r="L47" s="6">
        <v>1.94</v>
      </c>
      <c r="M47" s="6">
        <v>2.4311688309999999</v>
      </c>
      <c r="N47" s="6">
        <v>612</v>
      </c>
      <c r="O47" s="6">
        <v>0.63329999999999997</v>
      </c>
      <c r="P47" s="6">
        <v>1.49</v>
      </c>
      <c r="Q47" s="6">
        <v>177</v>
      </c>
      <c r="R47" s="6">
        <v>457.72727270000001</v>
      </c>
      <c r="S47" s="6">
        <v>340</v>
      </c>
      <c r="T47" s="6">
        <v>5</v>
      </c>
      <c r="U47" s="6" t="s">
        <v>177</v>
      </c>
      <c r="V47" s="6">
        <v>3.4</v>
      </c>
      <c r="W47" s="6">
        <v>102.5868</v>
      </c>
      <c r="X47" s="6">
        <v>533</v>
      </c>
      <c r="Y47" s="6">
        <v>1.8</v>
      </c>
      <c r="Z47" s="6">
        <v>32.271375810000002</v>
      </c>
      <c r="AA47" s="6">
        <v>634.65909090000002</v>
      </c>
      <c r="AB47" s="6">
        <v>643.9385767</v>
      </c>
      <c r="AC47" s="6">
        <v>142.59225644685699</v>
      </c>
      <c r="AD47" s="6">
        <v>454.29177650000003</v>
      </c>
      <c r="AE47" s="6">
        <v>0.89613830400000005</v>
      </c>
      <c r="AF47" s="6">
        <v>11.43642724</v>
      </c>
      <c r="AG47" s="6">
        <v>8.859231759</v>
      </c>
      <c r="AH47" s="6">
        <v>10.52343928</v>
      </c>
      <c r="AI47" s="6">
        <v>4.178882905</v>
      </c>
      <c r="AJ47" s="6">
        <v>7.2575443340000003</v>
      </c>
      <c r="AK47" s="6">
        <v>10.52343928</v>
      </c>
      <c r="AL47" s="6">
        <v>1.812617776</v>
      </c>
      <c r="AM47" s="6">
        <v>613.8126178</v>
      </c>
      <c r="AN47" s="6">
        <v>283.04253260000002</v>
      </c>
      <c r="AO47" s="6">
        <v>62.304128579999997</v>
      </c>
      <c r="AP47" s="6">
        <v>381.30126689999997</v>
      </c>
      <c r="AQ47" s="6">
        <v>1.732862594</v>
      </c>
      <c r="AR47" s="6">
        <v>0.592962302</v>
      </c>
      <c r="AS47" s="6">
        <v>2001.374767</v>
      </c>
      <c r="AT47" s="6">
        <v>0.212581148</v>
      </c>
      <c r="AU47">
        <v>586.10469379999995</v>
      </c>
      <c r="AV47">
        <v>1.722685807</v>
      </c>
    </row>
    <row r="48" spans="1:48" x14ac:dyDescent="0.25">
      <c r="A48" s="6">
        <v>2121</v>
      </c>
      <c r="B48" s="6" t="s">
        <v>22</v>
      </c>
      <c r="C48" s="6">
        <v>2214</v>
      </c>
      <c r="D48" s="6" t="s">
        <v>37</v>
      </c>
      <c r="E48" s="6" t="s">
        <v>23</v>
      </c>
      <c r="F48" s="6" t="s">
        <v>21</v>
      </c>
      <c r="G48" s="6" t="s">
        <v>24</v>
      </c>
      <c r="H48" s="6">
        <v>175</v>
      </c>
      <c r="I48" s="6">
        <v>324</v>
      </c>
      <c r="J48" s="6">
        <v>685</v>
      </c>
      <c r="K48" s="6">
        <v>680</v>
      </c>
      <c r="L48" s="6">
        <v>2.06</v>
      </c>
      <c r="M48" s="6">
        <v>2.0337662339999998</v>
      </c>
      <c r="N48" s="6">
        <v>657.6</v>
      </c>
      <c r="O48" s="6">
        <v>0.63370000000000004</v>
      </c>
      <c r="P48" s="6">
        <v>1.49</v>
      </c>
      <c r="Q48" s="6">
        <v>177</v>
      </c>
      <c r="R48" s="6">
        <v>430.90909090000002</v>
      </c>
      <c r="S48" s="6">
        <v>361</v>
      </c>
      <c r="T48" s="6">
        <v>7</v>
      </c>
      <c r="U48" s="6" t="s">
        <v>179</v>
      </c>
      <c r="V48" s="6">
        <v>3.5</v>
      </c>
      <c r="W48" s="6">
        <v>95.876720000000006</v>
      </c>
      <c r="X48" s="6">
        <v>667</v>
      </c>
      <c r="Y48" s="6">
        <v>1.9</v>
      </c>
      <c r="Z48" s="6">
        <v>34.077877110000003</v>
      </c>
      <c r="AA48" s="6">
        <v>599.3663636</v>
      </c>
      <c r="AB48" s="6">
        <v>575.416202</v>
      </c>
      <c r="AC48" s="6">
        <v>123.576293457955</v>
      </c>
      <c r="AD48" s="6">
        <v>546.27033249999999</v>
      </c>
      <c r="AE48" s="6">
        <v>0.73498401700000004</v>
      </c>
      <c r="AF48" s="6">
        <v>9.8992208169999998</v>
      </c>
      <c r="AG48" s="6">
        <v>9.3498329130000002</v>
      </c>
      <c r="AH48" s="6">
        <v>7.9589372970000003</v>
      </c>
      <c r="AI48" s="6">
        <v>4.4102985439999998</v>
      </c>
      <c r="AJ48" s="6">
        <v>5.4889222740000001</v>
      </c>
      <c r="AK48" s="6">
        <v>7.9589372970000003</v>
      </c>
      <c r="AL48" s="6">
        <v>1.2387424979999999</v>
      </c>
      <c r="AM48" s="6">
        <v>658.83874249999997</v>
      </c>
      <c r="AN48" s="6">
        <v>345.31676770000001</v>
      </c>
      <c r="AO48" s="6">
        <v>63.21353131</v>
      </c>
      <c r="AP48" s="6">
        <v>415.69218189999998</v>
      </c>
      <c r="AQ48" s="6">
        <v>1.1842378280000001</v>
      </c>
      <c r="AR48" s="6">
        <v>0.67264922900000002</v>
      </c>
      <c r="AS48" s="6">
        <v>1732.3636429999999</v>
      </c>
      <c r="AT48" s="6">
        <v>0.20544710199999999</v>
      </c>
      <c r="AU48">
        <v>507.32450490000002</v>
      </c>
      <c r="AV48">
        <v>1.405685026</v>
      </c>
    </row>
    <row r="49" spans="1:48" x14ac:dyDescent="0.25">
      <c r="A49" s="6">
        <v>2125</v>
      </c>
      <c r="B49" s="6" t="s">
        <v>22</v>
      </c>
      <c r="C49" s="6">
        <v>2214</v>
      </c>
      <c r="D49" s="6" t="s">
        <v>37</v>
      </c>
      <c r="E49" s="6" t="s">
        <v>23</v>
      </c>
      <c r="F49" s="6" t="s">
        <v>21</v>
      </c>
      <c r="G49" s="6" t="s">
        <v>24</v>
      </c>
      <c r="H49" s="6">
        <v>175</v>
      </c>
      <c r="I49" s="6">
        <v>320</v>
      </c>
      <c r="J49" s="6">
        <v>645</v>
      </c>
      <c r="K49" s="6">
        <v>617</v>
      </c>
      <c r="L49" s="6">
        <v>1.86</v>
      </c>
      <c r="M49" s="6">
        <v>1.694805195</v>
      </c>
      <c r="N49" s="6">
        <v>619.63636359999998</v>
      </c>
      <c r="O49" s="6">
        <v>0.63380000000000003</v>
      </c>
      <c r="P49" s="6">
        <v>1.49</v>
      </c>
      <c r="Q49" s="6">
        <v>177</v>
      </c>
      <c r="R49" s="6">
        <v>390.90909090000002</v>
      </c>
      <c r="S49" s="6">
        <v>325</v>
      </c>
      <c r="T49" s="6">
        <v>5</v>
      </c>
      <c r="U49" s="6" t="s">
        <v>177</v>
      </c>
      <c r="V49" s="6">
        <v>2.2999999999999998</v>
      </c>
      <c r="W49" s="6">
        <v>111.87768</v>
      </c>
      <c r="X49" s="6">
        <v>457</v>
      </c>
      <c r="Y49" s="6">
        <v>1.7</v>
      </c>
      <c r="Z49" s="6">
        <v>29.86862387</v>
      </c>
      <c r="AA49" s="6">
        <v>546.72636360000001</v>
      </c>
      <c r="AB49" s="6">
        <v>583.70346500000005</v>
      </c>
      <c r="AC49" s="6">
        <v>155.461048299742</v>
      </c>
      <c r="AD49" s="6">
        <v>507.4257728</v>
      </c>
      <c r="AE49" s="6">
        <v>0.81070032000000003</v>
      </c>
      <c r="AF49" s="6">
        <v>10.442747580000001</v>
      </c>
      <c r="AG49" s="6">
        <v>8.9420103639999997</v>
      </c>
      <c r="AH49" s="6">
        <v>9.0259863409999994</v>
      </c>
      <c r="AI49" s="6">
        <v>4.2179294169999997</v>
      </c>
      <c r="AJ49" s="6">
        <v>6.2248181660000004</v>
      </c>
      <c r="AK49" s="6">
        <v>9.0259863409999994</v>
      </c>
      <c r="AL49" s="6">
        <v>1.4611435310000001</v>
      </c>
      <c r="AM49" s="6">
        <v>621.0975072</v>
      </c>
      <c r="AN49" s="6">
        <v>319.01699359999998</v>
      </c>
      <c r="AO49" s="6">
        <v>62.869686700000003</v>
      </c>
      <c r="AP49" s="6">
        <v>389.56344050000001</v>
      </c>
      <c r="AQ49" s="6">
        <v>1.396853216</v>
      </c>
      <c r="AR49" s="6">
        <v>0.64078380899999998</v>
      </c>
      <c r="AS49" s="6">
        <v>1827.4808270000001</v>
      </c>
      <c r="AT49" s="6">
        <v>0.16229494999999999</v>
      </c>
      <c r="AU49">
        <v>535.17967169999997</v>
      </c>
      <c r="AV49">
        <v>1.645555944</v>
      </c>
    </row>
    <row r="50" spans="1:48" x14ac:dyDescent="0.25">
      <c r="A50" s="6">
        <v>2129</v>
      </c>
      <c r="B50" s="6" t="s">
        <v>22</v>
      </c>
      <c r="C50" s="6">
        <v>2214</v>
      </c>
      <c r="D50" s="6" t="s">
        <v>37</v>
      </c>
      <c r="E50" s="6" t="s">
        <v>23</v>
      </c>
      <c r="F50" s="6" t="s">
        <v>21</v>
      </c>
      <c r="G50" s="6" t="s">
        <v>24</v>
      </c>
      <c r="H50" s="6">
        <v>175</v>
      </c>
      <c r="I50" s="6">
        <v>313</v>
      </c>
      <c r="J50" s="6">
        <v>678</v>
      </c>
      <c r="K50" s="6">
        <v>627</v>
      </c>
      <c r="L50" s="6">
        <v>2.09</v>
      </c>
      <c r="M50" s="6">
        <v>1.797402597</v>
      </c>
      <c r="N50" s="6">
        <v>651.27272730000004</v>
      </c>
      <c r="O50" s="6">
        <v>0.63329999999999997</v>
      </c>
      <c r="P50" s="6">
        <v>1.49</v>
      </c>
      <c r="Q50" s="6">
        <v>177</v>
      </c>
      <c r="R50" s="6">
        <v>397.27272729999999</v>
      </c>
      <c r="S50" s="6">
        <v>366</v>
      </c>
      <c r="T50" s="6">
        <v>6</v>
      </c>
      <c r="U50" s="6" t="s">
        <v>178</v>
      </c>
      <c r="V50" s="6">
        <v>3.9</v>
      </c>
      <c r="W50" s="6">
        <v>86.069680000000005</v>
      </c>
      <c r="X50" s="6">
        <v>633</v>
      </c>
      <c r="Y50" s="6">
        <v>1.9</v>
      </c>
      <c r="Z50" s="6">
        <v>33.624191529999997</v>
      </c>
      <c r="AA50" s="6">
        <v>555.10090909999997</v>
      </c>
      <c r="AB50" s="6">
        <v>532.99656330000005</v>
      </c>
      <c r="AC50" s="6">
        <v>122.548666014204</v>
      </c>
      <c r="AD50" s="6">
        <v>584.0719904</v>
      </c>
      <c r="AE50" s="6">
        <v>0.65055136700000005</v>
      </c>
      <c r="AF50" s="6">
        <v>8.6987235009999999</v>
      </c>
      <c r="AG50" s="6">
        <v>9.2822800139999995</v>
      </c>
      <c r="AH50" s="6">
        <v>6.2644198209999997</v>
      </c>
      <c r="AI50" s="6">
        <v>4.3784339689999996</v>
      </c>
      <c r="AJ50" s="6">
        <v>4.3202895320000003</v>
      </c>
      <c r="AK50" s="6">
        <v>6.2644198209999997</v>
      </c>
      <c r="AL50" s="6">
        <v>0.95132881999999996</v>
      </c>
      <c r="AM50" s="6">
        <v>652.22405609999998</v>
      </c>
      <c r="AN50" s="6">
        <v>370.91044340000002</v>
      </c>
      <c r="AO50" s="6">
        <v>63.504233970000001</v>
      </c>
      <c r="AP50" s="6">
        <v>413.5857565</v>
      </c>
      <c r="AQ50" s="6">
        <v>0.90947035200000004</v>
      </c>
      <c r="AR50" s="6">
        <v>0.69322238199999997</v>
      </c>
      <c r="AS50" s="6">
        <v>1522.276613</v>
      </c>
      <c r="AT50" s="6">
        <v>0.20662831700000001</v>
      </c>
      <c r="AU50">
        <v>445.80029830000001</v>
      </c>
      <c r="AV50">
        <v>1.2190934200000001</v>
      </c>
    </row>
    <row r="51" spans="1:48" x14ac:dyDescent="0.25">
      <c r="A51" s="6">
        <v>2222</v>
      </c>
      <c r="B51" s="6" t="s">
        <v>22</v>
      </c>
      <c r="C51" s="6">
        <v>2214</v>
      </c>
      <c r="D51" s="6" t="s">
        <v>37</v>
      </c>
      <c r="E51" s="6" t="s">
        <v>23</v>
      </c>
      <c r="F51" s="6" t="s">
        <v>21</v>
      </c>
      <c r="G51" s="6" t="s">
        <v>24</v>
      </c>
      <c r="H51" s="6">
        <v>175</v>
      </c>
      <c r="I51" s="6">
        <v>322</v>
      </c>
      <c r="J51" s="6">
        <v>690</v>
      </c>
      <c r="K51" s="6">
        <v>651</v>
      </c>
      <c r="L51" s="6">
        <v>2.11</v>
      </c>
      <c r="M51" s="6">
        <v>1.881818182</v>
      </c>
      <c r="N51" s="6">
        <v>662.4</v>
      </c>
      <c r="O51" s="6">
        <v>0.63339999999999996</v>
      </c>
      <c r="P51" s="6">
        <v>1.49</v>
      </c>
      <c r="Q51" s="6">
        <v>177</v>
      </c>
      <c r="R51" s="6">
        <v>412.27272729999999</v>
      </c>
      <c r="S51" s="6">
        <v>368</v>
      </c>
      <c r="T51" s="6">
        <v>6</v>
      </c>
      <c r="U51" s="6" t="s">
        <v>178</v>
      </c>
      <c r="V51" s="6">
        <v>3.6</v>
      </c>
      <c r="W51" s="6">
        <v>97.231639999999999</v>
      </c>
      <c r="X51" s="6">
        <v>604</v>
      </c>
      <c r="Y51" s="6">
        <v>2.1</v>
      </c>
      <c r="Z51" s="6">
        <v>33.875511160000002</v>
      </c>
      <c r="AA51" s="6">
        <v>574.84090909999998</v>
      </c>
      <c r="AB51" s="6">
        <v>551.12920320000001</v>
      </c>
      <c r="AC51" s="6">
        <v>121.976871240188</v>
      </c>
      <c r="AD51" s="6">
        <v>574.50630120000005</v>
      </c>
      <c r="AE51" s="6">
        <v>0.67291906199999996</v>
      </c>
      <c r="AF51" s="6">
        <v>9.1128629140000008</v>
      </c>
      <c r="AG51" s="6">
        <v>9.4009715689999993</v>
      </c>
      <c r="AH51" s="6">
        <v>6.7837414259999997</v>
      </c>
      <c r="AI51" s="6">
        <v>4.4344205509999997</v>
      </c>
      <c r="AJ51" s="6">
        <v>4.6784423630000003</v>
      </c>
      <c r="AK51" s="6">
        <v>6.7837414259999997</v>
      </c>
      <c r="AL51" s="6">
        <v>1.0345814289999999</v>
      </c>
      <c r="AM51" s="6">
        <v>663.43458139999996</v>
      </c>
      <c r="AN51" s="6">
        <v>364.43397750000003</v>
      </c>
      <c r="AO51" s="6">
        <v>63.434287269999999</v>
      </c>
      <c r="AP51" s="6">
        <v>420.18871890000003</v>
      </c>
      <c r="AQ51" s="6">
        <v>0.98905984599999996</v>
      </c>
      <c r="AR51" s="6">
        <v>0.68962963300000002</v>
      </c>
      <c r="AS51" s="6">
        <v>1594.75101</v>
      </c>
      <c r="AT51" s="6">
        <v>0.20650131599999999</v>
      </c>
      <c r="AU51">
        <v>467.0245013</v>
      </c>
      <c r="AV51">
        <v>1.267679091</v>
      </c>
    </row>
    <row r="52" spans="1:48" x14ac:dyDescent="0.25">
      <c r="A52" s="6">
        <v>2227</v>
      </c>
      <c r="B52" s="6" t="s">
        <v>22</v>
      </c>
      <c r="C52" s="6">
        <v>2214</v>
      </c>
      <c r="D52" s="6" t="s">
        <v>37</v>
      </c>
      <c r="E52" s="6" t="s">
        <v>23</v>
      </c>
      <c r="F52" s="6" t="s">
        <v>21</v>
      </c>
      <c r="G52" s="6" t="s">
        <v>24</v>
      </c>
      <c r="H52" s="6">
        <v>203</v>
      </c>
      <c r="I52" s="6">
        <v>279</v>
      </c>
      <c r="J52" s="6">
        <v>607</v>
      </c>
      <c r="K52" s="6">
        <v>577</v>
      </c>
      <c r="L52" s="6">
        <v>1.61</v>
      </c>
      <c r="M52" s="6">
        <v>1.4677563819999999</v>
      </c>
      <c r="N52" s="6">
        <v>582.54545450000001</v>
      </c>
      <c r="O52" s="6">
        <v>0.64019999999999999</v>
      </c>
      <c r="P52" s="6">
        <v>1.49</v>
      </c>
      <c r="Q52" s="6">
        <v>177</v>
      </c>
      <c r="R52" s="6">
        <v>369.54545450000001</v>
      </c>
      <c r="S52" s="6">
        <v>328</v>
      </c>
      <c r="T52" s="6">
        <v>4</v>
      </c>
      <c r="U52" s="6" t="s">
        <v>175</v>
      </c>
      <c r="V52" s="6">
        <v>2.9</v>
      </c>
      <c r="W52" s="6">
        <v>98.522040000000004</v>
      </c>
      <c r="X52" s="6">
        <v>409</v>
      </c>
      <c r="Y52" s="6">
        <v>1.7</v>
      </c>
      <c r="Z52" s="6">
        <v>29.655499129999999</v>
      </c>
      <c r="AA52" s="6">
        <v>518.61181820000002</v>
      </c>
      <c r="AB52" s="6">
        <v>555.56049440000004</v>
      </c>
      <c r="AC52" s="6">
        <v>188.20719575025601</v>
      </c>
      <c r="AD52" s="6">
        <v>501.21765329999999</v>
      </c>
      <c r="AE52" s="6">
        <v>0.82176360599999998</v>
      </c>
      <c r="AF52" s="6">
        <v>10.106389460000001</v>
      </c>
      <c r="AG52" s="6">
        <v>8.5374831560000004</v>
      </c>
      <c r="AH52" s="6">
        <v>8.8149484139999998</v>
      </c>
      <c r="AI52" s="6">
        <v>4.0271146959999999</v>
      </c>
      <c r="AJ52" s="6">
        <v>6.0792747680000003</v>
      </c>
      <c r="AK52" s="6">
        <v>8.8149484139999998</v>
      </c>
      <c r="AL52" s="6">
        <v>1.4420537739999999</v>
      </c>
      <c r="AM52" s="6">
        <v>583.98750829999994</v>
      </c>
      <c r="AN52" s="6">
        <v>314.8137759</v>
      </c>
      <c r="AO52" s="6">
        <v>62.809794070000002</v>
      </c>
      <c r="AP52" s="6">
        <v>365.89560039999998</v>
      </c>
      <c r="AQ52" s="6">
        <v>1.378603408</v>
      </c>
      <c r="AR52" s="6">
        <v>0.63247611699999995</v>
      </c>
      <c r="AS52" s="6">
        <v>2051.5970609999999</v>
      </c>
      <c r="AT52" s="6">
        <v>0.14523053799999999</v>
      </c>
      <c r="AU52">
        <v>600.81234529999995</v>
      </c>
      <c r="AV52">
        <v>1.8345415119999999</v>
      </c>
    </row>
    <row r="53" spans="1:48" x14ac:dyDescent="0.25">
      <c r="A53" s="6">
        <v>2236</v>
      </c>
      <c r="B53" s="6" t="s">
        <v>22</v>
      </c>
      <c r="C53" s="6">
        <v>2214</v>
      </c>
      <c r="D53" s="6" t="s">
        <v>37</v>
      </c>
      <c r="E53" s="6" t="s">
        <v>23</v>
      </c>
      <c r="F53" s="6" t="s">
        <v>21</v>
      </c>
      <c r="G53" s="6" t="s">
        <v>24</v>
      </c>
      <c r="H53" s="6">
        <v>175</v>
      </c>
      <c r="I53" s="6">
        <v>318</v>
      </c>
      <c r="J53" s="6">
        <v>683</v>
      </c>
      <c r="K53" s="6">
        <v>654</v>
      </c>
      <c r="L53" s="6">
        <v>2.09</v>
      </c>
      <c r="M53" s="6">
        <v>1.923376623</v>
      </c>
      <c r="N53" s="6">
        <v>655.63636359999998</v>
      </c>
      <c r="O53" s="6">
        <v>0.6331</v>
      </c>
      <c r="P53" s="6">
        <v>1.49</v>
      </c>
      <c r="Q53" s="6">
        <v>177</v>
      </c>
      <c r="R53" s="6">
        <v>414.09090909999998</v>
      </c>
      <c r="S53" s="6">
        <v>365</v>
      </c>
      <c r="T53" s="6">
        <v>6</v>
      </c>
      <c r="U53" s="6" t="s">
        <v>178</v>
      </c>
      <c r="V53" s="6">
        <v>3.7</v>
      </c>
      <c r="W53" s="6">
        <v>100.71572</v>
      </c>
      <c r="X53" s="6">
        <v>628</v>
      </c>
      <c r="Y53" s="6">
        <v>2.4</v>
      </c>
      <c r="Z53" s="6">
        <v>35.102456850000003</v>
      </c>
      <c r="AA53" s="6">
        <v>577.23363640000002</v>
      </c>
      <c r="AB53" s="6">
        <v>534.17800420000003</v>
      </c>
      <c r="AC53" s="6">
        <v>112.65500556645399</v>
      </c>
      <c r="AD53" s="6">
        <v>586.68492400000002</v>
      </c>
      <c r="AE53" s="6">
        <v>0.64432341900000001</v>
      </c>
      <c r="AF53" s="6">
        <v>8.6587052240000002</v>
      </c>
      <c r="AG53" s="6">
        <v>9.3288856800000008</v>
      </c>
      <c r="AH53" s="6">
        <v>6.1745168030000004</v>
      </c>
      <c r="AI53" s="6">
        <v>4.4004177740000001</v>
      </c>
      <c r="AJ53" s="6">
        <v>4.2582874500000001</v>
      </c>
      <c r="AK53" s="6">
        <v>6.1745168030000004</v>
      </c>
      <c r="AL53" s="6">
        <v>0.93601402099999997</v>
      </c>
      <c r="AM53" s="6">
        <v>656.57237769999995</v>
      </c>
      <c r="AN53" s="6">
        <v>372.67953440000002</v>
      </c>
      <c r="AO53" s="6">
        <v>63.522943779999999</v>
      </c>
      <c r="AP53" s="6">
        <v>416.47951860000001</v>
      </c>
      <c r="AQ53" s="6">
        <v>0.89482940399999999</v>
      </c>
      <c r="AR53" s="6">
        <v>0.69472665499999997</v>
      </c>
      <c r="AS53" s="6">
        <v>1515.273414</v>
      </c>
      <c r="AT53" s="6">
        <v>0.22213212900000001</v>
      </c>
      <c r="AU53">
        <v>443.74940429999998</v>
      </c>
      <c r="AV53">
        <v>1.2142396630000001</v>
      </c>
    </row>
    <row r="54" spans="1:48" x14ac:dyDescent="0.25">
      <c r="A54" s="6">
        <v>2237</v>
      </c>
      <c r="B54" s="6" t="s">
        <v>36</v>
      </c>
      <c r="C54" s="6">
        <v>2214</v>
      </c>
      <c r="D54" s="6" t="s">
        <v>37</v>
      </c>
      <c r="E54" s="6" t="s">
        <v>23</v>
      </c>
      <c r="F54" s="6" t="s">
        <v>21</v>
      </c>
      <c r="G54" s="6" t="s">
        <v>24</v>
      </c>
      <c r="H54" s="6">
        <v>203</v>
      </c>
      <c r="I54" s="6">
        <v>303</v>
      </c>
      <c r="J54" s="6">
        <v>669</v>
      </c>
      <c r="K54" s="6">
        <v>651</v>
      </c>
      <c r="L54" s="6">
        <v>1.8</v>
      </c>
      <c r="M54" s="6">
        <v>1.7129422299999999</v>
      </c>
      <c r="N54" s="6">
        <v>641.89090910000004</v>
      </c>
      <c r="O54" s="6">
        <v>0.64039999999999997</v>
      </c>
      <c r="P54" s="6">
        <v>1.49</v>
      </c>
      <c r="Q54" s="6">
        <v>177</v>
      </c>
      <c r="R54" s="6">
        <v>416.81818179999999</v>
      </c>
      <c r="S54" s="6">
        <v>365</v>
      </c>
      <c r="T54" s="6">
        <v>5</v>
      </c>
      <c r="U54" s="6" t="s">
        <v>177</v>
      </c>
      <c r="V54" s="6">
        <v>3.9</v>
      </c>
      <c r="W54" s="6">
        <v>87.48912</v>
      </c>
      <c r="X54" s="6">
        <v>470</v>
      </c>
      <c r="Y54" s="6">
        <v>1.8</v>
      </c>
      <c r="Z54" s="6">
        <v>32.614299369999998</v>
      </c>
      <c r="AA54" s="6">
        <v>580.8227273</v>
      </c>
      <c r="AB54" s="6">
        <v>578.02785440000002</v>
      </c>
      <c r="AC54" s="6">
        <v>160.45260102679799</v>
      </c>
      <c r="AD54" s="6">
        <v>530.81153819999997</v>
      </c>
      <c r="AE54" s="6">
        <v>0.76645771600000001</v>
      </c>
      <c r="AF54" s="6">
        <v>10.13761708</v>
      </c>
      <c r="AG54" s="6">
        <v>9.1818124000000001</v>
      </c>
      <c r="AH54" s="6">
        <v>8.4195315710000003</v>
      </c>
      <c r="AI54" s="6">
        <v>4.3310435849999998</v>
      </c>
      <c r="AJ54" s="6">
        <v>5.8065734969999996</v>
      </c>
      <c r="AK54" s="6">
        <v>8.4195315710000003</v>
      </c>
      <c r="AL54" s="6">
        <v>1.32977415</v>
      </c>
      <c r="AM54" s="6">
        <v>643.22068320000005</v>
      </c>
      <c r="AN54" s="6">
        <v>334.8503652</v>
      </c>
      <c r="AO54" s="6">
        <v>63.082721650000003</v>
      </c>
      <c r="AP54" s="6">
        <v>404.92225550000001</v>
      </c>
      <c r="AQ54" s="6">
        <v>1.2712640879999999</v>
      </c>
      <c r="AR54" s="6">
        <v>0.66062411600000004</v>
      </c>
      <c r="AS54" s="6">
        <v>2057.9362679999999</v>
      </c>
      <c r="AT54" s="6">
        <v>0.16896892199999999</v>
      </c>
      <c r="AU54">
        <v>602.66878850000001</v>
      </c>
      <c r="AV54">
        <v>1.6490937000000001</v>
      </c>
    </row>
    <row r="55" spans="1:48" x14ac:dyDescent="0.25">
      <c r="A55" s="6">
        <v>2505</v>
      </c>
      <c r="B55" s="6" t="s">
        <v>13</v>
      </c>
      <c r="C55" s="6">
        <v>2304</v>
      </c>
      <c r="D55" s="6" t="s">
        <v>16</v>
      </c>
      <c r="E55" s="6" t="s">
        <v>14</v>
      </c>
      <c r="F55" s="6" t="s">
        <v>15</v>
      </c>
      <c r="G55" s="6" t="s">
        <v>15</v>
      </c>
      <c r="H55" s="6">
        <v>274</v>
      </c>
      <c r="I55" s="6">
        <v>250</v>
      </c>
      <c r="J55" s="6">
        <v>599</v>
      </c>
      <c r="K55" s="6">
        <v>599</v>
      </c>
      <c r="L55" s="6">
        <v>1.27</v>
      </c>
      <c r="M55" s="6">
        <v>1.2723954879999999</v>
      </c>
      <c r="N55" s="6">
        <v>575.12727270000005</v>
      </c>
      <c r="O55" s="6">
        <v>0.63619999999999999</v>
      </c>
      <c r="P55" s="6">
        <v>1.49</v>
      </c>
      <c r="Q55" s="6">
        <v>187.64</v>
      </c>
      <c r="R55" s="6">
        <v>392</v>
      </c>
      <c r="S55" s="6">
        <v>349</v>
      </c>
      <c r="T55" s="6">
        <v>6</v>
      </c>
      <c r="U55" s="6" t="s">
        <v>178</v>
      </c>
      <c r="V55" s="6">
        <v>3.81</v>
      </c>
      <c r="W55" s="6">
        <v>77.81</v>
      </c>
      <c r="X55" s="6">
        <v>630</v>
      </c>
      <c r="Y55" s="6">
        <v>1.52</v>
      </c>
      <c r="Z55" s="6">
        <v>32.173354670000002</v>
      </c>
      <c r="AA55" s="6">
        <v>547.92272730000002</v>
      </c>
      <c r="AB55" s="6">
        <v>548.1601455</v>
      </c>
      <c r="AC55" s="6">
        <v>233.97253679014599</v>
      </c>
      <c r="AD55" s="6">
        <v>501.51554909999999</v>
      </c>
      <c r="AE55" s="6">
        <v>0.82123926800000002</v>
      </c>
      <c r="AF55" s="6">
        <v>10.00332646</v>
      </c>
      <c r="AG55" s="6">
        <v>8.4558149139999994</v>
      </c>
      <c r="AH55" s="6">
        <v>8.7213650559999998</v>
      </c>
      <c r="AI55" s="6">
        <v>3.9885919400000001</v>
      </c>
      <c r="AJ55" s="6">
        <v>6.0147345220000004</v>
      </c>
      <c r="AK55" s="6">
        <v>8.7213650559999998</v>
      </c>
      <c r="AL55" s="6">
        <v>1.4275110630000001</v>
      </c>
      <c r="AM55" s="6">
        <v>576.5547838</v>
      </c>
      <c r="AN55" s="6">
        <v>315.01546669999999</v>
      </c>
      <c r="AO55" s="6">
        <v>62.812701879999999</v>
      </c>
      <c r="AP55" s="6">
        <v>361.25297929999999</v>
      </c>
      <c r="AQ55" s="6">
        <v>1.3647005759999999</v>
      </c>
      <c r="AR55" s="6">
        <v>0.63205367400000001</v>
      </c>
      <c r="AS55" s="6">
        <v>2740.9114509999999</v>
      </c>
      <c r="AT55" s="6">
        <v>0.12719723699999999</v>
      </c>
      <c r="AU55">
        <v>757.29829310000002</v>
      </c>
      <c r="AV55">
        <v>2.1721724180000002</v>
      </c>
    </row>
    <row r="56" spans="1:48" x14ac:dyDescent="0.25">
      <c r="A56" s="6">
        <v>2510</v>
      </c>
      <c r="B56" s="6" t="s">
        <v>17</v>
      </c>
      <c r="C56" s="6">
        <v>2304</v>
      </c>
      <c r="D56" s="6" t="s">
        <v>16</v>
      </c>
      <c r="E56" s="6" t="s">
        <v>14</v>
      </c>
      <c r="F56" s="6" t="s">
        <v>15</v>
      </c>
      <c r="G56" s="6" t="s">
        <v>15</v>
      </c>
      <c r="H56" s="6">
        <v>274</v>
      </c>
      <c r="I56" s="6">
        <v>229</v>
      </c>
      <c r="J56" s="6">
        <v>657</v>
      </c>
      <c r="K56" s="6">
        <v>657</v>
      </c>
      <c r="L56" s="6">
        <v>1.56</v>
      </c>
      <c r="M56" s="6">
        <v>1.5610484410000001</v>
      </c>
      <c r="N56" s="6">
        <v>630.54545450000001</v>
      </c>
      <c r="O56" s="6">
        <v>0.6361</v>
      </c>
      <c r="P56" s="6">
        <v>1.49</v>
      </c>
      <c r="Q56" s="6">
        <v>187.64</v>
      </c>
      <c r="R56" s="6">
        <v>439</v>
      </c>
      <c r="S56" s="6">
        <v>428</v>
      </c>
      <c r="T56" s="6">
        <v>7</v>
      </c>
      <c r="U56" s="6" t="s">
        <v>179</v>
      </c>
      <c r="V56" s="6">
        <v>4.0999999999999996</v>
      </c>
      <c r="W56" s="6">
        <v>91.36</v>
      </c>
      <c r="X56" s="6">
        <v>737</v>
      </c>
      <c r="Y56" s="6">
        <v>2.0299999999999998</v>
      </c>
      <c r="Z56" s="6">
        <v>35.365566700000002</v>
      </c>
      <c r="AA56" s="6">
        <v>609.53545450000001</v>
      </c>
      <c r="AB56" s="6">
        <v>566.22050890000003</v>
      </c>
      <c r="AC56" s="6">
        <v>215.96357358951099</v>
      </c>
      <c r="AD56" s="6">
        <v>532.30273820000002</v>
      </c>
      <c r="AE56" s="6">
        <v>0.76349894600000001</v>
      </c>
      <c r="AF56" s="6">
        <v>9.9643162969999999</v>
      </c>
      <c r="AG56" s="6">
        <v>9.0598247290000007</v>
      </c>
      <c r="AH56" s="6">
        <v>8.2516803959999994</v>
      </c>
      <c r="AI56" s="6">
        <v>4.2735022310000002</v>
      </c>
      <c r="AJ56" s="6">
        <v>5.6908140659999997</v>
      </c>
      <c r="AK56" s="6">
        <v>8.2516803959999994</v>
      </c>
      <c r="AL56" s="6">
        <v>1.3030841950000001</v>
      </c>
      <c r="AM56" s="6">
        <v>631.84853869999995</v>
      </c>
      <c r="AN56" s="6">
        <v>335.85998460000002</v>
      </c>
      <c r="AO56" s="6">
        <v>63.095671029999998</v>
      </c>
      <c r="AP56" s="6">
        <v>397.84688569999997</v>
      </c>
      <c r="AQ56" s="6">
        <v>1.24574849</v>
      </c>
      <c r="AR56" s="6">
        <v>0.66073643900000001</v>
      </c>
      <c r="AS56" s="6">
        <v>2730.2226649999998</v>
      </c>
      <c r="AT56" s="6">
        <v>0.15666387900000001</v>
      </c>
      <c r="AU56">
        <v>754.34504230000005</v>
      </c>
      <c r="AV56">
        <v>1.7636122139999999</v>
      </c>
    </row>
    <row r="57" spans="1:48" x14ac:dyDescent="0.25">
      <c r="A57" s="6">
        <v>2517</v>
      </c>
      <c r="B57" s="6" t="s">
        <v>18</v>
      </c>
      <c r="C57" s="6">
        <v>2304</v>
      </c>
      <c r="D57" s="6" t="s">
        <v>16</v>
      </c>
      <c r="E57" s="6" t="s">
        <v>14</v>
      </c>
      <c r="F57" s="6" t="s">
        <v>15</v>
      </c>
      <c r="G57" s="6" t="s">
        <v>15</v>
      </c>
      <c r="H57" s="6">
        <v>219</v>
      </c>
      <c r="I57" s="6">
        <v>315</v>
      </c>
      <c r="J57" s="6">
        <v>744</v>
      </c>
      <c r="K57" s="6">
        <v>714</v>
      </c>
      <c r="L57" s="6">
        <v>1.96</v>
      </c>
      <c r="M57" s="6">
        <v>1.820257368</v>
      </c>
      <c r="N57" s="6">
        <v>713.89090910000004</v>
      </c>
      <c r="O57" s="6">
        <v>0.62380000000000002</v>
      </c>
      <c r="P57" s="6">
        <v>1.49</v>
      </c>
      <c r="Q57" s="6">
        <v>177</v>
      </c>
      <c r="R57" s="6">
        <v>445.45454549999999</v>
      </c>
      <c r="S57" s="6">
        <v>428</v>
      </c>
      <c r="T57" s="6">
        <v>7</v>
      </c>
      <c r="U57" s="6" t="s">
        <v>179</v>
      </c>
      <c r="V57" s="6">
        <v>4.5</v>
      </c>
      <c r="W57" s="6">
        <v>85.489000000000004</v>
      </c>
      <c r="X57" s="6">
        <v>719</v>
      </c>
      <c r="Y57" s="6">
        <v>2.1</v>
      </c>
      <c r="Z57" s="6">
        <v>36.370361559999999</v>
      </c>
      <c r="AA57" s="6">
        <v>618.50818179999999</v>
      </c>
      <c r="AB57" s="6">
        <v>560.20968119999998</v>
      </c>
      <c r="AC57" s="6">
        <v>134.46182942575999</v>
      </c>
      <c r="AD57" s="6">
        <v>609.12880659999996</v>
      </c>
      <c r="AE57" s="6">
        <v>0.58874184100000004</v>
      </c>
      <c r="AF57" s="6">
        <v>8.4333583270000005</v>
      </c>
      <c r="AG57" s="6">
        <v>9.9438916860000006</v>
      </c>
      <c r="AH57" s="6">
        <v>5.4271229019999998</v>
      </c>
      <c r="AI57" s="6">
        <v>4.6905149460000004</v>
      </c>
      <c r="AJ57" s="6">
        <v>3.7428433810000001</v>
      </c>
      <c r="AK57" s="6">
        <v>5.4271229019999998</v>
      </c>
      <c r="AL57" s="6">
        <v>0.81106412299999997</v>
      </c>
      <c r="AM57" s="6">
        <v>714.7019732</v>
      </c>
      <c r="AN57" s="6">
        <v>387.87520260000002</v>
      </c>
      <c r="AO57" s="6">
        <v>63.677041449999997</v>
      </c>
      <c r="AP57" s="6">
        <v>454.58461010000002</v>
      </c>
      <c r="AQ57" s="6">
        <v>0.77537730199999999</v>
      </c>
      <c r="AR57" s="6">
        <v>0.70691779499999996</v>
      </c>
      <c r="AS57" s="6">
        <v>1846.9054739999999</v>
      </c>
      <c r="AT57" s="6">
        <v>0.21584015500000001</v>
      </c>
      <c r="AU57">
        <v>540.86819979999996</v>
      </c>
      <c r="AV57">
        <v>1.2631741400000001</v>
      </c>
    </row>
    <row r="58" spans="1:48" x14ac:dyDescent="0.25">
      <c r="A58" s="6">
        <v>2523</v>
      </c>
      <c r="B58" s="6" t="s">
        <v>17</v>
      </c>
      <c r="C58" s="6">
        <v>2304</v>
      </c>
      <c r="D58" s="6" t="s">
        <v>16</v>
      </c>
      <c r="E58" s="6" t="s">
        <v>14</v>
      </c>
      <c r="F58" s="6" t="s">
        <v>15</v>
      </c>
      <c r="G58" s="6" t="s">
        <v>15</v>
      </c>
      <c r="H58" s="6">
        <v>219</v>
      </c>
      <c r="I58" s="6">
        <v>293</v>
      </c>
      <c r="J58" s="6">
        <v>712</v>
      </c>
      <c r="K58" s="6">
        <v>690</v>
      </c>
      <c r="L58" s="6">
        <v>1.91</v>
      </c>
      <c r="M58" s="6">
        <v>1.8140307179999999</v>
      </c>
      <c r="N58" s="6">
        <v>683.34545449999996</v>
      </c>
      <c r="O58" s="6">
        <v>0.62380000000000002</v>
      </c>
      <c r="P58" s="6">
        <v>1.49</v>
      </c>
      <c r="Q58" s="6">
        <v>177</v>
      </c>
      <c r="R58" s="6">
        <v>430.45454549999999</v>
      </c>
      <c r="S58" s="6">
        <v>419</v>
      </c>
      <c r="T58" s="6">
        <v>5</v>
      </c>
      <c r="U58" s="6" t="s">
        <v>177</v>
      </c>
      <c r="V58" s="6">
        <v>2.7</v>
      </c>
      <c r="W58" s="6">
        <v>104.32884</v>
      </c>
      <c r="X58" s="6">
        <v>537</v>
      </c>
      <c r="Y58" s="6">
        <v>1.4</v>
      </c>
      <c r="Z58" s="6">
        <v>29.720734799999999</v>
      </c>
      <c r="AA58" s="6">
        <v>598.76818179999998</v>
      </c>
      <c r="AB58" s="6">
        <v>644.47867970000004</v>
      </c>
      <c r="AC58" s="6">
        <v>193.90598156892199</v>
      </c>
      <c r="AD58" s="6">
        <v>506.82689370000003</v>
      </c>
      <c r="AE58" s="6">
        <v>0.81178002599999999</v>
      </c>
      <c r="AF58" s="6">
        <v>11.253052820000001</v>
      </c>
      <c r="AG58" s="6">
        <v>9.6230497019999994</v>
      </c>
      <c r="AH58" s="6">
        <v>9.7351237200000007</v>
      </c>
      <c r="AI58" s="6">
        <v>4.5391743880000002</v>
      </c>
      <c r="AJ58" s="6">
        <v>6.7138784280000001</v>
      </c>
      <c r="AK58" s="6">
        <v>9.7351237200000007</v>
      </c>
      <c r="AL58" s="6">
        <v>1.5667029990000001</v>
      </c>
      <c r="AM58" s="6">
        <v>684.91215750000003</v>
      </c>
      <c r="AN58" s="6">
        <v>318.61152149999998</v>
      </c>
      <c r="AO58" s="6">
        <v>62.86397298</v>
      </c>
      <c r="AP58" s="6">
        <v>429.57810189999998</v>
      </c>
      <c r="AQ58" s="6">
        <v>1.4977680680000001</v>
      </c>
      <c r="AR58" s="6">
        <v>0.64546972000000002</v>
      </c>
      <c r="AS58" s="6">
        <v>2464.4185670000002</v>
      </c>
      <c r="AT58" s="6">
        <v>0.16120343100000001</v>
      </c>
      <c r="AU58">
        <v>721.70755489999999</v>
      </c>
      <c r="AV58">
        <v>1.7220787639999999</v>
      </c>
    </row>
    <row r="59" spans="1:48" x14ac:dyDescent="0.25">
      <c r="A59" s="6">
        <v>2534</v>
      </c>
      <c r="B59" s="6" t="s">
        <v>45</v>
      </c>
      <c r="C59" s="6">
        <v>2304</v>
      </c>
      <c r="D59" s="6" t="s">
        <v>16</v>
      </c>
      <c r="E59" s="6" t="s">
        <v>14</v>
      </c>
      <c r="F59" s="6" t="s">
        <v>15</v>
      </c>
      <c r="G59" s="6" t="s">
        <v>15</v>
      </c>
      <c r="H59" s="6">
        <v>219</v>
      </c>
      <c r="I59" s="6">
        <v>272</v>
      </c>
      <c r="J59" s="6">
        <v>629</v>
      </c>
      <c r="K59" s="6">
        <v>598</v>
      </c>
      <c r="L59" s="6">
        <v>1.63</v>
      </c>
      <c r="M59" s="6">
        <v>1.4871315899999999</v>
      </c>
      <c r="N59" s="6">
        <v>603.70909089999998</v>
      </c>
      <c r="O59" s="6">
        <v>0.62429999999999997</v>
      </c>
      <c r="P59" s="6">
        <v>1.49</v>
      </c>
      <c r="Q59" s="6">
        <v>177</v>
      </c>
      <c r="R59" s="6">
        <v>373.18181820000001</v>
      </c>
      <c r="S59" s="6">
        <v>357</v>
      </c>
      <c r="T59" s="6">
        <v>6</v>
      </c>
      <c r="U59" s="6" t="s">
        <v>178</v>
      </c>
      <c r="V59" s="6">
        <v>2.8</v>
      </c>
      <c r="W59" s="6">
        <v>88.973079999999996</v>
      </c>
      <c r="X59" s="6">
        <v>573</v>
      </c>
      <c r="Y59" s="6">
        <v>1.2</v>
      </c>
      <c r="Z59" s="6">
        <v>29.749009869999998</v>
      </c>
      <c r="AA59" s="6">
        <v>523.39727270000003</v>
      </c>
      <c r="AB59" s="6">
        <v>559.43478330000005</v>
      </c>
      <c r="AC59" s="6">
        <v>193.25077265598799</v>
      </c>
      <c r="AD59" s="6">
        <v>515.82946579999998</v>
      </c>
      <c r="AE59" s="6">
        <v>0.79526881299999996</v>
      </c>
      <c r="AF59" s="6">
        <v>10.045845659999999</v>
      </c>
      <c r="AG59" s="6">
        <v>8.769064878</v>
      </c>
      <c r="AH59" s="6">
        <v>8.5687667449999996</v>
      </c>
      <c r="AI59" s="6">
        <v>4.1363513569999997</v>
      </c>
      <c r="AJ59" s="6">
        <v>5.9094943070000001</v>
      </c>
      <c r="AK59" s="6">
        <v>8.5687667449999996</v>
      </c>
      <c r="AL59" s="6">
        <v>1.377954948</v>
      </c>
      <c r="AM59" s="6">
        <v>605.08704590000002</v>
      </c>
      <c r="AN59" s="6">
        <v>324.706728</v>
      </c>
      <c r="AO59" s="6">
        <v>62.948464469999998</v>
      </c>
      <c r="AP59" s="6">
        <v>380.02560260000001</v>
      </c>
      <c r="AQ59" s="6">
        <v>1.3173249300000001</v>
      </c>
      <c r="AR59" s="6">
        <v>0.64607466999999996</v>
      </c>
      <c r="AS59" s="6">
        <v>2200.0401999999999</v>
      </c>
      <c r="AT59" s="6">
        <v>0.14803448499999999</v>
      </c>
      <c r="AU59">
        <v>644.28407389999995</v>
      </c>
      <c r="AV59">
        <v>1.8056368949999999</v>
      </c>
    </row>
    <row r="60" spans="1:48" x14ac:dyDescent="0.25">
      <c r="A60" s="6">
        <v>2548</v>
      </c>
      <c r="B60" s="6" t="s">
        <v>13</v>
      </c>
      <c r="C60" s="6">
        <v>2304</v>
      </c>
      <c r="D60" s="6" t="s">
        <v>16</v>
      </c>
      <c r="E60" s="6" t="s">
        <v>14</v>
      </c>
      <c r="F60" s="6" t="s">
        <v>15</v>
      </c>
      <c r="G60" s="6" t="s">
        <v>15</v>
      </c>
      <c r="H60" s="6">
        <v>219</v>
      </c>
      <c r="I60" s="6">
        <v>262</v>
      </c>
      <c r="J60" s="6">
        <v>696</v>
      </c>
      <c r="K60" s="6">
        <v>678</v>
      </c>
      <c r="L60" s="6">
        <v>1.98</v>
      </c>
      <c r="M60" s="6">
        <v>1.9022415939999999</v>
      </c>
      <c r="N60" s="6">
        <v>667.85454549999997</v>
      </c>
      <c r="O60" s="6">
        <v>0.624</v>
      </c>
      <c r="P60" s="6">
        <v>1.49</v>
      </c>
      <c r="Q60" s="6">
        <v>177</v>
      </c>
      <c r="R60" s="6">
        <v>423.18181820000001</v>
      </c>
      <c r="S60" s="6">
        <v>434</v>
      </c>
      <c r="T60" s="6">
        <v>5</v>
      </c>
      <c r="U60" s="6" t="s">
        <v>177</v>
      </c>
      <c r="V60" s="6">
        <v>2.6</v>
      </c>
      <c r="W60" s="6">
        <v>105.8128</v>
      </c>
      <c r="X60" s="6">
        <v>544</v>
      </c>
      <c r="Y60" s="6">
        <v>1.5</v>
      </c>
      <c r="Z60" s="6">
        <v>29.835777799999999</v>
      </c>
      <c r="AA60" s="6">
        <v>589.19727269999998</v>
      </c>
      <c r="AB60" s="6">
        <v>631.89571420000004</v>
      </c>
      <c r="AC60" s="6">
        <v>194.66759967985601</v>
      </c>
      <c r="AD60" s="6">
        <v>505.20119940000001</v>
      </c>
      <c r="AE60" s="6">
        <v>0.81469753600000006</v>
      </c>
      <c r="AF60" s="6">
        <v>11.100935550000001</v>
      </c>
      <c r="AG60" s="6">
        <v>9.4589713720000006</v>
      </c>
      <c r="AH60" s="6">
        <v>9.6267770670000008</v>
      </c>
      <c r="AI60" s="6">
        <v>4.4617789490000002</v>
      </c>
      <c r="AJ60" s="6">
        <v>6.6391565979999996</v>
      </c>
      <c r="AK60" s="6">
        <v>9.6267770670000008</v>
      </c>
      <c r="AL60" s="6">
        <v>1.554210147</v>
      </c>
      <c r="AM60" s="6">
        <v>669.40875559999995</v>
      </c>
      <c r="AN60" s="6">
        <v>317.51084250000002</v>
      </c>
      <c r="AO60" s="6">
        <v>62.848394429999999</v>
      </c>
      <c r="AP60" s="6">
        <v>419.73585889999998</v>
      </c>
      <c r="AQ60" s="6">
        <v>1.485824901</v>
      </c>
      <c r="AR60" s="6">
        <v>0.64292673</v>
      </c>
      <c r="AS60" s="6">
        <v>2431.1048850000002</v>
      </c>
      <c r="AT60" s="6">
        <v>0.17135867399999999</v>
      </c>
      <c r="AU60">
        <v>711.95160840000005</v>
      </c>
      <c r="AV60">
        <v>1.640097946</v>
      </c>
    </row>
    <row r="61" spans="1:48" x14ac:dyDescent="0.25">
      <c r="A61" s="6">
        <v>2558</v>
      </c>
      <c r="B61" s="6" t="s">
        <v>18</v>
      </c>
      <c r="C61" s="6">
        <v>2304</v>
      </c>
      <c r="D61" s="6" t="s">
        <v>16</v>
      </c>
      <c r="E61" s="6" t="s">
        <v>14</v>
      </c>
      <c r="F61" s="6" t="s">
        <v>15</v>
      </c>
      <c r="G61" s="6" t="s">
        <v>15</v>
      </c>
      <c r="H61" s="6">
        <v>274</v>
      </c>
      <c r="I61" s="6">
        <v>233</v>
      </c>
      <c r="J61" s="6">
        <v>636</v>
      </c>
      <c r="K61" s="6">
        <v>636</v>
      </c>
      <c r="L61" s="6">
        <v>1.47</v>
      </c>
      <c r="M61" s="6">
        <v>1.4722959520000001</v>
      </c>
      <c r="N61" s="6">
        <v>610.90909090000002</v>
      </c>
      <c r="O61" s="6">
        <v>0.63549999999999995</v>
      </c>
      <c r="P61" s="6">
        <v>1.49</v>
      </c>
      <c r="Q61" s="6">
        <v>187.64</v>
      </c>
      <c r="R61" s="6">
        <v>387</v>
      </c>
      <c r="S61" s="6">
        <v>403</v>
      </c>
      <c r="T61" s="6">
        <v>5</v>
      </c>
      <c r="U61" s="6" t="s">
        <v>177</v>
      </c>
      <c r="V61" s="6">
        <v>3.85</v>
      </c>
      <c r="W61" s="6">
        <v>81.040000000000006</v>
      </c>
      <c r="X61" s="6">
        <v>503</v>
      </c>
      <c r="Y61" s="6">
        <v>1.75</v>
      </c>
      <c r="Z61" s="6">
        <v>32.109843239999996</v>
      </c>
      <c r="AA61" s="6">
        <v>541.34272729999998</v>
      </c>
      <c r="AB61" s="6">
        <v>541.79165279999995</v>
      </c>
      <c r="AC61" s="6">
        <v>209.76564314448501</v>
      </c>
      <c r="AD61" s="6">
        <v>538.97941019999996</v>
      </c>
      <c r="AE61" s="6">
        <v>0.75004907899999995</v>
      </c>
      <c r="AF61" s="6">
        <v>9.5592514689999994</v>
      </c>
      <c r="AG61" s="6">
        <v>8.847385225</v>
      </c>
      <c r="AH61" s="6">
        <v>7.8096370000000004</v>
      </c>
      <c r="AI61" s="6">
        <v>4.1732949169999998</v>
      </c>
      <c r="AJ61" s="6">
        <v>5.3859565519999997</v>
      </c>
      <c r="AK61" s="6">
        <v>7.8096370000000004</v>
      </c>
      <c r="AL61" s="6">
        <v>1.2287782490000001</v>
      </c>
      <c r="AM61" s="6">
        <v>612.13786919999995</v>
      </c>
      <c r="AN61" s="6">
        <v>340.38043649999997</v>
      </c>
      <c r="AO61" s="6">
        <v>63.152771719999997</v>
      </c>
      <c r="AP61" s="6">
        <v>385.8060236</v>
      </c>
      <c r="AQ61" s="6">
        <v>1.174712006</v>
      </c>
      <c r="AR61" s="6">
        <v>0.66371987200000004</v>
      </c>
      <c r="AS61" s="6">
        <v>2619.234903</v>
      </c>
      <c r="AT61" s="6">
        <v>0.15401791200000001</v>
      </c>
      <c r="AU61">
        <v>723.67975269999999</v>
      </c>
      <c r="AV61">
        <v>1.7939103729999999</v>
      </c>
    </row>
    <row r="62" spans="1:48" x14ac:dyDescent="0.25">
      <c r="A62" s="6">
        <v>2562</v>
      </c>
      <c r="B62" s="6" t="s">
        <v>45</v>
      </c>
      <c r="C62" s="6">
        <v>2304</v>
      </c>
      <c r="D62" s="6" t="s">
        <v>16</v>
      </c>
      <c r="E62" s="6" t="s">
        <v>14</v>
      </c>
      <c r="F62" s="6" t="s">
        <v>15</v>
      </c>
      <c r="G62" s="6" t="s">
        <v>15</v>
      </c>
      <c r="H62" s="6">
        <v>219</v>
      </c>
      <c r="I62" s="6">
        <v>236</v>
      </c>
      <c r="J62" s="6">
        <v>660</v>
      </c>
      <c r="K62" s="6">
        <v>633</v>
      </c>
      <c r="L62" s="6">
        <v>1.94</v>
      </c>
      <c r="M62" s="6">
        <v>1.810917393</v>
      </c>
      <c r="N62" s="6">
        <v>633.6</v>
      </c>
      <c r="O62" s="6">
        <v>0.62360000000000004</v>
      </c>
      <c r="P62" s="6">
        <v>1.49</v>
      </c>
      <c r="Q62" s="6">
        <v>177</v>
      </c>
      <c r="R62" s="6">
        <v>394.54545450000001</v>
      </c>
      <c r="S62" s="6">
        <v>424</v>
      </c>
      <c r="T62" s="6">
        <v>5</v>
      </c>
      <c r="U62" s="6" t="s">
        <v>177</v>
      </c>
      <c r="V62" s="6">
        <v>3.5</v>
      </c>
      <c r="W62" s="6">
        <v>92.134559999999993</v>
      </c>
      <c r="X62" s="6">
        <v>510</v>
      </c>
      <c r="Y62" s="6">
        <v>1.9</v>
      </c>
      <c r="Z62" s="6">
        <v>31.986249870000002</v>
      </c>
      <c r="AA62" s="6">
        <v>551.51181819999999</v>
      </c>
      <c r="AB62" s="6">
        <v>555.18282269999997</v>
      </c>
      <c r="AC62" s="6">
        <v>176.17946586002901</v>
      </c>
      <c r="AD62" s="6">
        <v>545.51543679999997</v>
      </c>
      <c r="AE62" s="6">
        <v>0.73656214600000003</v>
      </c>
      <c r="AF62" s="6">
        <v>9.6476721160000007</v>
      </c>
      <c r="AG62" s="6">
        <v>9.0927211549999996</v>
      </c>
      <c r="AH62" s="6">
        <v>7.7700464199999999</v>
      </c>
      <c r="AI62" s="6">
        <v>4.2890194130000001</v>
      </c>
      <c r="AJ62" s="6">
        <v>5.3586527029999997</v>
      </c>
      <c r="AK62" s="6">
        <v>7.7700464199999999</v>
      </c>
      <c r="AL62" s="6">
        <v>1.213060104</v>
      </c>
      <c r="AM62" s="6">
        <v>634.81306010000003</v>
      </c>
      <c r="AN62" s="6">
        <v>344.80566429999999</v>
      </c>
      <c r="AO62" s="6">
        <v>63.207315690000001</v>
      </c>
      <c r="AP62" s="6">
        <v>400.48155220000001</v>
      </c>
      <c r="AQ62" s="6">
        <v>1.1596854590000001</v>
      </c>
      <c r="AR62" s="6">
        <v>0.67011631699999996</v>
      </c>
      <c r="AS62" s="6">
        <v>2112.840193</v>
      </c>
      <c r="AT62" s="6">
        <v>0.18770511400000001</v>
      </c>
      <c r="AU62">
        <v>618.74746059999995</v>
      </c>
      <c r="AV62">
        <v>1.459779532</v>
      </c>
    </row>
    <row r="63" spans="1:48" x14ac:dyDescent="0.25">
      <c r="A63" s="6">
        <v>2572</v>
      </c>
      <c r="B63" s="6" t="s">
        <v>18</v>
      </c>
      <c r="C63" s="6">
        <v>2304</v>
      </c>
      <c r="D63" s="6" t="s">
        <v>16</v>
      </c>
      <c r="E63" s="6" t="s">
        <v>14</v>
      </c>
      <c r="F63" s="6" t="s">
        <v>15</v>
      </c>
      <c r="G63" s="6" t="s">
        <v>15</v>
      </c>
      <c r="H63" s="6">
        <v>219</v>
      </c>
      <c r="I63" s="6">
        <v>255</v>
      </c>
      <c r="J63" s="6">
        <v>673</v>
      </c>
      <c r="K63" s="6">
        <v>650</v>
      </c>
      <c r="L63" s="6">
        <v>1.91</v>
      </c>
      <c r="M63" s="6">
        <v>1.800539643</v>
      </c>
      <c r="N63" s="6">
        <v>645.6</v>
      </c>
      <c r="O63" s="6">
        <v>0.62419999999999998</v>
      </c>
      <c r="P63" s="6">
        <v>1.49</v>
      </c>
      <c r="Q63" s="6">
        <v>177</v>
      </c>
      <c r="R63" s="6">
        <v>405.45454549999999</v>
      </c>
      <c r="S63" s="6">
        <v>417</v>
      </c>
      <c r="T63" s="6">
        <v>6</v>
      </c>
      <c r="U63" s="6" t="s">
        <v>178</v>
      </c>
      <c r="V63" s="6">
        <v>3.4</v>
      </c>
      <c r="W63" s="6">
        <v>85.101879999999994</v>
      </c>
      <c r="X63" s="6">
        <v>623</v>
      </c>
      <c r="Y63" s="6">
        <v>1.3</v>
      </c>
      <c r="Z63" s="6">
        <v>31.11380754</v>
      </c>
      <c r="AA63" s="6">
        <v>565.8681818</v>
      </c>
      <c r="AB63" s="6">
        <v>585.25845830000003</v>
      </c>
      <c r="AC63" s="6">
        <v>183.295706281854</v>
      </c>
      <c r="AD63" s="6">
        <v>527.28293910000002</v>
      </c>
      <c r="AE63" s="6">
        <v>0.77339328600000001</v>
      </c>
      <c r="AF63" s="6">
        <v>10.273650849999999</v>
      </c>
      <c r="AG63" s="6">
        <v>9.2215757420000006</v>
      </c>
      <c r="AH63" s="6">
        <v>8.5895839079999998</v>
      </c>
      <c r="AI63" s="6">
        <v>4.3497998779999998</v>
      </c>
      <c r="AJ63" s="6">
        <v>5.9238509710000002</v>
      </c>
      <c r="AK63" s="6">
        <v>8.5895839079999998</v>
      </c>
      <c r="AL63" s="6">
        <v>1.360425706</v>
      </c>
      <c r="AM63" s="6">
        <v>646.96042569999997</v>
      </c>
      <c r="AN63" s="6">
        <v>332.46132119999999</v>
      </c>
      <c r="AO63" s="6">
        <v>63.05178806</v>
      </c>
      <c r="AP63" s="6">
        <v>407.06234369999999</v>
      </c>
      <c r="AQ63" s="6">
        <v>1.300566975</v>
      </c>
      <c r="AR63" s="6">
        <v>0.65835248999999996</v>
      </c>
      <c r="AS63" s="6">
        <v>2249.9295360000001</v>
      </c>
      <c r="AT63" s="6">
        <v>0.17525801399999999</v>
      </c>
      <c r="AU63">
        <v>658.89421800000002</v>
      </c>
      <c r="AV63">
        <v>1.5790493240000001</v>
      </c>
    </row>
    <row r="64" spans="1:48" x14ac:dyDescent="0.25">
      <c r="A64" s="6">
        <v>2589</v>
      </c>
      <c r="B64" s="6" t="s">
        <v>45</v>
      </c>
      <c r="C64" s="6">
        <v>2304</v>
      </c>
      <c r="D64" s="6" t="s">
        <v>16</v>
      </c>
      <c r="E64" s="6" t="s">
        <v>14</v>
      </c>
      <c r="F64" s="6" t="s">
        <v>15</v>
      </c>
      <c r="G64" s="6" t="s">
        <v>15</v>
      </c>
      <c r="H64" s="6">
        <v>219</v>
      </c>
      <c r="I64" s="6">
        <v>255</v>
      </c>
      <c r="J64" s="6">
        <v>706</v>
      </c>
      <c r="K64" s="6">
        <v>691</v>
      </c>
      <c r="L64" s="6">
        <v>2.06</v>
      </c>
      <c r="M64" s="6">
        <v>1.991490245</v>
      </c>
      <c r="N64" s="6">
        <v>677.67272730000002</v>
      </c>
      <c r="O64" s="6">
        <v>0.62370000000000003</v>
      </c>
      <c r="P64" s="6">
        <v>1.49</v>
      </c>
      <c r="Q64" s="6">
        <v>177</v>
      </c>
      <c r="R64" s="6">
        <v>430.90909090000002</v>
      </c>
      <c r="S64" s="6">
        <v>451</v>
      </c>
      <c r="T64" s="6">
        <v>7</v>
      </c>
      <c r="U64" s="6" t="s">
        <v>179</v>
      </c>
      <c r="V64" s="6">
        <v>2.9</v>
      </c>
      <c r="W64" s="6">
        <v>98.844639999999998</v>
      </c>
      <c r="X64" s="6">
        <v>655</v>
      </c>
      <c r="Y64" s="6">
        <v>1.3</v>
      </c>
      <c r="Z64" s="6">
        <v>31.380354369999999</v>
      </c>
      <c r="AA64" s="6">
        <v>599.3663636</v>
      </c>
      <c r="AB64" s="6">
        <v>618.58867599999996</v>
      </c>
      <c r="AC64" s="6">
        <v>182.685277863457</v>
      </c>
      <c r="AD64" s="6">
        <v>523.65582529999995</v>
      </c>
      <c r="AE64" s="6">
        <v>0.78042619700000004</v>
      </c>
      <c r="AF64" s="6">
        <v>10.750993729999999</v>
      </c>
      <c r="AG64" s="6">
        <v>9.5630736909999996</v>
      </c>
      <c r="AH64" s="6">
        <v>9.0481593759999992</v>
      </c>
      <c r="AI64" s="6">
        <v>4.5108838169999999</v>
      </c>
      <c r="AJ64" s="6">
        <v>6.2401099139999996</v>
      </c>
      <c r="AK64" s="6">
        <v>9.0481593759999992</v>
      </c>
      <c r="AL64" s="6">
        <v>1.4332294969999999</v>
      </c>
      <c r="AM64" s="6">
        <v>679.10595679999994</v>
      </c>
      <c r="AN64" s="6">
        <v>330.0055777</v>
      </c>
      <c r="AO64" s="6">
        <v>63.01955632</v>
      </c>
      <c r="AP64" s="6">
        <v>427.06634609999998</v>
      </c>
      <c r="AQ64" s="6">
        <v>1.3701673990000001</v>
      </c>
      <c r="AR64" s="6">
        <v>0.65825374599999997</v>
      </c>
      <c r="AS64" s="6">
        <v>2354.467627</v>
      </c>
      <c r="AT64" s="6">
        <v>0.18523778299999999</v>
      </c>
      <c r="AU64">
        <v>689.50830729999996</v>
      </c>
      <c r="AV64">
        <v>1.5283811350000001</v>
      </c>
    </row>
    <row r="65" spans="1:48" x14ac:dyDescent="0.25">
      <c r="A65" s="6">
        <v>2615</v>
      </c>
      <c r="B65" s="6" t="s">
        <v>34</v>
      </c>
      <c r="C65" s="6">
        <v>2304</v>
      </c>
      <c r="D65" s="6" t="s">
        <v>16</v>
      </c>
      <c r="E65" s="6" t="s">
        <v>14</v>
      </c>
      <c r="F65" s="6" t="s">
        <v>15</v>
      </c>
      <c r="G65" s="6" t="s">
        <v>15</v>
      </c>
      <c r="H65" s="6">
        <v>219</v>
      </c>
      <c r="I65" s="6">
        <v>251</v>
      </c>
      <c r="J65" s="6">
        <v>710</v>
      </c>
      <c r="K65" s="6">
        <v>690</v>
      </c>
      <c r="L65" s="6">
        <v>2.09</v>
      </c>
      <c r="M65" s="6">
        <v>2.0008302200000001</v>
      </c>
      <c r="N65" s="6">
        <v>681.16363639999997</v>
      </c>
      <c r="O65" s="6">
        <v>0.62429999999999997</v>
      </c>
      <c r="P65" s="6">
        <v>1.49</v>
      </c>
      <c r="Q65" s="6">
        <v>177</v>
      </c>
      <c r="R65" s="6">
        <v>430.45454549999999</v>
      </c>
      <c r="S65" s="6">
        <v>458</v>
      </c>
      <c r="T65" s="6">
        <v>6</v>
      </c>
      <c r="U65" s="6" t="s">
        <v>178</v>
      </c>
      <c r="V65" s="6">
        <v>3.5</v>
      </c>
      <c r="W65" s="6">
        <v>93.231399999999994</v>
      </c>
      <c r="X65" s="6">
        <v>596</v>
      </c>
      <c r="Y65" s="6">
        <v>1.7</v>
      </c>
      <c r="Z65" s="6">
        <v>32.477886570000003</v>
      </c>
      <c r="AA65" s="6">
        <v>598.76818179999998</v>
      </c>
      <c r="AB65" s="6">
        <v>600.35187350000001</v>
      </c>
      <c r="AC65" s="6">
        <v>174.42171436815099</v>
      </c>
      <c r="AD65" s="6">
        <v>542.34230379999997</v>
      </c>
      <c r="AE65" s="6">
        <v>0.74314941800000001</v>
      </c>
      <c r="AF65" s="6">
        <v>10.27700332</v>
      </c>
      <c r="AG65" s="6">
        <v>9.5999967920000007</v>
      </c>
      <c r="AH65" s="6">
        <v>8.3356192779999994</v>
      </c>
      <c r="AI65" s="6">
        <v>4.5283003730000004</v>
      </c>
      <c r="AJ65" s="6">
        <v>5.7487029500000002</v>
      </c>
      <c r="AK65" s="6">
        <v>8.3356192779999994</v>
      </c>
      <c r="AL65" s="6">
        <v>1.298468186</v>
      </c>
      <c r="AM65" s="6">
        <v>682.46210450000001</v>
      </c>
      <c r="AN65" s="6">
        <v>342.6572893</v>
      </c>
      <c r="AO65" s="6">
        <v>63.18099969</v>
      </c>
      <c r="AP65" s="6">
        <v>430.365995</v>
      </c>
      <c r="AQ65" s="6">
        <v>1.2413355850000001</v>
      </c>
      <c r="AR65" s="6">
        <v>0.67195003600000003</v>
      </c>
      <c r="AS65" s="6">
        <v>2250.663728</v>
      </c>
      <c r="AT65" s="6">
        <v>0.19469004300000001</v>
      </c>
      <c r="AU65">
        <v>659.10922679999999</v>
      </c>
      <c r="AV65">
        <v>1.4385320429999999</v>
      </c>
    </row>
    <row r="66" spans="1:48" x14ac:dyDescent="0.25">
      <c r="A66" s="6">
        <v>2618</v>
      </c>
      <c r="B66" s="6" t="s">
        <v>45</v>
      </c>
      <c r="C66" s="6">
        <v>2304</v>
      </c>
      <c r="D66" s="6" t="s">
        <v>16</v>
      </c>
      <c r="E66" s="6" t="s">
        <v>14</v>
      </c>
      <c r="F66" s="6" t="s">
        <v>15</v>
      </c>
      <c r="G66" s="6" t="s">
        <v>15</v>
      </c>
      <c r="H66" s="6">
        <v>219</v>
      </c>
      <c r="I66" s="6">
        <v>265</v>
      </c>
      <c r="J66" s="6">
        <v>659</v>
      </c>
      <c r="K66" s="6">
        <v>614</v>
      </c>
      <c r="L66" s="6">
        <v>1.8</v>
      </c>
      <c r="M66" s="6">
        <v>1.5960979660000001</v>
      </c>
      <c r="N66" s="6">
        <v>632.29090910000002</v>
      </c>
      <c r="O66" s="6">
        <v>0.624</v>
      </c>
      <c r="P66" s="6">
        <v>1.49</v>
      </c>
      <c r="Q66" s="6">
        <v>177</v>
      </c>
      <c r="R66" s="6">
        <v>383.18181820000001</v>
      </c>
      <c r="S66" s="6">
        <v>394</v>
      </c>
      <c r="T66" s="6">
        <v>5</v>
      </c>
      <c r="U66" s="6" t="s">
        <v>177</v>
      </c>
      <c r="V66" s="6">
        <v>3.6</v>
      </c>
      <c r="W66" s="6">
        <v>82.650120000000001</v>
      </c>
      <c r="X66" s="6">
        <v>456</v>
      </c>
      <c r="Y66" s="6">
        <v>1.5</v>
      </c>
      <c r="Z66" s="6">
        <v>30.86000134</v>
      </c>
      <c r="AA66" s="6">
        <v>536.5572727</v>
      </c>
      <c r="AB66" s="6">
        <v>556.4238537</v>
      </c>
      <c r="AC66" s="6">
        <v>182.86997751181499</v>
      </c>
      <c r="AD66" s="6">
        <v>543.17415140000003</v>
      </c>
      <c r="AE66" s="6">
        <v>0.74142976800000004</v>
      </c>
      <c r="AF66" s="6">
        <v>9.6963768350000006</v>
      </c>
      <c r="AG66" s="6">
        <v>9.0786275530000005</v>
      </c>
      <c r="AH66" s="6">
        <v>7.8503077550000002</v>
      </c>
      <c r="AI66" s="6">
        <v>4.2823714869999998</v>
      </c>
      <c r="AJ66" s="6">
        <v>5.4140053479999999</v>
      </c>
      <c r="AK66" s="6">
        <v>7.8503077550000002</v>
      </c>
      <c r="AL66" s="6">
        <v>1.228083711</v>
      </c>
      <c r="AM66" s="6">
        <v>633.51899279999998</v>
      </c>
      <c r="AN66" s="6">
        <v>343.2204931</v>
      </c>
      <c r="AO66" s="6">
        <v>63.187928249999999</v>
      </c>
      <c r="AP66" s="6">
        <v>399.53152599999999</v>
      </c>
      <c r="AQ66" s="6">
        <v>1.1740480280000001</v>
      </c>
      <c r="AR66" s="6">
        <v>0.668443232</v>
      </c>
      <c r="AS66" s="6">
        <v>2123.506527</v>
      </c>
      <c r="AT66" s="6">
        <v>0.16460766700000001</v>
      </c>
      <c r="AU66">
        <v>621.87110759999996</v>
      </c>
      <c r="AV66">
        <v>1.57798897</v>
      </c>
    </row>
    <row r="67" spans="1:48" x14ac:dyDescent="0.25">
      <c r="A67" s="6">
        <v>2627</v>
      </c>
      <c r="B67" s="6" t="s">
        <v>17</v>
      </c>
      <c r="C67" s="6">
        <v>2304</v>
      </c>
      <c r="D67" s="6" t="s">
        <v>16</v>
      </c>
      <c r="E67" s="6" t="s">
        <v>14</v>
      </c>
      <c r="F67" s="6" t="s">
        <v>15</v>
      </c>
      <c r="G67" s="6" t="s">
        <v>15</v>
      </c>
      <c r="H67" s="6">
        <v>274</v>
      </c>
      <c r="I67" s="6">
        <v>183</v>
      </c>
      <c r="J67" s="6">
        <v>527</v>
      </c>
      <c r="K67" s="6">
        <v>527</v>
      </c>
      <c r="L67" s="6">
        <v>1.26</v>
      </c>
      <c r="M67" s="6">
        <v>1.2566356999999999</v>
      </c>
      <c r="N67" s="6">
        <v>505.74545449999999</v>
      </c>
      <c r="O67" s="6">
        <v>0.63580000000000003</v>
      </c>
      <c r="P67" s="6">
        <v>1.49</v>
      </c>
      <c r="Q67" s="6">
        <v>187.64</v>
      </c>
      <c r="R67" s="6">
        <v>344</v>
      </c>
      <c r="S67" s="6">
        <v>344</v>
      </c>
      <c r="T67" s="6">
        <v>7</v>
      </c>
      <c r="U67" s="6" t="s">
        <v>179</v>
      </c>
      <c r="V67" s="6">
        <v>3.78</v>
      </c>
      <c r="W67" s="6">
        <v>83.23</v>
      </c>
      <c r="X67" s="6">
        <v>726</v>
      </c>
      <c r="Y67" s="6">
        <v>2.08</v>
      </c>
      <c r="Z67" s="6">
        <v>34.304700619999998</v>
      </c>
      <c r="AA67" s="6">
        <v>484.51545449999998</v>
      </c>
      <c r="AB67" s="6">
        <v>442.88487509999999</v>
      </c>
      <c r="AC67" s="6">
        <v>207.207924402895</v>
      </c>
      <c r="AD67" s="6">
        <v>545.84462199999996</v>
      </c>
      <c r="AE67" s="6">
        <v>0.73587449500000002</v>
      </c>
      <c r="AF67" s="6">
        <v>8.1396270370000003</v>
      </c>
      <c r="AG67" s="6">
        <v>7.6785901519999999</v>
      </c>
      <c r="AH67" s="6">
        <v>6.5505932979999999</v>
      </c>
      <c r="AI67" s="6">
        <v>3.621976487</v>
      </c>
      <c r="AJ67" s="6">
        <v>4.5176505499999999</v>
      </c>
      <c r="AK67" s="6">
        <v>6.5505932979999999</v>
      </c>
      <c r="AL67" s="6">
        <v>1.0378018929999999</v>
      </c>
      <c r="AM67" s="6">
        <v>506.78325640000003</v>
      </c>
      <c r="AN67" s="6">
        <v>345.02853970000001</v>
      </c>
      <c r="AO67" s="6">
        <v>63.210028229999999</v>
      </c>
      <c r="AP67" s="6">
        <v>319.68184459999998</v>
      </c>
      <c r="AQ67" s="6">
        <v>0.99213861000000003</v>
      </c>
      <c r="AR67" s="6">
        <v>0.65810726799999997</v>
      </c>
      <c r="AS67" s="6">
        <v>2230.2578079999998</v>
      </c>
      <c r="AT67" s="6">
        <v>0.15438492400000001</v>
      </c>
      <c r="AU67">
        <v>616.20758699999999</v>
      </c>
      <c r="AV67">
        <v>1.7896457969999999</v>
      </c>
    </row>
    <row r="68" spans="1:48" x14ac:dyDescent="0.25">
      <c r="A68" s="6">
        <v>2629</v>
      </c>
      <c r="B68" s="6" t="s">
        <v>18</v>
      </c>
      <c r="C68" s="6">
        <v>2304</v>
      </c>
      <c r="D68" s="6" t="s">
        <v>16</v>
      </c>
      <c r="E68" s="6" t="s">
        <v>14</v>
      </c>
      <c r="F68" s="6" t="s">
        <v>15</v>
      </c>
      <c r="G68" s="6" t="s">
        <v>15</v>
      </c>
      <c r="H68" s="6">
        <v>219</v>
      </c>
      <c r="I68" s="6">
        <v>288</v>
      </c>
      <c r="J68" s="6">
        <v>757</v>
      </c>
      <c r="K68" s="6">
        <v>730</v>
      </c>
      <c r="L68" s="6">
        <v>2.14</v>
      </c>
      <c r="M68" s="6">
        <v>2.016396845</v>
      </c>
      <c r="N68" s="6">
        <v>726.54545450000001</v>
      </c>
      <c r="O68" s="6">
        <v>0.62390000000000001</v>
      </c>
      <c r="P68" s="6">
        <v>1.49</v>
      </c>
      <c r="Q68" s="6">
        <v>177</v>
      </c>
      <c r="R68" s="6">
        <v>455.45454549999999</v>
      </c>
      <c r="S68" s="6">
        <v>468</v>
      </c>
      <c r="T68" s="6">
        <v>5</v>
      </c>
      <c r="U68" s="6" t="s">
        <v>177</v>
      </c>
      <c r="V68" s="6">
        <v>3.8</v>
      </c>
      <c r="W68" s="6">
        <v>93.295919999999995</v>
      </c>
      <c r="X68" s="6">
        <v>468</v>
      </c>
      <c r="Y68" s="6">
        <v>1.7</v>
      </c>
      <c r="Z68" s="6">
        <v>32.497953099999997</v>
      </c>
      <c r="AA68" s="6">
        <v>631.66818179999996</v>
      </c>
      <c r="AB68" s="6">
        <v>636.95552259999999</v>
      </c>
      <c r="AC68" s="6">
        <v>172.856068763846</v>
      </c>
      <c r="AD68" s="6">
        <v>545.23230420000004</v>
      </c>
      <c r="AE68" s="6">
        <v>0.737152951</v>
      </c>
      <c r="AF68" s="6">
        <v>10.699327090000001</v>
      </c>
      <c r="AG68" s="6">
        <v>10.07580117</v>
      </c>
      <c r="AH68" s="6">
        <v>8.6225564959999996</v>
      </c>
      <c r="AI68" s="6">
        <v>4.7527364030000001</v>
      </c>
      <c r="AJ68" s="6">
        <v>5.9465906869999996</v>
      </c>
      <c r="AK68" s="6">
        <v>8.6225564959999996</v>
      </c>
      <c r="AL68" s="6">
        <v>1.3342958220000001</v>
      </c>
      <c r="AM68" s="6">
        <v>727.87975040000003</v>
      </c>
      <c r="AN68" s="6">
        <v>344.61396889999997</v>
      </c>
      <c r="AO68" s="6">
        <v>63.20498001</v>
      </c>
      <c r="AP68" s="6">
        <v>459.21290929999998</v>
      </c>
      <c r="AQ68" s="6">
        <v>1.275586806</v>
      </c>
      <c r="AR68" s="6">
        <v>0.67744043499999995</v>
      </c>
      <c r="AS68" s="6">
        <v>2343.1526330000002</v>
      </c>
      <c r="AT68" s="6">
        <v>0.18846015499999999</v>
      </c>
      <c r="AU68">
        <v>686.19469930000002</v>
      </c>
      <c r="AV68">
        <v>1.4649474419999999</v>
      </c>
    </row>
    <row r="69" spans="1:48" x14ac:dyDescent="0.25">
      <c r="A69" s="6">
        <v>2630</v>
      </c>
      <c r="B69" s="6" t="s">
        <v>34</v>
      </c>
      <c r="C69" s="6">
        <v>2304</v>
      </c>
      <c r="D69" s="6" t="s">
        <v>16</v>
      </c>
      <c r="E69" s="6" t="s">
        <v>14</v>
      </c>
      <c r="F69" s="6" t="s">
        <v>15</v>
      </c>
      <c r="G69" s="6" t="s">
        <v>15</v>
      </c>
      <c r="H69" s="6">
        <v>274</v>
      </c>
      <c r="I69" s="6">
        <v>229</v>
      </c>
      <c r="J69" s="6">
        <v>624</v>
      </c>
      <c r="K69" s="6">
        <v>624</v>
      </c>
      <c r="L69" s="6">
        <v>1.44</v>
      </c>
      <c r="M69" s="6">
        <v>1.4416058389999999</v>
      </c>
      <c r="N69" s="6">
        <v>599.12727270000005</v>
      </c>
      <c r="O69" s="6">
        <v>0.63600000000000001</v>
      </c>
      <c r="P69" s="6">
        <v>1.49</v>
      </c>
      <c r="Q69" s="6">
        <v>187.64</v>
      </c>
      <c r="R69" s="6">
        <v>418</v>
      </c>
      <c r="S69" s="6">
        <v>395</v>
      </c>
      <c r="T69" s="6">
        <v>7</v>
      </c>
      <c r="U69" s="6" t="s">
        <v>179</v>
      </c>
      <c r="V69" s="6">
        <v>3.99</v>
      </c>
      <c r="W69" s="6">
        <v>88.13</v>
      </c>
      <c r="X69" s="6">
        <v>725</v>
      </c>
      <c r="Y69" s="6">
        <v>1.98</v>
      </c>
      <c r="Z69" s="6">
        <v>34.938952790000002</v>
      </c>
      <c r="AA69" s="6">
        <v>582.01909090000004</v>
      </c>
      <c r="AB69" s="6">
        <v>542.16568370000005</v>
      </c>
      <c r="AC69" s="6">
        <v>217.17085631707999</v>
      </c>
      <c r="AD69" s="6">
        <v>528.22014560000002</v>
      </c>
      <c r="AE69" s="6">
        <v>0.77156018800000004</v>
      </c>
      <c r="AF69" s="6">
        <v>9.6908281200000008</v>
      </c>
      <c r="AG69" s="6">
        <v>8.7191031090000006</v>
      </c>
      <c r="AH69" s="6">
        <v>8.0881632700000008</v>
      </c>
      <c r="AI69" s="6">
        <v>4.1127844859999998</v>
      </c>
      <c r="AJ69" s="6">
        <v>5.5780436350000002</v>
      </c>
      <c r="AK69" s="6">
        <v>8.0881632700000008</v>
      </c>
      <c r="AL69" s="6">
        <v>1.286277044</v>
      </c>
      <c r="AM69" s="6">
        <v>600.41354980000006</v>
      </c>
      <c r="AN69" s="6">
        <v>333.0958584</v>
      </c>
      <c r="AO69" s="6">
        <v>63.060044419999997</v>
      </c>
      <c r="AP69" s="6">
        <v>377.80992429999998</v>
      </c>
      <c r="AQ69" s="6">
        <v>1.2296808539999999</v>
      </c>
      <c r="AR69" s="6">
        <v>0.65502624399999998</v>
      </c>
      <c r="AS69" s="6">
        <v>2655.2869049999999</v>
      </c>
      <c r="AT69" s="6">
        <v>0.14875981899999999</v>
      </c>
      <c r="AU69">
        <v>733.64071660000002</v>
      </c>
      <c r="AV69">
        <v>1.8573182699999999</v>
      </c>
    </row>
    <row r="70" spans="1:48" x14ac:dyDescent="0.25">
      <c r="A70" s="6">
        <v>2635</v>
      </c>
      <c r="B70" s="6" t="s">
        <v>13</v>
      </c>
      <c r="C70" s="6">
        <v>2304</v>
      </c>
      <c r="D70" s="6" t="s">
        <v>16</v>
      </c>
      <c r="E70" s="6" t="s">
        <v>14</v>
      </c>
      <c r="F70" s="6" t="s">
        <v>15</v>
      </c>
      <c r="G70" s="6" t="s">
        <v>15</v>
      </c>
      <c r="H70" s="6">
        <v>274</v>
      </c>
      <c r="I70" s="6">
        <v>226</v>
      </c>
      <c r="J70" s="6">
        <v>591</v>
      </c>
      <c r="K70" s="6">
        <v>591</v>
      </c>
      <c r="L70" s="6">
        <v>1.33</v>
      </c>
      <c r="M70" s="6">
        <v>1.332116788</v>
      </c>
      <c r="N70" s="6">
        <v>567.70909089999998</v>
      </c>
      <c r="O70" s="6">
        <v>0.63639999999999997</v>
      </c>
      <c r="P70" s="6">
        <v>1.49</v>
      </c>
      <c r="Q70" s="6">
        <v>187.64</v>
      </c>
      <c r="R70" s="6">
        <v>385</v>
      </c>
      <c r="S70" s="6">
        <v>365</v>
      </c>
      <c r="T70" s="6">
        <v>7</v>
      </c>
      <c r="U70" s="6" t="s">
        <v>179</v>
      </c>
      <c r="V70" s="6">
        <v>3.81</v>
      </c>
      <c r="W70" s="6">
        <v>84.91</v>
      </c>
      <c r="X70" s="6">
        <v>662</v>
      </c>
      <c r="Y70" s="6">
        <v>1.93</v>
      </c>
      <c r="Z70" s="6">
        <v>34.282475239999997</v>
      </c>
      <c r="AA70" s="6">
        <v>538.95000000000005</v>
      </c>
      <c r="AB70" s="6">
        <v>504.33434699999998</v>
      </c>
      <c r="AC70" s="6">
        <v>208.668423848891</v>
      </c>
      <c r="AD70" s="6">
        <v>538.06556520000004</v>
      </c>
      <c r="AE70" s="6">
        <v>0.75190951800000005</v>
      </c>
      <c r="AF70" s="6">
        <v>9.0700928419999993</v>
      </c>
      <c r="AG70" s="6">
        <v>8.3738828919999992</v>
      </c>
      <c r="AH70" s="6">
        <v>7.424214718</v>
      </c>
      <c r="AI70" s="6">
        <v>3.9499447600000002</v>
      </c>
      <c r="AJ70" s="6">
        <v>5.120148081</v>
      </c>
      <c r="AK70" s="6">
        <v>7.424214718</v>
      </c>
      <c r="AL70" s="6">
        <v>1.1747355770000001</v>
      </c>
      <c r="AM70" s="6">
        <v>568.88382650000005</v>
      </c>
      <c r="AN70" s="6">
        <v>339.76171629999999</v>
      </c>
      <c r="AO70" s="6">
        <v>63.14503998</v>
      </c>
      <c r="AP70" s="6">
        <v>358.4801324</v>
      </c>
      <c r="AQ70" s="6">
        <v>1.1230472119999999</v>
      </c>
      <c r="AR70" s="6">
        <v>0.65912557500000002</v>
      </c>
      <c r="AS70" s="6">
        <v>2485.2054389999998</v>
      </c>
      <c r="AT70" s="6">
        <v>0.14686914600000001</v>
      </c>
      <c r="AU70">
        <v>686.6481718</v>
      </c>
      <c r="AV70">
        <v>1.8812278680000001</v>
      </c>
    </row>
    <row r="71" spans="1:48" x14ac:dyDescent="0.25">
      <c r="A71" s="6">
        <v>2638</v>
      </c>
      <c r="B71" s="6" t="s">
        <v>17</v>
      </c>
      <c r="C71" s="6">
        <v>2304</v>
      </c>
      <c r="D71" s="6" t="s">
        <v>16</v>
      </c>
      <c r="E71" s="6" t="s">
        <v>14</v>
      </c>
      <c r="F71" s="6" t="s">
        <v>15</v>
      </c>
      <c r="G71" s="6" t="s">
        <v>15</v>
      </c>
      <c r="H71" s="6">
        <v>274</v>
      </c>
      <c r="I71" s="6">
        <v>214</v>
      </c>
      <c r="J71" s="6">
        <v>577</v>
      </c>
      <c r="K71" s="6">
        <v>577</v>
      </c>
      <c r="L71" s="6">
        <v>1.32</v>
      </c>
      <c r="M71" s="6">
        <v>1.3246516260000001</v>
      </c>
      <c r="N71" s="6">
        <v>553.74545450000005</v>
      </c>
      <c r="O71" s="6">
        <v>0.63600000000000001</v>
      </c>
      <c r="P71" s="6">
        <v>1.49</v>
      </c>
      <c r="Q71" s="6">
        <v>187.64</v>
      </c>
      <c r="R71" s="6">
        <v>395</v>
      </c>
      <c r="S71" s="6">
        <v>363</v>
      </c>
      <c r="T71" s="6">
        <v>6</v>
      </c>
      <c r="U71" s="6" t="s">
        <v>178</v>
      </c>
      <c r="V71" s="6">
        <v>3.5</v>
      </c>
      <c r="W71" s="6">
        <v>94.01</v>
      </c>
      <c r="X71" s="6">
        <v>613</v>
      </c>
      <c r="Y71" s="6">
        <v>1.91</v>
      </c>
      <c r="Z71" s="6">
        <v>32.933925080000002</v>
      </c>
      <c r="AA71" s="6">
        <v>552.70818180000003</v>
      </c>
      <c r="AB71" s="6">
        <v>541.35848499999997</v>
      </c>
      <c r="AC71" s="6">
        <v>247.23092642829599</v>
      </c>
      <c r="AD71" s="6">
        <v>488.93724700000001</v>
      </c>
      <c r="AE71" s="6">
        <v>0.84280577099999998</v>
      </c>
      <c r="AF71" s="6">
        <v>9.9784226490000005</v>
      </c>
      <c r="AG71" s="6">
        <v>8.218927077</v>
      </c>
      <c r="AH71" s="6">
        <v>8.8472768689999999</v>
      </c>
      <c r="AI71" s="6">
        <v>3.8768523949999998</v>
      </c>
      <c r="AJ71" s="6">
        <v>6.1015702540000003</v>
      </c>
      <c r="AK71" s="6">
        <v>8.8472768689999999</v>
      </c>
      <c r="AL71" s="6">
        <v>1.4716224959999999</v>
      </c>
      <c r="AM71" s="6">
        <v>555.21707700000002</v>
      </c>
      <c r="AN71" s="6">
        <v>306.4993063</v>
      </c>
      <c r="AO71" s="6">
        <v>62.686839300000003</v>
      </c>
      <c r="AP71" s="6">
        <v>347.12552319999998</v>
      </c>
      <c r="AQ71" s="6">
        <v>1.4068711060000001</v>
      </c>
      <c r="AR71" s="6">
        <v>0.61950018100000004</v>
      </c>
      <c r="AS71" s="6">
        <v>2734.087806</v>
      </c>
      <c r="AT71" s="6">
        <v>0.13275160499999999</v>
      </c>
      <c r="AU71">
        <v>755.41295869999999</v>
      </c>
      <c r="AV71">
        <v>2.0812880520000001</v>
      </c>
    </row>
    <row r="72" spans="1:48" x14ac:dyDescent="0.25">
      <c r="A72" s="6">
        <v>2645</v>
      </c>
      <c r="B72" s="6" t="s">
        <v>34</v>
      </c>
      <c r="C72" s="6">
        <v>2304</v>
      </c>
      <c r="D72" s="6" t="s">
        <v>16</v>
      </c>
      <c r="E72" s="6" t="s">
        <v>14</v>
      </c>
      <c r="F72" s="6" t="s">
        <v>15</v>
      </c>
      <c r="G72" s="6" t="s">
        <v>15</v>
      </c>
      <c r="H72" s="6">
        <v>219</v>
      </c>
      <c r="I72" s="6">
        <v>264</v>
      </c>
      <c r="J72" s="6">
        <v>703</v>
      </c>
      <c r="K72" s="6">
        <v>677</v>
      </c>
      <c r="L72" s="6">
        <v>2</v>
      </c>
      <c r="M72" s="6">
        <v>1.886674969</v>
      </c>
      <c r="N72" s="6">
        <v>674.6181818</v>
      </c>
      <c r="O72" s="6">
        <v>0.62419999999999998</v>
      </c>
      <c r="P72" s="6">
        <v>1.49</v>
      </c>
      <c r="Q72" s="6">
        <v>177</v>
      </c>
      <c r="R72" s="6">
        <v>422.72727270000001</v>
      </c>
      <c r="S72" s="6">
        <v>439</v>
      </c>
      <c r="T72" s="6">
        <v>5</v>
      </c>
      <c r="U72" s="6" t="s">
        <v>177</v>
      </c>
      <c r="V72" s="6">
        <v>2.7</v>
      </c>
      <c r="W72" s="6">
        <v>98.586560000000006</v>
      </c>
      <c r="X72" s="6">
        <v>499</v>
      </c>
      <c r="Y72" s="6">
        <v>1.2</v>
      </c>
      <c r="Z72" s="6">
        <v>29.125916459999999</v>
      </c>
      <c r="AA72" s="6">
        <v>588.59909089999996</v>
      </c>
      <c r="AB72" s="6">
        <v>642.5853224</v>
      </c>
      <c r="AC72" s="6">
        <v>200.61453061031901</v>
      </c>
      <c r="AD72" s="6">
        <v>501.82828599999999</v>
      </c>
      <c r="AE72" s="6">
        <v>0.82068809799999998</v>
      </c>
      <c r="AF72" s="6">
        <v>11.26739268</v>
      </c>
      <c r="AG72" s="6">
        <v>9.5307269580000007</v>
      </c>
      <c r="AH72" s="6">
        <v>9.8190617979999999</v>
      </c>
      <c r="AI72" s="6">
        <v>4.4956259230000004</v>
      </c>
      <c r="AJ72" s="6">
        <v>6.771766757</v>
      </c>
      <c r="AK72" s="6">
        <v>9.8190617979999999</v>
      </c>
      <c r="AL72" s="6">
        <v>1.5897491029999999</v>
      </c>
      <c r="AM72" s="6">
        <v>676.20793089999995</v>
      </c>
      <c r="AN72" s="6">
        <v>315.22720579999998</v>
      </c>
      <c r="AO72" s="6">
        <v>62.81575084</v>
      </c>
      <c r="AP72" s="6">
        <v>423.7664762</v>
      </c>
      <c r="AQ72" s="6">
        <v>1.5198001430000001</v>
      </c>
      <c r="AR72" s="6">
        <v>0.640673304</v>
      </c>
      <c r="AS72" s="6">
        <v>2467.5589970000001</v>
      </c>
      <c r="AT72" s="6">
        <v>0.16744556799999999</v>
      </c>
      <c r="AU72">
        <v>722.62723329999994</v>
      </c>
      <c r="AV72">
        <v>1.647440325</v>
      </c>
    </row>
    <row r="73" spans="1:48" x14ac:dyDescent="0.25">
      <c r="A73" s="6">
        <v>2662</v>
      </c>
      <c r="B73" s="6" t="s">
        <v>62</v>
      </c>
      <c r="C73" s="6">
        <v>2304</v>
      </c>
      <c r="D73" s="6" t="s">
        <v>16</v>
      </c>
      <c r="E73" s="6" t="s">
        <v>14</v>
      </c>
      <c r="F73" s="6" t="s">
        <v>15</v>
      </c>
      <c r="G73" s="6" t="s">
        <v>15</v>
      </c>
      <c r="H73" s="6">
        <v>274</v>
      </c>
      <c r="I73" s="6">
        <v>218</v>
      </c>
      <c r="J73" s="6">
        <v>615</v>
      </c>
      <c r="K73" s="6">
        <v>615</v>
      </c>
      <c r="L73" s="6">
        <v>1.45</v>
      </c>
      <c r="M73" s="6">
        <v>1.4474120770000001</v>
      </c>
      <c r="N73" s="6">
        <v>589.96363640000004</v>
      </c>
      <c r="O73" s="6">
        <v>0.63570000000000004</v>
      </c>
      <c r="P73" s="6">
        <v>1.49</v>
      </c>
      <c r="Q73" s="6">
        <v>187.64</v>
      </c>
      <c r="R73" s="6">
        <v>377</v>
      </c>
      <c r="S73" s="6">
        <v>397</v>
      </c>
      <c r="T73" s="6">
        <v>6</v>
      </c>
      <c r="U73" s="6" t="s">
        <v>178</v>
      </c>
      <c r="V73" s="6">
        <v>3.73</v>
      </c>
      <c r="W73" s="6">
        <v>87.49</v>
      </c>
      <c r="X73" s="6">
        <v>609</v>
      </c>
      <c r="Y73" s="6">
        <v>1.98</v>
      </c>
      <c r="Z73" s="6">
        <v>33.368297779999999</v>
      </c>
      <c r="AA73" s="6">
        <v>528.18272730000001</v>
      </c>
      <c r="AB73" s="6">
        <v>506.88080919999999</v>
      </c>
      <c r="AC73" s="6">
        <v>199.61576135592799</v>
      </c>
      <c r="AD73" s="6">
        <v>556.34897409999996</v>
      </c>
      <c r="AE73" s="6">
        <v>0.71350927799999997</v>
      </c>
      <c r="AF73" s="6">
        <v>8.8587066589999992</v>
      </c>
      <c r="AG73" s="6">
        <v>8.6188918119999993</v>
      </c>
      <c r="AH73" s="6">
        <v>6.9501278979999999</v>
      </c>
      <c r="AI73" s="6">
        <v>4.065515006</v>
      </c>
      <c r="AJ73" s="6">
        <v>4.7931916540000001</v>
      </c>
      <c r="AK73" s="6">
        <v>6.9501278979999999</v>
      </c>
      <c r="AL73" s="6">
        <v>1.0811695859999999</v>
      </c>
      <c r="AM73" s="6">
        <v>591.04480590000003</v>
      </c>
      <c r="AN73" s="6">
        <v>352.14052880000003</v>
      </c>
      <c r="AO73" s="6">
        <v>63.29490036</v>
      </c>
      <c r="AP73" s="6">
        <v>373.41689580000002</v>
      </c>
      <c r="AQ73" s="6">
        <v>1.0335981240000001</v>
      </c>
      <c r="AR73" s="6">
        <v>0.67307748000000001</v>
      </c>
      <c r="AS73" s="6">
        <v>2427.285625</v>
      </c>
      <c r="AT73" s="6">
        <v>0.163388645</v>
      </c>
      <c r="AU73">
        <v>670.64525560000004</v>
      </c>
      <c r="AV73">
        <v>1.6910252859999999</v>
      </c>
    </row>
    <row r="74" spans="1:48" x14ac:dyDescent="0.25">
      <c r="A74" s="6">
        <v>2663</v>
      </c>
      <c r="B74" s="6" t="s">
        <v>63</v>
      </c>
      <c r="C74" s="6">
        <v>2304</v>
      </c>
      <c r="D74" s="6" t="s">
        <v>16</v>
      </c>
      <c r="E74" s="6" t="s">
        <v>14</v>
      </c>
      <c r="F74" s="6" t="s">
        <v>15</v>
      </c>
      <c r="G74" s="6" t="s">
        <v>15</v>
      </c>
      <c r="H74" s="6">
        <v>274</v>
      </c>
      <c r="I74" s="6">
        <v>223</v>
      </c>
      <c r="J74" s="6">
        <v>665</v>
      </c>
      <c r="K74" s="6">
        <v>665</v>
      </c>
      <c r="L74" s="6">
        <v>1.61</v>
      </c>
      <c r="M74" s="6">
        <v>1.6149635040000001</v>
      </c>
      <c r="N74" s="6">
        <v>638.4</v>
      </c>
      <c r="O74" s="6">
        <v>0.63639999999999997</v>
      </c>
      <c r="P74" s="6">
        <v>1.49</v>
      </c>
      <c r="Q74" s="6">
        <v>187.64</v>
      </c>
      <c r="R74" s="6">
        <v>445</v>
      </c>
      <c r="S74" s="6">
        <v>443</v>
      </c>
      <c r="T74" s="6">
        <v>7</v>
      </c>
      <c r="U74" s="6" t="s">
        <v>179</v>
      </c>
      <c r="V74" s="6">
        <v>3.85</v>
      </c>
      <c r="W74" s="6">
        <v>92.07</v>
      </c>
      <c r="X74" s="6">
        <v>685</v>
      </c>
      <c r="Y74" s="6">
        <v>1.85</v>
      </c>
      <c r="Z74" s="6">
        <v>34.61788937</v>
      </c>
      <c r="AA74" s="6">
        <v>618.50818179999999</v>
      </c>
      <c r="AB74" s="6">
        <v>588.25710370000002</v>
      </c>
      <c r="AC74" s="6">
        <v>226.480104878839</v>
      </c>
      <c r="AD74" s="6">
        <v>518.74460690000001</v>
      </c>
      <c r="AE74" s="6">
        <v>0.78979339100000001</v>
      </c>
      <c r="AF74" s="6">
        <v>10.40363046</v>
      </c>
      <c r="AG74" s="6">
        <v>9.1443355739999994</v>
      </c>
      <c r="AH74" s="6">
        <v>8.830883708</v>
      </c>
      <c r="AI74" s="6">
        <v>4.3133658370000001</v>
      </c>
      <c r="AJ74" s="6">
        <v>6.0902646259999997</v>
      </c>
      <c r="AK74" s="6">
        <v>8.830883708</v>
      </c>
      <c r="AL74" s="6">
        <v>1.4108822009999999</v>
      </c>
      <c r="AM74" s="6">
        <v>639.81088220000004</v>
      </c>
      <c r="AN74" s="6">
        <v>326.68042910000003</v>
      </c>
      <c r="AO74" s="6">
        <v>62.97519527</v>
      </c>
      <c r="AP74" s="6">
        <v>402.0336466</v>
      </c>
      <c r="AQ74" s="6">
        <v>1.348803384</v>
      </c>
      <c r="AR74" s="6">
        <v>0.65130543500000004</v>
      </c>
      <c r="AS74" s="6">
        <v>2850.5947470000001</v>
      </c>
      <c r="AT74" s="6">
        <v>0.15523076399999999</v>
      </c>
      <c r="AU74">
        <v>787.60316590000002</v>
      </c>
      <c r="AV74">
        <v>1.77989416</v>
      </c>
    </row>
    <row r="75" spans="1:48" x14ac:dyDescent="0.25">
      <c r="A75" s="6">
        <v>2674</v>
      </c>
      <c r="B75" s="6" t="s">
        <v>62</v>
      </c>
      <c r="C75" s="6">
        <v>2304</v>
      </c>
      <c r="D75" s="6" t="s">
        <v>16</v>
      </c>
      <c r="E75" s="6" t="s">
        <v>14</v>
      </c>
      <c r="F75" s="6" t="s">
        <v>15</v>
      </c>
      <c r="G75" s="6" t="s">
        <v>15</v>
      </c>
      <c r="H75" s="6">
        <v>219</v>
      </c>
      <c r="I75" s="6">
        <v>246</v>
      </c>
      <c r="J75" s="6">
        <v>679</v>
      </c>
      <c r="K75" s="6">
        <v>634</v>
      </c>
      <c r="L75" s="6">
        <v>1.98</v>
      </c>
      <c r="M75" s="6">
        <v>1.770444168</v>
      </c>
      <c r="N75" s="6">
        <v>651.9272727</v>
      </c>
      <c r="O75" s="6">
        <v>0.62409999999999999</v>
      </c>
      <c r="P75" s="6">
        <v>1.49</v>
      </c>
      <c r="Q75" s="6">
        <v>177</v>
      </c>
      <c r="R75" s="6">
        <v>395.45454549999999</v>
      </c>
      <c r="S75" s="6">
        <v>433</v>
      </c>
      <c r="T75" s="6">
        <v>7</v>
      </c>
      <c r="U75" s="6" t="s">
        <v>179</v>
      </c>
      <c r="V75" s="6">
        <v>2.6</v>
      </c>
      <c r="W75" s="6">
        <v>94.070160000000001</v>
      </c>
      <c r="X75" s="6">
        <v>706</v>
      </c>
      <c r="Y75" s="6">
        <v>1.1000000000000001</v>
      </c>
      <c r="Z75" s="6">
        <v>29.82415116</v>
      </c>
      <c r="AA75" s="6">
        <v>552.70818180000003</v>
      </c>
      <c r="AB75" s="6">
        <v>591.12882860000002</v>
      </c>
      <c r="AC75" s="6">
        <v>194.9904684951</v>
      </c>
      <c r="AD75" s="6">
        <v>527.16298259999996</v>
      </c>
      <c r="AE75" s="6">
        <v>0.77362744000000006</v>
      </c>
      <c r="AF75" s="6">
        <v>10.352208040000001</v>
      </c>
      <c r="AG75" s="6">
        <v>9.2892758289999993</v>
      </c>
      <c r="AH75" s="6">
        <v>8.6571875360000003</v>
      </c>
      <c r="AI75" s="6">
        <v>4.3817338819999998</v>
      </c>
      <c r="AJ75" s="6">
        <v>5.9704741629999996</v>
      </c>
      <c r="AK75" s="6">
        <v>8.6571875360000003</v>
      </c>
      <c r="AL75" s="6">
        <v>1.370396092</v>
      </c>
      <c r="AM75" s="6">
        <v>653.2976688</v>
      </c>
      <c r="AN75" s="6">
        <v>332.38010439999999</v>
      </c>
      <c r="AO75" s="6">
        <v>63.050729179999998</v>
      </c>
      <c r="AP75" s="6">
        <v>411.04489919999997</v>
      </c>
      <c r="AQ75" s="6">
        <v>1.3100986640000001</v>
      </c>
      <c r="AR75" s="6">
        <v>0.65878921700000004</v>
      </c>
      <c r="AS75" s="6">
        <v>2267.133562</v>
      </c>
      <c r="AT75" s="6">
        <v>0.17102092199999999</v>
      </c>
      <c r="AU75">
        <v>663.93243489999998</v>
      </c>
      <c r="AV75">
        <v>1.5326876780000001</v>
      </c>
    </row>
    <row r="76" spans="1:48" x14ac:dyDescent="0.25">
      <c r="A76" s="6">
        <v>2555</v>
      </c>
      <c r="B76" s="6" t="s">
        <v>26</v>
      </c>
      <c r="C76" s="6">
        <v>2304</v>
      </c>
      <c r="D76" s="6" t="s">
        <v>16</v>
      </c>
      <c r="E76" s="6" t="s">
        <v>27</v>
      </c>
      <c r="F76" s="6" t="s">
        <v>15</v>
      </c>
      <c r="G76" s="6" t="s">
        <v>24</v>
      </c>
      <c r="H76" s="6">
        <v>274</v>
      </c>
      <c r="I76" s="6">
        <v>208</v>
      </c>
      <c r="J76" s="6">
        <v>696</v>
      </c>
      <c r="K76" s="6">
        <v>696</v>
      </c>
      <c r="L76" s="6">
        <v>1.78</v>
      </c>
      <c r="M76" s="6">
        <v>1.780026543</v>
      </c>
      <c r="N76" s="6">
        <v>668.0727273</v>
      </c>
      <c r="O76" s="6">
        <v>0.6361</v>
      </c>
      <c r="P76" s="6">
        <v>1.49</v>
      </c>
      <c r="Q76" s="6">
        <v>187.64</v>
      </c>
      <c r="R76" s="6">
        <v>450</v>
      </c>
      <c r="S76" s="6">
        <v>488</v>
      </c>
      <c r="T76" s="6">
        <v>7</v>
      </c>
      <c r="U76" s="6" t="s">
        <v>179</v>
      </c>
      <c r="V76" s="6">
        <v>4.2</v>
      </c>
      <c r="W76" s="6">
        <v>91.68</v>
      </c>
      <c r="X76" s="6">
        <v>695</v>
      </c>
      <c r="Y76" s="6">
        <v>2.13</v>
      </c>
      <c r="Z76" s="6">
        <v>36.049274199999999</v>
      </c>
      <c r="AA76" s="6">
        <v>625.08818180000003</v>
      </c>
      <c r="AB76" s="6">
        <v>572.73348109999995</v>
      </c>
      <c r="AC76" s="6">
        <v>204.801251081445</v>
      </c>
      <c r="AD76" s="6">
        <v>557.56957499999999</v>
      </c>
      <c r="AE76" s="6">
        <v>0.71085735400000005</v>
      </c>
      <c r="AF76" s="6">
        <v>9.6883993410000002</v>
      </c>
      <c r="AG76" s="6">
        <v>9.4612888949999991</v>
      </c>
      <c r="AH76" s="6">
        <v>7.5770144699999999</v>
      </c>
      <c r="AI76" s="6">
        <v>4.4628721200000001</v>
      </c>
      <c r="AJ76" s="6">
        <v>5.2255272210000001</v>
      </c>
      <c r="AK76" s="6">
        <v>7.5770144699999999</v>
      </c>
      <c r="AL76" s="6">
        <v>1.167973369</v>
      </c>
      <c r="AM76" s="6">
        <v>669.24070059999997</v>
      </c>
      <c r="AN76" s="6">
        <v>352.96693870000001</v>
      </c>
      <c r="AO76" s="6">
        <v>63.30455508</v>
      </c>
      <c r="AP76" s="6">
        <v>422.92046759999999</v>
      </c>
      <c r="AQ76" s="6">
        <v>1.1165825410000001</v>
      </c>
      <c r="AR76" s="6">
        <v>0.68066537000000005</v>
      </c>
      <c r="AS76" s="6">
        <v>2654.6214190000001</v>
      </c>
      <c r="AT76" s="6">
        <v>0.18372761900000001</v>
      </c>
      <c r="AU76">
        <v>733.45684670000003</v>
      </c>
      <c r="AV76">
        <v>1.503825781</v>
      </c>
    </row>
    <row r="77" spans="1:48" x14ac:dyDescent="0.25">
      <c r="A77" s="6">
        <v>2561</v>
      </c>
      <c r="B77" s="6" t="s">
        <v>29</v>
      </c>
      <c r="C77" s="6">
        <v>2304</v>
      </c>
      <c r="D77" s="6" t="s">
        <v>16</v>
      </c>
      <c r="E77" s="6" t="s">
        <v>27</v>
      </c>
      <c r="F77" s="6" t="s">
        <v>15</v>
      </c>
      <c r="G77" s="6" t="s">
        <v>24</v>
      </c>
      <c r="H77" s="6">
        <v>274</v>
      </c>
      <c r="I77" s="6">
        <v>225</v>
      </c>
      <c r="J77" s="6">
        <v>619</v>
      </c>
      <c r="K77" s="6">
        <v>619</v>
      </c>
      <c r="L77" s="6">
        <v>1.44</v>
      </c>
      <c r="M77" s="6">
        <v>1.4357996019999999</v>
      </c>
      <c r="N77" s="6">
        <v>593.89090910000004</v>
      </c>
      <c r="O77" s="6">
        <v>0.63570000000000004</v>
      </c>
      <c r="P77" s="6">
        <v>1.49</v>
      </c>
      <c r="Q77" s="6">
        <v>187.64</v>
      </c>
      <c r="R77" s="6">
        <v>392</v>
      </c>
      <c r="S77" s="6">
        <v>393</v>
      </c>
      <c r="T77" s="6">
        <v>4</v>
      </c>
      <c r="U77" s="6" t="s">
        <v>175</v>
      </c>
      <c r="V77" s="6">
        <v>3.51</v>
      </c>
      <c r="W77" s="6">
        <v>91.62</v>
      </c>
      <c r="X77" s="6">
        <v>402</v>
      </c>
      <c r="Y77" s="6">
        <v>1.85</v>
      </c>
      <c r="Z77" s="6">
        <v>31.149515860000001</v>
      </c>
      <c r="AA77" s="6">
        <v>547.92272730000002</v>
      </c>
      <c r="AB77" s="6">
        <v>564.54616280000005</v>
      </c>
      <c r="AC77" s="6">
        <v>236.32747190120901</v>
      </c>
      <c r="AD77" s="6">
        <v>502.84613239999999</v>
      </c>
      <c r="AE77" s="6">
        <v>0.818889215</v>
      </c>
      <c r="AF77" s="6">
        <v>10.217788840000001</v>
      </c>
      <c r="AG77" s="6">
        <v>8.6618868150000008</v>
      </c>
      <c r="AH77" s="6">
        <v>8.8913900950000002</v>
      </c>
      <c r="AI77" s="6">
        <v>4.0857956670000002</v>
      </c>
      <c r="AJ77" s="6">
        <v>6.1319931690000002</v>
      </c>
      <c r="AK77" s="6">
        <v>8.8913900950000002</v>
      </c>
      <c r="AL77" s="6">
        <v>1.4502293449999999</v>
      </c>
      <c r="AM77" s="6">
        <v>595.34113839999998</v>
      </c>
      <c r="AN77" s="6">
        <v>315.91634040000002</v>
      </c>
      <c r="AO77" s="6">
        <v>62.825647859999997</v>
      </c>
      <c r="AP77" s="6">
        <v>373.1158112</v>
      </c>
      <c r="AQ77" s="6">
        <v>1.386419254</v>
      </c>
      <c r="AR77" s="6">
        <v>0.63482414399999998</v>
      </c>
      <c r="AS77" s="6">
        <v>2799.674141</v>
      </c>
      <c r="AT77" s="6">
        <v>0.14051959999999999</v>
      </c>
      <c r="AU77">
        <v>773.5340913</v>
      </c>
      <c r="AV77">
        <v>1.9662333919999999</v>
      </c>
    </row>
    <row r="78" spans="1:48" x14ac:dyDescent="0.25">
      <c r="A78" s="6">
        <v>2565</v>
      </c>
      <c r="B78" s="6" t="s">
        <v>29</v>
      </c>
      <c r="C78" s="6">
        <v>2304</v>
      </c>
      <c r="D78" s="6" t="s">
        <v>16</v>
      </c>
      <c r="E78" s="6" t="s">
        <v>27</v>
      </c>
      <c r="F78" s="6" t="s">
        <v>15</v>
      </c>
      <c r="G78" s="6" t="s">
        <v>24</v>
      </c>
      <c r="H78" s="6">
        <v>219</v>
      </c>
      <c r="I78" s="6">
        <v>264</v>
      </c>
      <c r="J78" s="6">
        <v>723</v>
      </c>
      <c r="K78" s="6">
        <v>657</v>
      </c>
      <c r="L78" s="6">
        <v>2.1</v>
      </c>
      <c r="M78" s="6">
        <v>1.7974263180000001</v>
      </c>
      <c r="N78" s="6">
        <v>694.47272729999997</v>
      </c>
      <c r="O78" s="6">
        <v>0.62380000000000002</v>
      </c>
      <c r="P78" s="6">
        <v>1.49</v>
      </c>
      <c r="Q78" s="6">
        <v>177</v>
      </c>
      <c r="R78" s="6">
        <v>410</v>
      </c>
      <c r="S78" s="6">
        <v>460</v>
      </c>
      <c r="T78" s="6">
        <v>5</v>
      </c>
      <c r="U78" s="6" t="s">
        <v>177</v>
      </c>
      <c r="V78" s="6">
        <v>3.2</v>
      </c>
      <c r="W78" s="6">
        <v>87.295559999999995</v>
      </c>
      <c r="X78" s="6">
        <v>491</v>
      </c>
      <c r="Y78" s="6">
        <v>1.3</v>
      </c>
      <c r="Z78" s="6">
        <v>29.997689350000002</v>
      </c>
      <c r="AA78" s="6">
        <v>571.85</v>
      </c>
      <c r="AB78" s="6">
        <v>609.83496060000004</v>
      </c>
      <c r="AC78" s="6">
        <v>192.60794923460199</v>
      </c>
      <c r="AD78" s="6">
        <v>544.34065780000003</v>
      </c>
      <c r="AE78" s="6">
        <v>0.73900964000000002</v>
      </c>
      <c r="AF78" s="6">
        <v>10.369152550000001</v>
      </c>
      <c r="AG78" s="6">
        <v>9.7403349769999998</v>
      </c>
      <c r="AH78" s="6">
        <v>8.3732496269999999</v>
      </c>
      <c r="AI78" s="6">
        <v>4.5944976300000002</v>
      </c>
      <c r="AJ78" s="6">
        <v>5.7746549150000002</v>
      </c>
      <c r="AK78" s="6">
        <v>8.3732496269999999</v>
      </c>
      <c r="AL78" s="6">
        <v>1.3005363270000001</v>
      </c>
      <c r="AM78" s="6">
        <v>695.77326359999995</v>
      </c>
      <c r="AN78" s="6">
        <v>344.01027820000002</v>
      </c>
      <c r="AO78" s="6">
        <v>63.19760857</v>
      </c>
      <c r="AP78" s="6">
        <v>438.8901558</v>
      </c>
      <c r="AQ78" s="6">
        <v>1.2433127289999999</v>
      </c>
      <c r="AR78" s="6">
        <v>0.67435933400000003</v>
      </c>
      <c r="AS78" s="6">
        <v>2270.8444079999999</v>
      </c>
      <c r="AT78" s="6">
        <v>0.17334360800000001</v>
      </c>
      <c r="AU78">
        <v>665.01916000000006</v>
      </c>
      <c r="AV78">
        <v>1.446408455</v>
      </c>
    </row>
    <row r="79" spans="1:48" x14ac:dyDescent="0.25">
      <c r="A79" s="6">
        <v>2568</v>
      </c>
      <c r="B79" s="6" t="s">
        <v>29</v>
      </c>
      <c r="C79" s="6">
        <v>2304</v>
      </c>
      <c r="D79" s="6" t="s">
        <v>16</v>
      </c>
      <c r="E79" s="6" t="s">
        <v>27</v>
      </c>
      <c r="F79" s="6" t="s">
        <v>15</v>
      </c>
      <c r="G79" s="6" t="s">
        <v>24</v>
      </c>
      <c r="H79" s="6">
        <v>219</v>
      </c>
      <c r="I79" s="6">
        <v>269</v>
      </c>
      <c r="J79" s="6">
        <v>676</v>
      </c>
      <c r="K79" s="6">
        <v>645</v>
      </c>
      <c r="L79" s="6">
        <v>1.86</v>
      </c>
      <c r="M79" s="6">
        <v>1.7133665419999999</v>
      </c>
      <c r="N79" s="6">
        <v>649.3090909</v>
      </c>
      <c r="O79" s="6">
        <v>0.62409999999999999</v>
      </c>
      <c r="P79" s="6">
        <v>1.49</v>
      </c>
      <c r="Q79" s="6">
        <v>177</v>
      </c>
      <c r="R79" s="6">
        <v>402.27272729999999</v>
      </c>
      <c r="S79" s="6">
        <v>407</v>
      </c>
      <c r="T79" s="6">
        <v>4</v>
      </c>
      <c r="U79" s="6" t="s">
        <v>175</v>
      </c>
      <c r="V79" s="6">
        <v>2.9</v>
      </c>
      <c r="W79" s="6">
        <v>86.327759999999998</v>
      </c>
      <c r="X79" s="6">
        <v>445</v>
      </c>
      <c r="Y79" s="6">
        <v>1</v>
      </c>
      <c r="Z79" s="6">
        <v>27.786220360000002</v>
      </c>
      <c r="AA79" s="6">
        <v>561.68090910000001</v>
      </c>
      <c r="AB79" s="6">
        <v>633.81527140000003</v>
      </c>
      <c r="AC79" s="6">
        <v>212.73736858408299</v>
      </c>
      <c r="AD79" s="6">
        <v>489.68486469999999</v>
      </c>
      <c r="AE79" s="6">
        <v>0.84155673499999994</v>
      </c>
      <c r="AF79" s="6">
        <v>11.2272599</v>
      </c>
      <c r="AG79" s="6">
        <v>9.2612820130000006</v>
      </c>
      <c r="AH79" s="6">
        <v>9.9451594379999992</v>
      </c>
      <c r="AI79" s="6">
        <v>4.368529251</v>
      </c>
      <c r="AJ79" s="6">
        <v>6.8587306469999998</v>
      </c>
      <c r="AK79" s="6">
        <v>9.9451594379999992</v>
      </c>
      <c r="AL79" s="6">
        <v>1.6355128720000001</v>
      </c>
      <c r="AM79" s="6">
        <v>650.94460379999998</v>
      </c>
      <c r="AN79" s="6">
        <v>307.00548209999999</v>
      </c>
      <c r="AO79" s="6">
        <v>62.694500939999998</v>
      </c>
      <c r="AP79" s="6">
        <v>407.08109409999997</v>
      </c>
      <c r="AQ79" s="6">
        <v>1.563550306</v>
      </c>
      <c r="AR79" s="6">
        <v>0.62835705399999997</v>
      </c>
      <c r="AS79" s="6">
        <v>2458.769918</v>
      </c>
      <c r="AT79" s="6">
        <v>0.152607721</v>
      </c>
      <c r="AU79">
        <v>720.05334219999997</v>
      </c>
      <c r="AV79">
        <v>1.7689752679999999</v>
      </c>
    </row>
    <row r="80" spans="1:48" x14ac:dyDescent="0.25">
      <c r="A80" s="6">
        <v>2569</v>
      </c>
      <c r="B80" s="6" t="s">
        <v>29</v>
      </c>
      <c r="C80" s="6">
        <v>2304</v>
      </c>
      <c r="D80" s="6" t="s">
        <v>16</v>
      </c>
      <c r="E80" s="6" t="s">
        <v>27</v>
      </c>
      <c r="F80" s="6" t="s">
        <v>15</v>
      </c>
      <c r="G80" s="6" t="s">
        <v>24</v>
      </c>
      <c r="H80" s="6">
        <v>274</v>
      </c>
      <c r="I80" s="6">
        <v>219</v>
      </c>
      <c r="J80" s="6">
        <v>666</v>
      </c>
      <c r="K80" s="6">
        <v>666</v>
      </c>
      <c r="L80" s="6">
        <v>1.63</v>
      </c>
      <c r="M80" s="6">
        <v>1.630723291</v>
      </c>
      <c r="N80" s="6">
        <v>639.27272730000004</v>
      </c>
      <c r="O80" s="6">
        <v>0.63629999999999998</v>
      </c>
      <c r="P80" s="6">
        <v>1.49</v>
      </c>
      <c r="Q80" s="6">
        <v>187.64</v>
      </c>
      <c r="R80" s="6">
        <v>425</v>
      </c>
      <c r="S80" s="6">
        <v>447</v>
      </c>
      <c r="T80" s="6">
        <v>5</v>
      </c>
      <c r="U80" s="6" t="s">
        <v>177</v>
      </c>
      <c r="V80" s="6">
        <v>3.41</v>
      </c>
      <c r="W80" s="6">
        <v>93.04</v>
      </c>
      <c r="X80" s="6">
        <v>476</v>
      </c>
      <c r="Y80" s="6">
        <v>1.63</v>
      </c>
      <c r="Z80" s="6">
        <v>31.456251550000001</v>
      </c>
      <c r="AA80" s="6">
        <v>592.18818180000005</v>
      </c>
      <c r="AB80" s="6">
        <v>609.31765970000004</v>
      </c>
      <c r="AC80" s="6">
        <v>239.29672964285001</v>
      </c>
      <c r="AD80" s="6">
        <v>501.49927350000002</v>
      </c>
      <c r="AE80" s="6">
        <v>0.82126793200000003</v>
      </c>
      <c r="AF80" s="6">
        <v>10.82932186</v>
      </c>
      <c r="AG80" s="6">
        <v>9.1537095730000004</v>
      </c>
      <c r="AH80" s="6">
        <v>9.441724765</v>
      </c>
      <c r="AI80" s="6">
        <v>4.3177875349999999</v>
      </c>
      <c r="AJ80" s="6">
        <v>6.5115343210000001</v>
      </c>
      <c r="AK80" s="6">
        <v>9.441724765</v>
      </c>
      <c r="AL80" s="6">
        <v>1.5346492039999999</v>
      </c>
      <c r="AM80" s="6">
        <v>640.80737650000003</v>
      </c>
      <c r="AN80" s="6">
        <v>315.00444729999998</v>
      </c>
      <c r="AO80" s="6">
        <v>62.812543099999999</v>
      </c>
      <c r="AP80" s="6">
        <v>401.54345740000002</v>
      </c>
      <c r="AQ80" s="6">
        <v>1.4671246389999999</v>
      </c>
      <c r="AR80" s="6">
        <v>0.63757020200000003</v>
      </c>
      <c r="AS80" s="6">
        <v>2967.2341879999999</v>
      </c>
      <c r="AT80" s="6">
        <v>0.15058406399999999</v>
      </c>
      <c r="AU80">
        <v>819.82998229999998</v>
      </c>
      <c r="AV80">
        <v>1.834817865</v>
      </c>
    </row>
    <row r="81" spans="1:48" x14ac:dyDescent="0.25">
      <c r="A81" s="6">
        <v>2571</v>
      </c>
      <c r="B81" s="6" t="s">
        <v>29</v>
      </c>
      <c r="C81" s="6">
        <v>2304</v>
      </c>
      <c r="D81" s="6" t="s">
        <v>16</v>
      </c>
      <c r="E81" s="6" t="s">
        <v>27</v>
      </c>
      <c r="F81" s="6" t="s">
        <v>15</v>
      </c>
      <c r="G81" s="6" t="s">
        <v>24</v>
      </c>
      <c r="H81" s="6">
        <v>219</v>
      </c>
      <c r="I81" s="6">
        <v>297</v>
      </c>
      <c r="J81" s="6">
        <v>706</v>
      </c>
      <c r="K81" s="6">
        <v>674</v>
      </c>
      <c r="L81" s="6">
        <v>1.87</v>
      </c>
      <c r="M81" s="6">
        <v>1.720630967</v>
      </c>
      <c r="N81" s="6">
        <v>677.67272730000002</v>
      </c>
      <c r="O81" s="6">
        <v>0.62419999999999998</v>
      </c>
      <c r="P81" s="6">
        <v>1.49</v>
      </c>
      <c r="Q81" s="6">
        <v>177</v>
      </c>
      <c r="R81" s="6">
        <v>420.45454549999999</v>
      </c>
      <c r="S81" s="6">
        <v>409</v>
      </c>
      <c r="T81" s="6">
        <v>5</v>
      </c>
      <c r="U81" s="6" t="s">
        <v>177</v>
      </c>
      <c r="V81" s="6">
        <v>2.2000000000000002</v>
      </c>
      <c r="W81" s="6">
        <v>102.78036</v>
      </c>
      <c r="X81" s="6">
        <v>499</v>
      </c>
      <c r="Y81" s="6">
        <v>1</v>
      </c>
      <c r="Z81" s="6">
        <v>27.609381979999998</v>
      </c>
      <c r="AA81" s="6">
        <v>585.60818180000001</v>
      </c>
      <c r="AB81" s="6">
        <v>663.49988189999999</v>
      </c>
      <c r="AC81" s="6">
        <v>213.10885779877199</v>
      </c>
      <c r="AD81" s="6">
        <v>488.21043150000003</v>
      </c>
      <c r="AE81" s="6">
        <v>0.84401607700000003</v>
      </c>
      <c r="AF81" s="6">
        <v>11.626995089999999</v>
      </c>
      <c r="AG81" s="6">
        <v>9.5630736909999996</v>
      </c>
      <c r="AH81" s="6">
        <v>10.318361339999999</v>
      </c>
      <c r="AI81" s="6">
        <v>4.5108838169999999</v>
      </c>
      <c r="AJ81" s="6">
        <v>7.1161112700000002</v>
      </c>
      <c r="AK81" s="6">
        <v>10.318361339999999</v>
      </c>
      <c r="AL81" s="6">
        <v>1.6948607819999999</v>
      </c>
      <c r="AM81" s="6">
        <v>679.36758810000003</v>
      </c>
      <c r="AN81" s="6">
        <v>306.0072146</v>
      </c>
      <c r="AO81" s="6">
        <v>62.679368340000003</v>
      </c>
      <c r="AP81" s="6">
        <v>424.76098489999998</v>
      </c>
      <c r="AQ81" s="6">
        <v>1.6202869070000001</v>
      </c>
      <c r="AR81" s="6">
        <v>0.62929241499999999</v>
      </c>
      <c r="AS81" s="6">
        <v>2546.3119240000001</v>
      </c>
      <c r="AT81" s="6">
        <v>0.14798586899999999</v>
      </c>
      <c r="AU81">
        <v>745.69011030000001</v>
      </c>
      <c r="AV81">
        <v>1.822798047</v>
      </c>
    </row>
    <row r="82" spans="1:48" x14ac:dyDescent="0.25">
      <c r="A82" s="6">
        <v>2578</v>
      </c>
      <c r="B82" s="6" t="s">
        <v>26</v>
      </c>
      <c r="C82" s="6">
        <v>2304</v>
      </c>
      <c r="D82" s="6" t="s">
        <v>16</v>
      </c>
      <c r="E82" s="6" t="s">
        <v>27</v>
      </c>
      <c r="F82" s="6" t="s">
        <v>15</v>
      </c>
      <c r="G82" s="6" t="s">
        <v>24</v>
      </c>
      <c r="H82" s="6">
        <v>219</v>
      </c>
      <c r="I82" s="6">
        <v>295</v>
      </c>
      <c r="J82" s="6">
        <v>675</v>
      </c>
      <c r="K82" s="6">
        <v>655</v>
      </c>
      <c r="L82" s="6">
        <v>1.74</v>
      </c>
      <c r="M82" s="6">
        <v>1.644873391</v>
      </c>
      <c r="N82" s="6">
        <v>648.43636360000005</v>
      </c>
      <c r="O82" s="6">
        <v>0.62409999999999999</v>
      </c>
      <c r="P82" s="6">
        <v>1.49</v>
      </c>
      <c r="Q82" s="6">
        <v>177</v>
      </c>
      <c r="R82" s="6">
        <v>409.09090909999998</v>
      </c>
      <c r="S82" s="6">
        <v>380</v>
      </c>
      <c r="T82" s="6">
        <v>4</v>
      </c>
      <c r="U82" s="6" t="s">
        <v>175</v>
      </c>
      <c r="V82" s="6">
        <v>3.6</v>
      </c>
      <c r="W82" s="6">
        <v>85.811599999999999</v>
      </c>
      <c r="X82" s="6">
        <v>449</v>
      </c>
      <c r="Y82" s="6">
        <v>1.5</v>
      </c>
      <c r="Z82" s="6">
        <v>30.331856800000001</v>
      </c>
      <c r="AA82" s="6">
        <v>570.65363639999998</v>
      </c>
      <c r="AB82" s="6">
        <v>603.14406110000004</v>
      </c>
      <c r="AC82" s="6">
        <v>187.19786578014001</v>
      </c>
      <c r="AD82" s="6">
        <v>513.89477539999996</v>
      </c>
      <c r="AE82" s="6">
        <v>0.79886787299999995</v>
      </c>
      <c r="AF82" s="6">
        <v>10.64699967</v>
      </c>
      <c r="AG82" s="6">
        <v>9.2519444740000001</v>
      </c>
      <c r="AH82" s="6">
        <v>9.1101686320000006</v>
      </c>
      <c r="AI82" s="6">
        <v>4.3641247520000004</v>
      </c>
      <c r="AJ82" s="6">
        <v>6.2828749180000001</v>
      </c>
      <c r="AK82" s="6">
        <v>9.1101686320000006</v>
      </c>
      <c r="AL82" s="6">
        <v>1.460853679</v>
      </c>
      <c r="AM82" s="6">
        <v>649.89721729999997</v>
      </c>
      <c r="AN82" s="6">
        <v>323.39684260000001</v>
      </c>
      <c r="AO82" s="6">
        <v>62.930556619999997</v>
      </c>
      <c r="AP82" s="6">
        <v>408.06461300000001</v>
      </c>
      <c r="AQ82" s="6">
        <v>1.396576117</v>
      </c>
      <c r="AR82" s="6">
        <v>0.64835565299999998</v>
      </c>
      <c r="AS82" s="6">
        <v>2331.6929279999999</v>
      </c>
      <c r="AT82" s="6">
        <v>0.15449172899999999</v>
      </c>
      <c r="AU82">
        <v>682.83871280000005</v>
      </c>
      <c r="AV82">
        <v>1.7958698959999999</v>
      </c>
    </row>
    <row r="83" spans="1:48" x14ac:dyDescent="0.25">
      <c r="A83" s="6">
        <v>2591</v>
      </c>
      <c r="B83" s="6" t="s">
        <v>26</v>
      </c>
      <c r="C83" s="6">
        <v>2304</v>
      </c>
      <c r="D83" s="6" t="s">
        <v>16</v>
      </c>
      <c r="E83" s="6" t="s">
        <v>27</v>
      </c>
      <c r="F83" s="6" t="s">
        <v>15</v>
      </c>
      <c r="G83" s="6" t="s">
        <v>24</v>
      </c>
      <c r="H83" s="6">
        <v>219</v>
      </c>
      <c r="I83" s="6">
        <v>284</v>
      </c>
      <c r="J83" s="6">
        <v>771</v>
      </c>
      <c r="K83" s="6">
        <v>740</v>
      </c>
      <c r="L83" s="6">
        <v>2.2200000000000002</v>
      </c>
      <c r="M83" s="6">
        <v>2.0817766710000001</v>
      </c>
      <c r="N83" s="6">
        <v>740.50909090000005</v>
      </c>
      <c r="O83" s="6">
        <v>0.62409999999999999</v>
      </c>
      <c r="P83" s="6">
        <v>1.49</v>
      </c>
      <c r="Q83" s="6">
        <v>177</v>
      </c>
      <c r="R83" s="6">
        <v>461.81818179999999</v>
      </c>
      <c r="S83" s="6">
        <v>487</v>
      </c>
      <c r="T83" s="6">
        <v>5</v>
      </c>
      <c r="U83" s="6" t="s">
        <v>177</v>
      </c>
      <c r="V83" s="6">
        <v>3.4</v>
      </c>
      <c r="W83" s="6">
        <v>92.973320000000001</v>
      </c>
      <c r="X83" s="6">
        <v>523</v>
      </c>
      <c r="Y83" s="6">
        <v>1.3</v>
      </c>
      <c r="Z83" s="6">
        <v>30.62207707</v>
      </c>
      <c r="AA83" s="6">
        <v>640.04272730000002</v>
      </c>
      <c r="AB83" s="6">
        <v>676.37700140000004</v>
      </c>
      <c r="AC83" s="6">
        <v>188.43812489164199</v>
      </c>
      <c r="AD83" s="6">
        <v>523.32256229999996</v>
      </c>
      <c r="AE83" s="6">
        <v>0.78106749099999995</v>
      </c>
      <c r="AF83" s="6">
        <v>11.499742660000001</v>
      </c>
      <c r="AG83" s="6">
        <v>10.22069179</v>
      </c>
      <c r="AH83" s="6">
        <v>9.6840593590000008</v>
      </c>
      <c r="AI83" s="6">
        <v>4.8210810349999997</v>
      </c>
      <c r="AJ83" s="6">
        <v>6.6786616270000003</v>
      </c>
      <c r="AK83" s="6">
        <v>9.6840593590000008</v>
      </c>
      <c r="AL83" s="6">
        <v>1.5254374900000001</v>
      </c>
      <c r="AM83" s="6">
        <v>742.0345284</v>
      </c>
      <c r="AN83" s="6">
        <v>329.77994150000001</v>
      </c>
      <c r="AO83" s="6">
        <v>63.016572429999997</v>
      </c>
      <c r="AP83" s="6">
        <v>466.6434476</v>
      </c>
      <c r="AQ83" s="6">
        <v>1.4583182400000001</v>
      </c>
      <c r="AR83" s="6">
        <v>0.66278968800000004</v>
      </c>
      <c r="AS83" s="6">
        <v>2518.4436430000001</v>
      </c>
      <c r="AT83" s="6">
        <v>0.18102810899999999</v>
      </c>
      <c r="AU83">
        <v>737.52885509999999</v>
      </c>
      <c r="AV83">
        <v>1.5135853370000001</v>
      </c>
    </row>
    <row r="84" spans="1:48" x14ac:dyDescent="0.25">
      <c r="A84" s="6">
        <v>2502</v>
      </c>
      <c r="B84" s="6" t="s">
        <v>30</v>
      </c>
      <c r="C84" s="6">
        <v>2304</v>
      </c>
      <c r="D84" s="6" t="s">
        <v>16</v>
      </c>
      <c r="E84" s="6" t="s">
        <v>20</v>
      </c>
      <c r="F84" s="6" t="s">
        <v>21</v>
      </c>
      <c r="G84" s="6" t="s">
        <v>15</v>
      </c>
      <c r="H84" s="6">
        <v>219</v>
      </c>
      <c r="I84" s="6">
        <v>235</v>
      </c>
      <c r="J84" s="6">
        <v>657</v>
      </c>
      <c r="K84" s="6">
        <v>622</v>
      </c>
      <c r="L84" s="6">
        <v>1.93</v>
      </c>
      <c r="M84" s="6">
        <v>1.766293068</v>
      </c>
      <c r="N84" s="6">
        <v>630.7636364</v>
      </c>
      <c r="O84" s="6">
        <v>0.62429999999999997</v>
      </c>
      <c r="P84" s="6">
        <v>1.49</v>
      </c>
      <c r="Q84" s="6">
        <v>177</v>
      </c>
      <c r="R84" s="6">
        <v>388.18181820000001</v>
      </c>
      <c r="S84" s="6">
        <v>422</v>
      </c>
      <c r="T84" s="6">
        <v>7</v>
      </c>
      <c r="U84" s="6" t="s">
        <v>179</v>
      </c>
      <c r="V84" s="6">
        <v>3.6</v>
      </c>
      <c r="W84" s="6">
        <v>89.747320000000002</v>
      </c>
      <c r="X84" s="6">
        <v>665</v>
      </c>
      <c r="Y84" s="6">
        <v>1.9</v>
      </c>
      <c r="Z84" s="6">
        <v>33.660811330000001</v>
      </c>
      <c r="AA84" s="6">
        <v>543.13727270000004</v>
      </c>
      <c r="AB84" s="6">
        <v>518.98328070000002</v>
      </c>
      <c r="AC84" s="6">
        <v>160.77925339037299</v>
      </c>
      <c r="AD84" s="6">
        <v>580.9532395</v>
      </c>
      <c r="AE84" s="6">
        <v>0.65791861699999998</v>
      </c>
      <c r="AF84" s="6">
        <v>8.5886306230000002</v>
      </c>
      <c r="AG84" s="6">
        <v>9.0621757929999998</v>
      </c>
      <c r="AH84" s="6">
        <v>6.2553281299999997</v>
      </c>
      <c r="AI84" s="6">
        <v>4.274611223</v>
      </c>
      <c r="AJ84" s="6">
        <v>4.3140194000000003</v>
      </c>
      <c r="AK84" s="6">
        <v>6.2553281299999997</v>
      </c>
      <c r="AL84" s="6">
        <v>0.95355422400000001</v>
      </c>
      <c r="AM84" s="6">
        <v>631.71719059999998</v>
      </c>
      <c r="AN84" s="6">
        <v>368.79888790000001</v>
      </c>
      <c r="AO84" s="6">
        <v>63.481681960000003</v>
      </c>
      <c r="AP84" s="6">
        <v>400.41936559999999</v>
      </c>
      <c r="AQ84" s="6">
        <v>0.91159783800000005</v>
      </c>
      <c r="AR84" s="6">
        <v>0.69001841200000003</v>
      </c>
      <c r="AS84" s="6">
        <v>1880.9101069999999</v>
      </c>
      <c r="AT84" s="6">
        <v>0.205654795</v>
      </c>
      <c r="AU84">
        <v>550.8264921</v>
      </c>
      <c r="AV84">
        <v>1.3051354690000001</v>
      </c>
    </row>
    <row r="85" spans="1:48" x14ac:dyDescent="0.25">
      <c r="A85" s="6">
        <v>2512</v>
      </c>
      <c r="B85" s="6" t="s">
        <v>19</v>
      </c>
      <c r="C85" s="6">
        <v>2304</v>
      </c>
      <c r="D85" s="6" t="s">
        <v>16</v>
      </c>
      <c r="E85" s="6" t="s">
        <v>20</v>
      </c>
      <c r="F85" s="6" t="s">
        <v>21</v>
      </c>
      <c r="G85" s="6" t="s">
        <v>15</v>
      </c>
      <c r="H85" s="6">
        <v>274</v>
      </c>
      <c r="I85" s="6">
        <v>278</v>
      </c>
      <c r="J85" s="6">
        <v>668</v>
      </c>
      <c r="K85" s="6">
        <v>668</v>
      </c>
      <c r="L85" s="6">
        <v>1.42</v>
      </c>
      <c r="M85" s="6">
        <v>1.4225282020000001</v>
      </c>
      <c r="N85" s="6">
        <v>641.45454549999999</v>
      </c>
      <c r="O85" s="6">
        <v>0.63580000000000003</v>
      </c>
      <c r="P85" s="6">
        <v>1.49</v>
      </c>
      <c r="Q85" s="6">
        <v>187.64</v>
      </c>
      <c r="R85" s="6">
        <v>428</v>
      </c>
      <c r="S85" s="6">
        <v>390</v>
      </c>
      <c r="T85" s="6">
        <v>6</v>
      </c>
      <c r="U85" s="6" t="s">
        <v>178</v>
      </c>
      <c r="V85" s="6">
        <v>3.63</v>
      </c>
      <c r="W85" s="6">
        <v>89.62</v>
      </c>
      <c r="X85" s="6">
        <v>588</v>
      </c>
      <c r="Y85" s="6">
        <v>1.63</v>
      </c>
      <c r="Z85" s="6">
        <v>32.549963179999999</v>
      </c>
      <c r="AA85" s="6">
        <v>595.17909090000001</v>
      </c>
      <c r="AB85" s="6">
        <v>595.17016390000003</v>
      </c>
      <c r="AC85" s="6">
        <v>222.67472279265499</v>
      </c>
      <c r="AD85" s="6">
        <v>515.17245209999999</v>
      </c>
      <c r="AE85" s="6">
        <v>0.79649415499999998</v>
      </c>
      <c r="AF85" s="6">
        <v>10.529524800000001</v>
      </c>
      <c r="AG85" s="6">
        <v>9.1771305880000007</v>
      </c>
      <c r="AH85" s="6">
        <v>8.9909999379999999</v>
      </c>
      <c r="AI85" s="6">
        <v>4.3288351829999998</v>
      </c>
      <c r="AJ85" s="6">
        <v>6.2006896129999998</v>
      </c>
      <c r="AK85" s="6">
        <v>8.9909999379999999</v>
      </c>
      <c r="AL85" s="6">
        <v>1.4409751239999999</v>
      </c>
      <c r="AM85" s="6">
        <v>642.89552060000005</v>
      </c>
      <c r="AN85" s="6">
        <v>324.26189570000003</v>
      </c>
      <c r="AO85" s="6">
        <v>62.942398109999999</v>
      </c>
      <c r="AP85" s="6">
        <v>403.74687369999998</v>
      </c>
      <c r="AQ85" s="6">
        <v>1.3775722189999999</v>
      </c>
      <c r="AR85" s="6">
        <v>0.64878404099999998</v>
      </c>
      <c r="AS85" s="6">
        <v>2885.089794</v>
      </c>
      <c r="AT85" s="6">
        <v>0.135098993</v>
      </c>
      <c r="AU85">
        <v>797.13395190000006</v>
      </c>
      <c r="AV85">
        <v>2.0451250079999999</v>
      </c>
    </row>
    <row r="86" spans="1:48" x14ac:dyDescent="0.25">
      <c r="A86" s="6">
        <v>2514</v>
      </c>
      <c r="B86" s="6" t="s">
        <v>19</v>
      </c>
      <c r="C86" s="6">
        <v>2304</v>
      </c>
      <c r="D86" s="6" t="s">
        <v>16</v>
      </c>
      <c r="E86" s="6" t="s">
        <v>20</v>
      </c>
      <c r="F86" s="6" t="s">
        <v>21</v>
      </c>
      <c r="G86" s="6" t="s">
        <v>15</v>
      </c>
      <c r="H86" s="6">
        <v>274</v>
      </c>
      <c r="I86" s="6">
        <v>188</v>
      </c>
      <c r="J86" s="6">
        <v>503</v>
      </c>
      <c r="K86" s="6">
        <v>503</v>
      </c>
      <c r="L86" s="6">
        <v>1.1499999999999999</v>
      </c>
      <c r="M86" s="6">
        <v>1.1504644989999999</v>
      </c>
      <c r="N86" s="6">
        <v>483.05454550000002</v>
      </c>
      <c r="O86" s="6">
        <v>0.63549999999999995</v>
      </c>
      <c r="P86" s="6">
        <v>1.49</v>
      </c>
      <c r="Q86" s="6">
        <v>187.64</v>
      </c>
      <c r="R86" s="6">
        <v>272</v>
      </c>
      <c r="S86" s="6">
        <v>315</v>
      </c>
      <c r="T86" s="6">
        <v>5</v>
      </c>
      <c r="U86" s="6" t="s">
        <v>177</v>
      </c>
      <c r="V86" s="6">
        <v>3.23</v>
      </c>
      <c r="W86" s="6">
        <v>63.29</v>
      </c>
      <c r="X86" s="6">
        <v>532</v>
      </c>
      <c r="Y86" s="6">
        <v>1.17</v>
      </c>
      <c r="Z86" s="6">
        <v>28.336569900000001</v>
      </c>
      <c r="AA86" s="6">
        <v>390.0027273</v>
      </c>
      <c r="AB86" s="6">
        <v>432.3268693</v>
      </c>
      <c r="AC86" s="6">
        <v>212.41187712482301</v>
      </c>
      <c r="AD86" s="6">
        <v>534.08679670000004</v>
      </c>
      <c r="AE86" s="6">
        <v>0.75993742099999995</v>
      </c>
      <c r="AF86" s="6">
        <v>8.1213218840000003</v>
      </c>
      <c r="AG86" s="6">
        <v>7.4187310379999998</v>
      </c>
      <c r="AH86" s="6">
        <v>6.7017846539999999</v>
      </c>
      <c r="AI86" s="6">
        <v>3.4994014330000001</v>
      </c>
      <c r="AJ86" s="6">
        <v>4.6219204510000003</v>
      </c>
      <c r="AK86" s="6">
        <v>6.7017846539999999</v>
      </c>
      <c r="AL86" s="6">
        <v>1.075509238</v>
      </c>
      <c r="AM86" s="6">
        <v>484.13005470000002</v>
      </c>
      <c r="AN86" s="6">
        <v>337.06788440000003</v>
      </c>
      <c r="AO86" s="6">
        <v>63.111068549999999</v>
      </c>
      <c r="AP86" s="6">
        <v>304.86088530000001</v>
      </c>
      <c r="AQ86" s="6">
        <v>1.028186831</v>
      </c>
      <c r="AR86" s="6">
        <v>0.64772152299999997</v>
      </c>
      <c r="AS86" s="6">
        <v>2225.2421960000001</v>
      </c>
      <c r="AT86" s="6">
        <v>0.141659759</v>
      </c>
      <c r="AU86">
        <v>614.82180189999997</v>
      </c>
      <c r="AV86">
        <v>1.950408023</v>
      </c>
    </row>
    <row r="87" spans="1:48" x14ac:dyDescent="0.25">
      <c r="A87" s="6">
        <v>2520</v>
      </c>
      <c r="B87" s="6" t="s">
        <v>19</v>
      </c>
      <c r="C87" s="6">
        <v>2304</v>
      </c>
      <c r="D87" s="6" t="s">
        <v>16</v>
      </c>
      <c r="E87" s="6" t="s">
        <v>20</v>
      </c>
      <c r="F87" s="6" t="s">
        <v>21</v>
      </c>
      <c r="G87" s="6" t="s">
        <v>15</v>
      </c>
      <c r="H87" s="6">
        <v>219</v>
      </c>
      <c r="I87" s="6">
        <v>240</v>
      </c>
      <c r="J87" s="6">
        <v>667</v>
      </c>
      <c r="K87" s="6">
        <v>637</v>
      </c>
      <c r="L87" s="6">
        <v>1.95</v>
      </c>
      <c r="M87" s="6">
        <v>1.8119551679999999</v>
      </c>
      <c r="N87" s="6">
        <v>640.14545450000003</v>
      </c>
      <c r="O87" s="6">
        <v>0.62380000000000002</v>
      </c>
      <c r="P87" s="6">
        <v>1.49</v>
      </c>
      <c r="Q87" s="6">
        <v>177</v>
      </c>
      <c r="R87" s="6">
        <v>397.27272729999999</v>
      </c>
      <c r="S87" s="6">
        <v>427</v>
      </c>
      <c r="T87" s="6">
        <v>5</v>
      </c>
      <c r="U87" s="6" t="s">
        <v>177</v>
      </c>
      <c r="V87" s="6">
        <v>2.9</v>
      </c>
      <c r="W87" s="6">
        <v>94.00564</v>
      </c>
      <c r="X87" s="6">
        <v>547</v>
      </c>
      <c r="Y87" s="6">
        <v>1.4</v>
      </c>
      <c r="Z87" s="6">
        <v>29.77257736</v>
      </c>
      <c r="AA87" s="6">
        <v>555.10090909999997</v>
      </c>
      <c r="AB87" s="6">
        <v>594.63968120000004</v>
      </c>
      <c r="AC87" s="6">
        <v>195.72210583831799</v>
      </c>
      <c r="AD87" s="6">
        <v>514.5797311</v>
      </c>
      <c r="AE87" s="6">
        <v>0.79759684099999995</v>
      </c>
      <c r="AF87" s="6">
        <v>10.52795908</v>
      </c>
      <c r="AG87" s="6">
        <v>9.1630803739999998</v>
      </c>
      <c r="AH87" s="6">
        <v>8.9983394699999995</v>
      </c>
      <c r="AI87" s="6">
        <v>4.322207723</v>
      </c>
      <c r="AJ87" s="6">
        <v>6.2057513589999997</v>
      </c>
      <c r="AK87" s="6">
        <v>8.9983394699999995</v>
      </c>
      <c r="AL87" s="6">
        <v>1.4431828360000001</v>
      </c>
      <c r="AM87" s="6">
        <v>641.58863740000004</v>
      </c>
      <c r="AN87" s="6">
        <v>323.86059299999999</v>
      </c>
      <c r="AO87" s="6">
        <v>62.93691209</v>
      </c>
      <c r="AP87" s="6">
        <v>402.88778200000002</v>
      </c>
      <c r="AQ87" s="6">
        <v>1.379682791</v>
      </c>
      <c r="AR87" s="6">
        <v>0.64821030700000004</v>
      </c>
      <c r="AS87" s="6">
        <v>2305.6230390000001</v>
      </c>
      <c r="AT87" s="6">
        <v>0.172108873</v>
      </c>
      <c r="AU87">
        <v>675.20411860000002</v>
      </c>
      <c r="AV87">
        <v>1.5819478819999999</v>
      </c>
    </row>
    <row r="88" spans="1:48" x14ac:dyDescent="0.25">
      <c r="A88" s="6">
        <v>2553</v>
      </c>
      <c r="B88" s="6" t="s">
        <v>19</v>
      </c>
      <c r="C88" s="6">
        <v>2304</v>
      </c>
      <c r="D88" s="6" t="s">
        <v>16</v>
      </c>
      <c r="E88" s="6" t="s">
        <v>20</v>
      </c>
      <c r="F88" s="6" t="s">
        <v>21</v>
      </c>
      <c r="G88" s="6" t="s">
        <v>15</v>
      </c>
      <c r="H88" s="6">
        <v>274</v>
      </c>
      <c r="I88" s="6">
        <v>220</v>
      </c>
      <c r="J88" s="6">
        <v>628</v>
      </c>
      <c r="K88" s="6">
        <v>628</v>
      </c>
      <c r="L88" s="6">
        <v>1.49</v>
      </c>
      <c r="M88" s="6">
        <v>1.4897146649999999</v>
      </c>
      <c r="N88" s="6">
        <v>602.6181818</v>
      </c>
      <c r="O88" s="6">
        <v>0.63600000000000001</v>
      </c>
      <c r="P88" s="6">
        <v>1.49</v>
      </c>
      <c r="Q88" s="6">
        <v>187.64</v>
      </c>
      <c r="R88" s="6">
        <v>409</v>
      </c>
      <c r="S88" s="6">
        <v>408</v>
      </c>
      <c r="T88" s="6">
        <v>7</v>
      </c>
      <c r="U88" s="6" t="s">
        <v>179</v>
      </c>
      <c r="V88" s="6">
        <v>3.97</v>
      </c>
      <c r="W88" s="6">
        <v>90.78</v>
      </c>
      <c r="X88" s="6">
        <v>723</v>
      </c>
      <c r="Y88" s="6">
        <v>2.16</v>
      </c>
      <c r="Z88" s="6">
        <v>35.424667079999999</v>
      </c>
      <c r="AA88" s="6">
        <v>570.65363639999998</v>
      </c>
      <c r="AB88" s="6">
        <v>521.63623329999996</v>
      </c>
      <c r="AC88" s="6">
        <v>202.78432229853399</v>
      </c>
      <c r="AD88" s="6">
        <v>552.20759699999996</v>
      </c>
      <c r="AE88" s="6">
        <v>0.72242460600000002</v>
      </c>
      <c r="AF88" s="6">
        <v>9.1133062819999999</v>
      </c>
      <c r="AG88" s="6">
        <v>8.7571778420000008</v>
      </c>
      <c r="AH88" s="6">
        <v>7.2247149239999997</v>
      </c>
      <c r="AI88" s="6">
        <v>4.1307442649999997</v>
      </c>
      <c r="AJ88" s="6">
        <v>4.9825620170000002</v>
      </c>
      <c r="AK88" s="6">
        <v>7.2247149239999997</v>
      </c>
      <c r="AL88" s="6">
        <v>1.125777848</v>
      </c>
      <c r="AM88" s="6">
        <v>603.7439597</v>
      </c>
      <c r="AN88" s="6">
        <v>349.33660259999999</v>
      </c>
      <c r="AO88" s="6">
        <v>63.261824799999999</v>
      </c>
      <c r="AP88" s="6">
        <v>381.22725839999998</v>
      </c>
      <c r="AQ88" s="6">
        <v>1.0762436230000001</v>
      </c>
      <c r="AR88" s="6">
        <v>0.67168659799999997</v>
      </c>
      <c r="AS88" s="6">
        <v>2497.0459209999999</v>
      </c>
      <c r="AT88" s="6">
        <v>0.16346588400000001</v>
      </c>
      <c r="AU88">
        <v>689.91962999999998</v>
      </c>
      <c r="AV88">
        <v>1.6902262649999999</v>
      </c>
    </row>
    <row r="89" spans="1:48" x14ac:dyDescent="0.25">
      <c r="A89" s="6">
        <v>2564</v>
      </c>
      <c r="B89" s="6" t="s">
        <v>28</v>
      </c>
      <c r="C89" s="6">
        <v>2304</v>
      </c>
      <c r="D89" s="6" t="s">
        <v>16</v>
      </c>
      <c r="E89" s="6" t="s">
        <v>20</v>
      </c>
      <c r="F89" s="6" t="s">
        <v>21</v>
      </c>
      <c r="G89" s="6" t="s">
        <v>15</v>
      </c>
      <c r="H89" s="6">
        <v>219</v>
      </c>
      <c r="I89" s="6">
        <v>273</v>
      </c>
      <c r="J89" s="6">
        <v>669</v>
      </c>
      <c r="K89" s="6">
        <v>630</v>
      </c>
      <c r="L89" s="6">
        <v>1.81</v>
      </c>
      <c r="M89" s="6">
        <v>1.6282689910000001</v>
      </c>
      <c r="N89" s="6">
        <v>642.54545450000001</v>
      </c>
      <c r="O89" s="6">
        <v>0.62380000000000002</v>
      </c>
      <c r="P89" s="6">
        <v>1.49</v>
      </c>
      <c r="Q89" s="6">
        <v>177</v>
      </c>
      <c r="R89" s="6">
        <v>392.72727270000001</v>
      </c>
      <c r="S89" s="6">
        <v>396</v>
      </c>
      <c r="T89" s="6">
        <v>7</v>
      </c>
      <c r="U89" s="6" t="s">
        <v>179</v>
      </c>
      <c r="V89" s="6">
        <v>3.7</v>
      </c>
      <c r="W89" s="6">
        <v>82.843680000000006</v>
      </c>
      <c r="X89" s="6">
        <v>687</v>
      </c>
      <c r="Y89" s="6">
        <v>1.6</v>
      </c>
      <c r="Z89" s="6">
        <v>33.145319659999998</v>
      </c>
      <c r="AA89" s="6">
        <v>549.11909089999995</v>
      </c>
      <c r="AB89" s="6">
        <v>533.94706240000005</v>
      </c>
      <c r="AC89" s="6">
        <v>160.28832969693599</v>
      </c>
      <c r="AD89" s="6">
        <v>575.21943450000003</v>
      </c>
      <c r="AE89" s="6">
        <v>0.67127494600000004</v>
      </c>
      <c r="AF89" s="6">
        <v>8.8854636259999999</v>
      </c>
      <c r="AG89" s="6">
        <v>9.1888336249999991</v>
      </c>
      <c r="AH89" s="6">
        <v>6.599106806</v>
      </c>
      <c r="AI89" s="6">
        <v>4.3343554839999996</v>
      </c>
      <c r="AJ89" s="6">
        <v>4.5511081420000004</v>
      </c>
      <c r="AK89" s="6">
        <v>6.599106806</v>
      </c>
      <c r="AL89" s="6">
        <v>1.0080256910000001</v>
      </c>
      <c r="AM89" s="6">
        <v>643.55348019999997</v>
      </c>
      <c r="AN89" s="6">
        <v>364.91680559999998</v>
      </c>
      <c r="AO89" s="6">
        <v>63.439582129999998</v>
      </c>
      <c r="AP89" s="6">
        <v>407.62815139999998</v>
      </c>
      <c r="AQ89" s="6">
        <v>0.96367256000000001</v>
      </c>
      <c r="AR89" s="6">
        <v>0.68828831499999998</v>
      </c>
      <c r="AS89" s="6">
        <v>1945.916534</v>
      </c>
      <c r="AT89" s="6">
        <v>0.18325087600000001</v>
      </c>
      <c r="AU89">
        <v>569.86369239999999</v>
      </c>
      <c r="AV89">
        <v>1.437729499</v>
      </c>
    </row>
    <row r="90" spans="1:48" x14ac:dyDescent="0.25">
      <c r="A90" s="6">
        <v>2566</v>
      </c>
      <c r="B90" s="6" t="s">
        <v>30</v>
      </c>
      <c r="C90" s="6">
        <v>2304</v>
      </c>
      <c r="D90" s="6" t="s">
        <v>16</v>
      </c>
      <c r="E90" s="6" t="s">
        <v>20</v>
      </c>
      <c r="F90" s="6" t="s">
        <v>21</v>
      </c>
      <c r="G90" s="6" t="s">
        <v>15</v>
      </c>
      <c r="H90" s="6">
        <v>219</v>
      </c>
      <c r="I90" s="6">
        <v>257</v>
      </c>
      <c r="J90" s="6">
        <v>644</v>
      </c>
      <c r="K90" s="6">
        <v>623</v>
      </c>
      <c r="L90" s="6">
        <v>1.77</v>
      </c>
      <c r="M90" s="6">
        <v>1.6718555420000001</v>
      </c>
      <c r="N90" s="6">
        <v>618.54545450000001</v>
      </c>
      <c r="O90" s="6">
        <v>0.62439999999999996</v>
      </c>
      <c r="P90" s="6">
        <v>1.49</v>
      </c>
      <c r="Q90" s="6">
        <v>177</v>
      </c>
      <c r="R90" s="6">
        <v>389.09090909999998</v>
      </c>
      <c r="S90" s="6">
        <v>387</v>
      </c>
      <c r="T90" s="6">
        <v>5</v>
      </c>
      <c r="U90" s="6" t="s">
        <v>177</v>
      </c>
      <c r="V90" s="6">
        <v>3.1</v>
      </c>
      <c r="W90" s="6">
        <v>89.424719999999994</v>
      </c>
      <c r="X90" s="6">
        <v>494</v>
      </c>
      <c r="Y90" s="6">
        <v>1.4</v>
      </c>
      <c r="Z90" s="6">
        <v>29.922836329999999</v>
      </c>
      <c r="AA90" s="6">
        <v>544.33363640000005</v>
      </c>
      <c r="AB90" s="6">
        <v>580.15038189999996</v>
      </c>
      <c r="AC90" s="6">
        <v>193.26127124721401</v>
      </c>
      <c r="AD90" s="6">
        <v>509.63463350000001</v>
      </c>
      <c r="AE90" s="6">
        <v>0.80669500599999999</v>
      </c>
      <c r="AF90" s="6">
        <v>10.377430820000001</v>
      </c>
      <c r="AG90" s="6">
        <v>8.9302005320000006</v>
      </c>
      <c r="AH90" s="6">
        <v>8.9393545119999995</v>
      </c>
      <c r="AI90" s="6">
        <v>4.2123587410000001</v>
      </c>
      <c r="AJ90" s="6">
        <v>6.1650720769999996</v>
      </c>
      <c r="AK90" s="6">
        <v>8.9393545119999995</v>
      </c>
      <c r="AL90" s="6">
        <v>1.4440588510000001</v>
      </c>
      <c r="AM90" s="6">
        <v>619.98951339999996</v>
      </c>
      <c r="AN90" s="6">
        <v>320.51250649999997</v>
      </c>
      <c r="AO90" s="6">
        <v>62.89064466</v>
      </c>
      <c r="AP90" s="6">
        <v>389.00722389999999</v>
      </c>
      <c r="AQ90" s="6">
        <v>1.3805202620000001</v>
      </c>
      <c r="AR90" s="6">
        <v>0.64246828499999997</v>
      </c>
      <c r="AS90" s="6">
        <v>2272.6573490000001</v>
      </c>
      <c r="AT90" s="6">
        <v>0.16110495699999999</v>
      </c>
      <c r="AU90">
        <v>665.55008190000001</v>
      </c>
      <c r="AV90">
        <v>1.7185565490000001</v>
      </c>
    </row>
    <row r="91" spans="1:48" x14ac:dyDescent="0.25">
      <c r="A91" s="6">
        <v>2575</v>
      </c>
      <c r="B91" s="6" t="s">
        <v>30</v>
      </c>
      <c r="C91" s="6">
        <v>2304</v>
      </c>
      <c r="D91" s="6" t="s">
        <v>16</v>
      </c>
      <c r="E91" s="6" t="s">
        <v>20</v>
      </c>
      <c r="F91" s="6" t="s">
        <v>21</v>
      </c>
      <c r="G91" s="6" t="s">
        <v>15</v>
      </c>
      <c r="H91" s="6">
        <v>274</v>
      </c>
      <c r="I91" s="6">
        <v>222</v>
      </c>
      <c r="J91" s="6">
        <v>601</v>
      </c>
      <c r="K91" s="6">
        <v>601</v>
      </c>
      <c r="L91" s="6">
        <v>1.38</v>
      </c>
      <c r="M91" s="6">
        <v>1.3843729259999999</v>
      </c>
      <c r="N91" s="6">
        <v>577.3090909</v>
      </c>
      <c r="O91" s="6">
        <v>0.6361</v>
      </c>
      <c r="P91" s="6">
        <v>1.49</v>
      </c>
      <c r="Q91" s="6">
        <v>187.64</v>
      </c>
      <c r="R91" s="6">
        <v>381</v>
      </c>
      <c r="S91" s="6">
        <v>379</v>
      </c>
      <c r="T91" s="6">
        <v>7</v>
      </c>
      <c r="U91" s="6" t="s">
        <v>179</v>
      </c>
      <c r="V91" s="6">
        <v>3.21</v>
      </c>
      <c r="W91" s="6">
        <v>85.36</v>
      </c>
      <c r="X91" s="6">
        <v>659</v>
      </c>
      <c r="Y91" s="6">
        <v>1.4</v>
      </c>
      <c r="Z91" s="6">
        <v>31.684174769999998</v>
      </c>
      <c r="AA91" s="6">
        <v>534.16454550000003</v>
      </c>
      <c r="AB91" s="6">
        <v>540.54793859999995</v>
      </c>
      <c r="AC91" s="6">
        <v>230.069859028812</v>
      </c>
      <c r="AD91" s="6">
        <v>510.50744209999999</v>
      </c>
      <c r="AE91" s="6">
        <v>0.80510236899999998</v>
      </c>
      <c r="AF91" s="6">
        <v>9.8346558099999992</v>
      </c>
      <c r="AG91" s="6">
        <v>8.4798621769999993</v>
      </c>
      <c r="AH91" s="6">
        <v>8.46034519</v>
      </c>
      <c r="AI91" s="6">
        <v>3.9999349890000002</v>
      </c>
      <c r="AJ91" s="6">
        <v>5.8347208210000003</v>
      </c>
      <c r="AK91" s="6">
        <v>8.46034519</v>
      </c>
      <c r="AL91" s="6">
        <v>1.371744053</v>
      </c>
      <c r="AM91" s="6">
        <v>578.680835</v>
      </c>
      <c r="AN91" s="6">
        <v>321.10344300000003</v>
      </c>
      <c r="AO91" s="6">
        <v>62.898875990000001</v>
      </c>
      <c r="AP91" s="6">
        <v>363.12092919999998</v>
      </c>
      <c r="AQ91" s="6">
        <v>1.3113873149999999</v>
      </c>
      <c r="AR91" s="6">
        <v>0.63952792800000002</v>
      </c>
      <c r="AS91" s="6">
        <v>2694.6956919999998</v>
      </c>
      <c r="AT91" s="6">
        <v>0.14076475599999999</v>
      </c>
      <c r="AU91">
        <v>744.52914099999998</v>
      </c>
      <c r="AV91">
        <v>1.962809</v>
      </c>
    </row>
    <row r="92" spans="1:48" x14ac:dyDescent="0.25">
      <c r="A92" s="6">
        <v>2579</v>
      </c>
      <c r="B92" s="6" t="s">
        <v>44</v>
      </c>
      <c r="C92" s="6">
        <v>2304</v>
      </c>
      <c r="D92" s="6" t="s">
        <v>16</v>
      </c>
      <c r="E92" s="6" t="s">
        <v>20</v>
      </c>
      <c r="F92" s="6" t="s">
        <v>21</v>
      </c>
      <c r="G92" s="6" t="s">
        <v>15</v>
      </c>
      <c r="H92" s="6">
        <v>274</v>
      </c>
      <c r="I92" s="6">
        <v>249</v>
      </c>
      <c r="J92" s="6">
        <v>648</v>
      </c>
      <c r="K92" s="6">
        <v>648</v>
      </c>
      <c r="L92" s="6">
        <v>1.46</v>
      </c>
      <c r="M92" s="6">
        <v>1.4557067020000001</v>
      </c>
      <c r="N92" s="6">
        <v>621.81818180000005</v>
      </c>
      <c r="O92" s="6">
        <v>0.6361</v>
      </c>
      <c r="P92" s="6">
        <v>1.49</v>
      </c>
      <c r="Q92" s="6">
        <v>187.64</v>
      </c>
      <c r="R92" s="6">
        <v>432</v>
      </c>
      <c r="S92" s="6">
        <v>399</v>
      </c>
      <c r="T92" s="6">
        <v>6</v>
      </c>
      <c r="U92" s="6" t="s">
        <v>178</v>
      </c>
      <c r="V92" s="6">
        <v>3.73</v>
      </c>
      <c r="W92" s="6">
        <v>96.72</v>
      </c>
      <c r="X92" s="6">
        <v>647</v>
      </c>
      <c r="Y92" s="6">
        <v>2.06</v>
      </c>
      <c r="Z92" s="6">
        <v>34.180464530000002</v>
      </c>
      <c r="AA92" s="6">
        <v>601.16090910000003</v>
      </c>
      <c r="AB92" s="6">
        <v>575.7884229</v>
      </c>
      <c r="AC92" s="6">
        <v>224.58149440846501</v>
      </c>
      <c r="AD92" s="6">
        <v>516.2123431</v>
      </c>
      <c r="AE92" s="6">
        <v>0.79455326299999995</v>
      </c>
      <c r="AF92" s="6">
        <v>10.26177154</v>
      </c>
      <c r="AG92" s="6">
        <v>8.9656144490000003</v>
      </c>
      <c r="AH92" s="6">
        <v>8.7474267680000004</v>
      </c>
      <c r="AI92" s="6">
        <v>4.2290634200000001</v>
      </c>
      <c r="AJ92" s="6">
        <v>6.0327081160000002</v>
      </c>
      <c r="AK92" s="6">
        <v>8.7474267680000004</v>
      </c>
      <c r="AL92" s="6">
        <v>1.403409651</v>
      </c>
      <c r="AM92" s="6">
        <v>623.22159150000005</v>
      </c>
      <c r="AN92" s="6">
        <v>324.96595569999999</v>
      </c>
      <c r="AO92" s="6">
        <v>62.951992539999999</v>
      </c>
      <c r="AP92" s="6">
        <v>391.44693539999997</v>
      </c>
      <c r="AQ92" s="6">
        <v>1.3416596270000001</v>
      </c>
      <c r="AR92" s="6">
        <v>0.64794221500000004</v>
      </c>
      <c r="AS92" s="6">
        <v>2811.7254010000001</v>
      </c>
      <c r="AT92" s="6">
        <v>0.14185725099999999</v>
      </c>
      <c r="AU92">
        <v>776.86378590000004</v>
      </c>
      <c r="AV92">
        <v>1.9476926830000001</v>
      </c>
    </row>
    <row r="93" spans="1:48" x14ac:dyDescent="0.25">
      <c r="A93" s="6">
        <v>2590</v>
      </c>
      <c r="B93" s="6" t="s">
        <v>30</v>
      </c>
      <c r="C93" s="6">
        <v>2304</v>
      </c>
      <c r="D93" s="6" t="s">
        <v>16</v>
      </c>
      <c r="E93" s="6" t="s">
        <v>20</v>
      </c>
      <c r="F93" s="6" t="s">
        <v>21</v>
      </c>
      <c r="G93" s="6" t="s">
        <v>15</v>
      </c>
      <c r="H93" s="6">
        <v>274</v>
      </c>
      <c r="I93" s="6">
        <v>227</v>
      </c>
      <c r="J93" s="6">
        <v>610</v>
      </c>
      <c r="K93" s="6">
        <v>610</v>
      </c>
      <c r="L93" s="6">
        <v>1.4</v>
      </c>
      <c r="M93" s="6">
        <v>1.3984737890000001</v>
      </c>
      <c r="N93" s="6">
        <v>585.6</v>
      </c>
      <c r="O93" s="6">
        <v>0.63560000000000005</v>
      </c>
      <c r="P93" s="6">
        <v>1.49</v>
      </c>
      <c r="Q93" s="6">
        <v>187.64</v>
      </c>
      <c r="R93" s="6">
        <v>406</v>
      </c>
      <c r="S93" s="6">
        <v>383</v>
      </c>
      <c r="T93" s="6">
        <v>6</v>
      </c>
      <c r="U93" s="6" t="s">
        <v>178</v>
      </c>
      <c r="V93" s="6">
        <v>3.21</v>
      </c>
      <c r="W93" s="6">
        <v>97.36</v>
      </c>
      <c r="X93" s="6">
        <v>605</v>
      </c>
      <c r="Y93" s="6">
        <v>1.78</v>
      </c>
      <c r="Z93" s="6">
        <v>32.316126250000003</v>
      </c>
      <c r="AA93" s="6">
        <v>566.46636360000002</v>
      </c>
      <c r="AB93" s="6">
        <v>566.68732130000001</v>
      </c>
      <c r="AC93" s="6">
        <v>243.02860888794399</v>
      </c>
      <c r="AD93" s="6">
        <v>493.95281929999999</v>
      </c>
      <c r="AE93" s="6">
        <v>0.83434689799999995</v>
      </c>
      <c r="AF93" s="6">
        <v>10.301470419999999</v>
      </c>
      <c r="AG93" s="6">
        <v>8.5710355709999995</v>
      </c>
      <c r="AH93" s="6">
        <v>9.0748672179999996</v>
      </c>
      <c r="AI93" s="6">
        <v>4.0429413070000004</v>
      </c>
      <c r="AJ93" s="6">
        <v>6.2585291160000001</v>
      </c>
      <c r="AK93" s="6">
        <v>9.0748672179999996</v>
      </c>
      <c r="AL93" s="6">
        <v>1.495621066</v>
      </c>
      <c r="AM93" s="6">
        <v>587.09562110000002</v>
      </c>
      <c r="AN93" s="6">
        <v>309.89510790000003</v>
      </c>
      <c r="AO93" s="6">
        <v>62.737795149999997</v>
      </c>
      <c r="AP93" s="6">
        <v>367.3925284</v>
      </c>
      <c r="AQ93" s="6">
        <v>1.4298137390000001</v>
      </c>
      <c r="AR93" s="6">
        <v>0.62666718600000004</v>
      </c>
      <c r="AS93" s="6">
        <v>2822.6028959999999</v>
      </c>
      <c r="AT93" s="6">
        <v>0.13575477399999999</v>
      </c>
      <c r="AU93">
        <v>779.86917619999997</v>
      </c>
      <c r="AV93">
        <v>2.0352457739999998</v>
      </c>
    </row>
    <row r="94" spans="1:48" x14ac:dyDescent="0.25">
      <c r="A94" s="6">
        <v>2592</v>
      </c>
      <c r="B94" s="6" t="s">
        <v>44</v>
      </c>
      <c r="C94" s="6">
        <v>2304</v>
      </c>
      <c r="D94" s="6" t="s">
        <v>16</v>
      </c>
      <c r="E94" s="6" t="s">
        <v>20</v>
      </c>
      <c r="F94" s="6" t="s">
        <v>21</v>
      </c>
      <c r="G94" s="6" t="s">
        <v>15</v>
      </c>
      <c r="H94" s="6">
        <v>219</v>
      </c>
      <c r="I94" s="6">
        <v>247</v>
      </c>
      <c r="J94" s="6">
        <v>628</v>
      </c>
      <c r="K94" s="6">
        <v>605</v>
      </c>
      <c r="L94" s="6">
        <v>1.74</v>
      </c>
      <c r="M94" s="6">
        <v>1.6376089659999999</v>
      </c>
      <c r="N94" s="6">
        <v>602.4</v>
      </c>
      <c r="O94" s="6">
        <v>0.62390000000000001</v>
      </c>
      <c r="P94" s="6">
        <v>1.49</v>
      </c>
      <c r="Q94" s="6">
        <v>177</v>
      </c>
      <c r="R94" s="6">
        <v>377.72727270000001</v>
      </c>
      <c r="S94" s="6">
        <v>381</v>
      </c>
      <c r="T94" s="6">
        <v>7</v>
      </c>
      <c r="U94" s="6" t="s">
        <v>179</v>
      </c>
      <c r="V94" s="6">
        <v>4.3</v>
      </c>
      <c r="W94" s="6">
        <v>74.843199999999996</v>
      </c>
      <c r="X94" s="6">
        <v>674</v>
      </c>
      <c r="Y94" s="6">
        <v>1.9</v>
      </c>
      <c r="Z94" s="6">
        <v>34.820818889999998</v>
      </c>
      <c r="AA94" s="6">
        <v>529.37909090000005</v>
      </c>
      <c r="AB94" s="6">
        <v>484.97667059999998</v>
      </c>
      <c r="AC94" s="6">
        <v>145.43062088456799</v>
      </c>
      <c r="AD94" s="6">
        <v>593.73412680000001</v>
      </c>
      <c r="AE94" s="6">
        <v>0.62726889699999999</v>
      </c>
      <c r="AF94" s="6">
        <v>7.9107787759999999</v>
      </c>
      <c r="AG94" s="6">
        <v>8.7547997899999999</v>
      </c>
      <c r="AH94" s="6">
        <v>5.4826765379999998</v>
      </c>
      <c r="AI94" s="6">
        <v>4.1296225419999999</v>
      </c>
      <c r="AJ94" s="6">
        <v>3.7811562329999999</v>
      </c>
      <c r="AK94" s="6">
        <v>5.4826765379999998</v>
      </c>
      <c r="AL94" s="6">
        <v>0.83308237799999996</v>
      </c>
      <c r="AM94" s="6">
        <v>603.23308239999994</v>
      </c>
      <c r="AN94" s="6">
        <v>377.45220890000002</v>
      </c>
      <c r="AO94" s="6">
        <v>63.572597889999997</v>
      </c>
      <c r="AP94" s="6">
        <v>382.96132970000002</v>
      </c>
      <c r="AQ94" s="6">
        <v>0.79642675299999999</v>
      </c>
      <c r="AR94" s="6">
        <v>0.69274354800000004</v>
      </c>
      <c r="AS94" s="6">
        <v>1732.460552</v>
      </c>
      <c r="AT94" s="6">
        <v>0.20700983000000001</v>
      </c>
      <c r="AU94">
        <v>507.3528847</v>
      </c>
      <c r="AV94">
        <v>1.332747876</v>
      </c>
    </row>
    <row r="95" spans="1:48" x14ac:dyDescent="0.25">
      <c r="A95" s="6">
        <v>2593</v>
      </c>
      <c r="B95" s="6" t="s">
        <v>44</v>
      </c>
      <c r="C95" s="6">
        <v>2304</v>
      </c>
      <c r="D95" s="6" t="s">
        <v>16</v>
      </c>
      <c r="E95" s="6" t="s">
        <v>20</v>
      </c>
      <c r="F95" s="6" t="s">
        <v>21</v>
      </c>
      <c r="G95" s="6" t="s">
        <v>15</v>
      </c>
      <c r="H95" s="6">
        <v>219</v>
      </c>
      <c r="I95" s="6">
        <v>272</v>
      </c>
      <c r="J95" s="6">
        <v>654</v>
      </c>
      <c r="K95" s="6">
        <v>628</v>
      </c>
      <c r="L95" s="6">
        <v>1.74</v>
      </c>
      <c r="M95" s="6">
        <v>1.6261934410000001</v>
      </c>
      <c r="N95" s="6">
        <v>627.49090909999995</v>
      </c>
      <c r="O95" s="6">
        <v>0.62450000000000006</v>
      </c>
      <c r="P95" s="6">
        <v>1.49</v>
      </c>
      <c r="Q95" s="6">
        <v>177</v>
      </c>
      <c r="R95" s="6">
        <v>392.27272729999999</v>
      </c>
      <c r="S95" s="6">
        <v>382</v>
      </c>
      <c r="T95" s="6">
        <v>5</v>
      </c>
      <c r="U95" s="6" t="s">
        <v>177</v>
      </c>
      <c r="V95" s="6">
        <v>3.3</v>
      </c>
      <c r="W95" s="6">
        <v>85.682559999999995</v>
      </c>
      <c r="X95" s="6">
        <v>501</v>
      </c>
      <c r="Y95" s="6">
        <v>1.4</v>
      </c>
      <c r="Z95" s="6">
        <v>30.35637625</v>
      </c>
      <c r="AA95" s="6">
        <v>548.52090910000004</v>
      </c>
      <c r="AB95" s="6">
        <v>577.91131729999995</v>
      </c>
      <c r="AC95" s="6">
        <v>188.087010459369</v>
      </c>
      <c r="AD95" s="6">
        <v>519.00809960000004</v>
      </c>
      <c r="AE95" s="6">
        <v>0.78929537400000005</v>
      </c>
      <c r="AF95" s="6">
        <v>10.263533389999999</v>
      </c>
      <c r="AG95" s="6">
        <v>9.0268884380000003</v>
      </c>
      <c r="AH95" s="6">
        <v>8.7080723570000007</v>
      </c>
      <c r="AI95" s="6">
        <v>4.2579662450000004</v>
      </c>
      <c r="AJ95" s="6">
        <v>6.0055671430000004</v>
      </c>
      <c r="AK95" s="6">
        <v>8.7080723570000007</v>
      </c>
      <c r="AL95" s="6">
        <v>1.3925009340000001</v>
      </c>
      <c r="AM95" s="6">
        <v>628.88341000000003</v>
      </c>
      <c r="AN95" s="6">
        <v>326.85882729999997</v>
      </c>
      <c r="AO95" s="6">
        <v>62.977596599999998</v>
      </c>
      <c r="AP95" s="6">
        <v>395.17869350000001</v>
      </c>
      <c r="AQ95" s="6">
        <v>1.3312308930000001</v>
      </c>
      <c r="AR95" s="6">
        <v>0.65058837400000002</v>
      </c>
      <c r="AS95" s="6">
        <v>2247.713812</v>
      </c>
      <c r="AT95" s="6">
        <v>0.15844382000000001</v>
      </c>
      <c r="AU95">
        <v>658.24534080000001</v>
      </c>
      <c r="AV95">
        <v>1.72500268</v>
      </c>
    </row>
    <row r="96" spans="1:48" x14ac:dyDescent="0.25">
      <c r="A96" s="6">
        <v>2595</v>
      </c>
      <c r="B96" s="6" t="s">
        <v>30</v>
      </c>
      <c r="C96" s="6">
        <v>2304</v>
      </c>
      <c r="D96" s="6" t="s">
        <v>16</v>
      </c>
      <c r="E96" s="6" t="s">
        <v>20</v>
      </c>
      <c r="F96" s="6" t="s">
        <v>21</v>
      </c>
      <c r="G96" s="6" t="s">
        <v>15</v>
      </c>
      <c r="H96" s="6">
        <v>274</v>
      </c>
      <c r="I96" s="6">
        <v>238</v>
      </c>
      <c r="J96" s="6">
        <v>592</v>
      </c>
      <c r="K96" s="6">
        <v>592</v>
      </c>
      <c r="L96" s="6">
        <v>1.29</v>
      </c>
      <c r="M96" s="6">
        <v>1.291473125</v>
      </c>
      <c r="N96" s="6">
        <v>568.58181820000004</v>
      </c>
      <c r="O96" s="6">
        <v>0.63549999999999995</v>
      </c>
      <c r="P96" s="6">
        <v>1.49</v>
      </c>
      <c r="Q96" s="6">
        <v>187.64</v>
      </c>
      <c r="R96" s="6">
        <v>383</v>
      </c>
      <c r="S96" s="6">
        <v>354</v>
      </c>
      <c r="T96" s="6">
        <v>5</v>
      </c>
      <c r="U96" s="6" t="s">
        <v>177</v>
      </c>
      <c r="V96" s="6">
        <v>3.24</v>
      </c>
      <c r="W96" s="6">
        <v>89.62</v>
      </c>
      <c r="X96" s="6">
        <v>522</v>
      </c>
      <c r="Y96" s="6">
        <v>1.57</v>
      </c>
      <c r="Z96" s="6">
        <v>30.61834704</v>
      </c>
      <c r="AA96" s="6">
        <v>535.95909089999998</v>
      </c>
      <c r="AB96" s="6">
        <v>559.62004730000001</v>
      </c>
      <c r="AC96" s="6">
        <v>248.71671740710201</v>
      </c>
      <c r="AD96" s="6">
        <v>485.65470520000002</v>
      </c>
      <c r="AE96" s="6">
        <v>0.84824079399999996</v>
      </c>
      <c r="AF96" s="6">
        <v>10.24390741</v>
      </c>
      <c r="AG96" s="6">
        <v>8.3835357839999993</v>
      </c>
      <c r="AH96" s="6">
        <v>9.1196436320000007</v>
      </c>
      <c r="AI96" s="6">
        <v>3.9544980110000001</v>
      </c>
      <c r="AJ96" s="6">
        <v>6.2894094020000004</v>
      </c>
      <c r="AK96" s="6">
        <v>9.1196436320000007</v>
      </c>
      <c r="AL96" s="6">
        <v>1.5198501600000001</v>
      </c>
      <c r="AM96" s="6">
        <v>570.10166830000003</v>
      </c>
      <c r="AN96" s="6">
        <v>304.27685589999999</v>
      </c>
      <c r="AO96" s="6">
        <v>62.652920399999999</v>
      </c>
      <c r="AP96" s="6">
        <v>356.233114</v>
      </c>
      <c r="AQ96" s="6">
        <v>1.452976753</v>
      </c>
      <c r="AR96" s="6">
        <v>0.61801246600000004</v>
      </c>
      <c r="AS96" s="6">
        <v>2806.8306309999998</v>
      </c>
      <c r="AT96" s="6">
        <v>0.12607231499999999</v>
      </c>
      <c r="AU96">
        <v>775.51138890000004</v>
      </c>
      <c r="AV96">
        <v>2.1915543419999999</v>
      </c>
    </row>
    <row r="97" spans="1:48" x14ac:dyDescent="0.25">
      <c r="A97" s="6">
        <v>2598</v>
      </c>
      <c r="B97" s="6" t="s">
        <v>28</v>
      </c>
      <c r="C97" s="6">
        <v>2304</v>
      </c>
      <c r="D97" s="6" t="s">
        <v>16</v>
      </c>
      <c r="E97" s="6" t="s">
        <v>20</v>
      </c>
      <c r="F97" s="6" t="s">
        <v>21</v>
      </c>
      <c r="G97" s="6" t="s">
        <v>15</v>
      </c>
      <c r="H97" s="6">
        <v>274</v>
      </c>
      <c r="I97" s="6">
        <v>206</v>
      </c>
      <c r="J97" s="6">
        <v>545</v>
      </c>
      <c r="K97" s="6">
        <v>545</v>
      </c>
      <c r="L97" s="6">
        <v>1.24</v>
      </c>
      <c r="M97" s="6">
        <v>1.2400464499999999</v>
      </c>
      <c r="N97" s="6">
        <v>523.63636359999998</v>
      </c>
      <c r="O97" s="6">
        <v>0.6361</v>
      </c>
      <c r="P97" s="6">
        <v>1.49</v>
      </c>
      <c r="Q97" s="6">
        <v>187.64</v>
      </c>
      <c r="R97" s="6">
        <v>340</v>
      </c>
      <c r="S97" s="6">
        <v>340</v>
      </c>
      <c r="T97" s="6">
        <v>6</v>
      </c>
      <c r="U97" s="6" t="s">
        <v>178</v>
      </c>
      <c r="V97" s="6">
        <v>3.37</v>
      </c>
      <c r="W97" s="6">
        <v>80.39</v>
      </c>
      <c r="X97" s="6">
        <v>568</v>
      </c>
      <c r="Y97" s="6">
        <v>1.6</v>
      </c>
      <c r="Z97" s="6">
        <v>31.347908010000001</v>
      </c>
      <c r="AA97" s="6">
        <v>479.73</v>
      </c>
      <c r="AB97" s="6">
        <v>484.8359504</v>
      </c>
      <c r="AC97" s="6">
        <v>225.11586743613799</v>
      </c>
      <c r="AD97" s="6">
        <v>516.25334629999998</v>
      </c>
      <c r="AE97" s="6">
        <v>0.79447656899999997</v>
      </c>
      <c r="AF97" s="6">
        <v>9.0199723299999999</v>
      </c>
      <c r="AG97" s="6">
        <v>7.8814267779999998</v>
      </c>
      <c r="AH97" s="6">
        <v>7.6883613750000004</v>
      </c>
      <c r="AI97" s="6">
        <v>3.7176541410000001</v>
      </c>
      <c r="AJ97" s="6">
        <v>5.3023181900000003</v>
      </c>
      <c r="AK97" s="6">
        <v>7.6883613750000004</v>
      </c>
      <c r="AL97" s="6">
        <v>1.247581311</v>
      </c>
      <c r="AM97" s="6">
        <v>524.88394489999996</v>
      </c>
      <c r="AN97" s="6">
        <v>324.993717</v>
      </c>
      <c r="AO97" s="6">
        <v>62.95237006</v>
      </c>
      <c r="AP97" s="6">
        <v>329.64150139999998</v>
      </c>
      <c r="AQ97" s="6">
        <v>1.1926877339999999</v>
      </c>
      <c r="AR97" s="6">
        <v>0.63888855099999997</v>
      </c>
      <c r="AS97" s="6">
        <v>2471.4724179999998</v>
      </c>
      <c r="AT97" s="6">
        <v>0.13747785500000001</v>
      </c>
      <c r="AU97">
        <v>682.85381619999998</v>
      </c>
      <c r="AV97">
        <v>2.0097369839999999</v>
      </c>
    </row>
    <row r="98" spans="1:48" x14ac:dyDescent="0.25">
      <c r="A98" s="6">
        <v>2609</v>
      </c>
      <c r="B98" s="6" t="s">
        <v>19</v>
      </c>
      <c r="C98" s="6">
        <v>2304</v>
      </c>
      <c r="D98" s="6" t="s">
        <v>16</v>
      </c>
      <c r="E98" s="6" t="s">
        <v>20</v>
      </c>
      <c r="F98" s="6" t="s">
        <v>21</v>
      </c>
      <c r="G98" s="6" t="s">
        <v>15</v>
      </c>
      <c r="H98" s="6">
        <v>219</v>
      </c>
      <c r="I98" s="6">
        <v>240</v>
      </c>
      <c r="J98" s="6">
        <v>632</v>
      </c>
      <c r="K98" s="6">
        <v>606</v>
      </c>
      <c r="L98" s="6">
        <v>1.79</v>
      </c>
      <c r="M98" s="6">
        <v>1.669779992</v>
      </c>
      <c r="N98" s="6">
        <v>606.32727269999998</v>
      </c>
      <c r="O98" s="6">
        <v>0.62419999999999998</v>
      </c>
      <c r="P98" s="6">
        <v>1.49</v>
      </c>
      <c r="Q98" s="6">
        <v>177</v>
      </c>
      <c r="R98" s="6">
        <v>378.18181820000001</v>
      </c>
      <c r="S98" s="6">
        <v>391</v>
      </c>
      <c r="T98" s="6">
        <v>5</v>
      </c>
      <c r="U98" s="6" t="s">
        <v>177</v>
      </c>
      <c r="V98" s="6">
        <v>3</v>
      </c>
      <c r="W98" s="6">
        <v>90.650599999999997</v>
      </c>
      <c r="X98" s="6">
        <v>500</v>
      </c>
      <c r="Y98" s="6">
        <v>1.5</v>
      </c>
      <c r="Z98" s="6">
        <v>30.10349085</v>
      </c>
      <c r="AA98" s="6">
        <v>529.97727269999996</v>
      </c>
      <c r="AB98" s="6">
        <v>561.14645700000005</v>
      </c>
      <c r="AC98" s="6">
        <v>192.192495935865</v>
      </c>
      <c r="AD98" s="6">
        <v>516.48626260000003</v>
      </c>
      <c r="AE98" s="6">
        <v>0.794040674</v>
      </c>
      <c r="AF98" s="6">
        <v>10.062939009999999</v>
      </c>
      <c r="AG98" s="6">
        <v>8.7975718809999996</v>
      </c>
      <c r="AH98" s="6">
        <v>8.5740543769999995</v>
      </c>
      <c r="AI98" s="6">
        <v>4.1497980569999999</v>
      </c>
      <c r="AJ98" s="6">
        <v>5.9131409499999998</v>
      </c>
      <c r="AK98" s="6">
        <v>8.5740543769999995</v>
      </c>
      <c r="AL98" s="6">
        <v>1.3775311109999999</v>
      </c>
      <c r="AM98" s="6">
        <v>607.70480380000004</v>
      </c>
      <c r="AN98" s="6">
        <v>325.15141340000002</v>
      </c>
      <c r="AO98" s="6">
        <v>62.954513390000002</v>
      </c>
      <c r="AP98" s="6">
        <v>381.7103841</v>
      </c>
      <c r="AQ98" s="6">
        <v>1.3169197429999999</v>
      </c>
      <c r="AR98" s="6">
        <v>0.64681469999999996</v>
      </c>
      <c r="AS98" s="6">
        <v>2203.7836419999999</v>
      </c>
      <c r="AT98" s="6">
        <v>0.165933629</v>
      </c>
      <c r="AU98">
        <v>645.38034479999999</v>
      </c>
      <c r="AV98">
        <v>1.6490554690000001</v>
      </c>
    </row>
    <row r="99" spans="1:48" x14ac:dyDescent="0.25">
      <c r="A99" s="6">
        <v>2620</v>
      </c>
      <c r="B99" s="6" t="s">
        <v>28</v>
      </c>
      <c r="C99" s="6">
        <v>2304</v>
      </c>
      <c r="D99" s="6" t="s">
        <v>16</v>
      </c>
      <c r="E99" s="6" t="s">
        <v>20</v>
      </c>
      <c r="F99" s="6" t="s">
        <v>21</v>
      </c>
      <c r="G99" s="6" t="s">
        <v>15</v>
      </c>
      <c r="H99" s="6">
        <v>219</v>
      </c>
      <c r="I99" s="6">
        <v>255</v>
      </c>
      <c r="J99" s="6">
        <v>625</v>
      </c>
      <c r="K99" s="6">
        <v>563</v>
      </c>
      <c r="L99" s="6">
        <v>1.69</v>
      </c>
      <c r="M99" s="6">
        <v>1.4051473640000001</v>
      </c>
      <c r="N99" s="6">
        <v>600</v>
      </c>
      <c r="O99" s="6">
        <v>0.62439999999999996</v>
      </c>
      <c r="P99" s="6">
        <v>1.49</v>
      </c>
      <c r="Q99" s="6">
        <v>177</v>
      </c>
      <c r="R99" s="6">
        <v>351.36363640000002</v>
      </c>
      <c r="S99" s="6">
        <v>370</v>
      </c>
      <c r="T99" s="6">
        <v>6</v>
      </c>
      <c r="U99" s="6" t="s">
        <v>178</v>
      </c>
      <c r="V99" s="6">
        <v>2.5</v>
      </c>
      <c r="W99" s="6">
        <v>92.521680000000003</v>
      </c>
      <c r="X99" s="6">
        <v>561</v>
      </c>
      <c r="Y99" s="6">
        <v>1.3</v>
      </c>
      <c r="Z99" s="6">
        <v>29.203881859999999</v>
      </c>
      <c r="AA99" s="6">
        <v>494.68454550000001</v>
      </c>
      <c r="AB99" s="6">
        <v>535.93399569999997</v>
      </c>
      <c r="AC99" s="6">
        <v>199.93205185714001</v>
      </c>
      <c r="AD99" s="6">
        <v>535.1405254</v>
      </c>
      <c r="AE99" s="6">
        <v>0.75782276299999995</v>
      </c>
      <c r="AF99" s="6">
        <v>9.5286823050000002</v>
      </c>
      <c r="AG99" s="6">
        <v>8.7286269799999996</v>
      </c>
      <c r="AH99" s="6">
        <v>7.8465378699999997</v>
      </c>
      <c r="AI99" s="6">
        <v>4.1172768770000001</v>
      </c>
      <c r="AJ99" s="6">
        <v>5.4114054280000001</v>
      </c>
      <c r="AK99" s="6">
        <v>7.8465378699999997</v>
      </c>
      <c r="AL99" s="6">
        <v>1.2401156849999999</v>
      </c>
      <c r="AM99" s="6">
        <v>601.24011570000005</v>
      </c>
      <c r="AN99" s="6">
        <v>337.7813132</v>
      </c>
      <c r="AO99" s="6">
        <v>63.120114649999998</v>
      </c>
      <c r="AP99" s="6">
        <v>378.72068789999997</v>
      </c>
      <c r="AQ99" s="6">
        <v>1.185550595</v>
      </c>
      <c r="AR99" s="6">
        <v>0.660072518</v>
      </c>
      <c r="AS99" s="6">
        <v>2086.7814250000001</v>
      </c>
      <c r="AT99" s="6">
        <v>0.147465024</v>
      </c>
      <c r="AU99">
        <v>611.11612300000002</v>
      </c>
      <c r="AV99">
        <v>1.651665197</v>
      </c>
    </row>
    <row r="100" spans="1:48" x14ac:dyDescent="0.25">
      <c r="A100" s="6">
        <v>2624</v>
      </c>
      <c r="B100" s="6" t="s">
        <v>30</v>
      </c>
      <c r="C100" s="6">
        <v>2304</v>
      </c>
      <c r="D100" s="6" t="s">
        <v>16</v>
      </c>
      <c r="E100" s="6" t="s">
        <v>20</v>
      </c>
      <c r="F100" s="6" t="s">
        <v>21</v>
      </c>
      <c r="G100" s="6" t="s">
        <v>15</v>
      </c>
      <c r="H100" s="6">
        <v>274</v>
      </c>
      <c r="I100" s="6">
        <v>223</v>
      </c>
      <c r="J100" s="6">
        <v>657</v>
      </c>
      <c r="K100" s="6">
        <v>657</v>
      </c>
      <c r="L100" s="6">
        <v>1.58</v>
      </c>
      <c r="M100" s="6">
        <v>1.5834439279999999</v>
      </c>
      <c r="N100" s="6">
        <v>630.54545450000001</v>
      </c>
      <c r="O100" s="6">
        <v>0.63580000000000003</v>
      </c>
      <c r="P100" s="6">
        <v>1.49</v>
      </c>
      <c r="Q100" s="6">
        <v>187.64</v>
      </c>
      <c r="R100" s="6">
        <v>433</v>
      </c>
      <c r="S100" s="6">
        <v>434</v>
      </c>
      <c r="T100" s="6">
        <v>6</v>
      </c>
      <c r="U100" s="6" t="s">
        <v>178</v>
      </c>
      <c r="V100" s="6">
        <v>4.21</v>
      </c>
      <c r="W100" s="6">
        <v>87.3</v>
      </c>
      <c r="X100" s="6">
        <v>562</v>
      </c>
      <c r="Y100" s="6">
        <v>2.08</v>
      </c>
      <c r="Z100" s="6">
        <v>34.953275820000002</v>
      </c>
      <c r="AA100" s="6">
        <v>602.35727269999995</v>
      </c>
      <c r="AB100" s="6">
        <v>564.76269309999998</v>
      </c>
      <c r="AC100" s="6">
        <v>215.863752137398</v>
      </c>
      <c r="AD100" s="6">
        <v>533.67676540000002</v>
      </c>
      <c r="AE100" s="6">
        <v>0.76075805900000004</v>
      </c>
      <c r="AF100" s="6">
        <v>9.9285453639999997</v>
      </c>
      <c r="AG100" s="6">
        <v>9.0598247290000007</v>
      </c>
      <c r="AH100" s="6">
        <v>8.1998125430000002</v>
      </c>
      <c r="AI100" s="6">
        <v>4.2735022310000002</v>
      </c>
      <c r="AJ100" s="6">
        <v>5.6550431330000004</v>
      </c>
      <c r="AK100" s="6">
        <v>8.1998125430000002</v>
      </c>
      <c r="AL100" s="6">
        <v>1.293333767</v>
      </c>
      <c r="AM100" s="6">
        <v>631.83878830000003</v>
      </c>
      <c r="AN100" s="6">
        <v>336.79027200000002</v>
      </c>
      <c r="AO100" s="6">
        <v>63.107538839999997</v>
      </c>
      <c r="AP100" s="6">
        <v>397.92171760000002</v>
      </c>
      <c r="AQ100" s="6">
        <v>1.2364270820000001</v>
      </c>
      <c r="AR100" s="6">
        <v>0.66171890300000002</v>
      </c>
      <c r="AS100" s="6">
        <v>2720.4214299999999</v>
      </c>
      <c r="AT100" s="6">
        <v>0.15948398</v>
      </c>
      <c r="AU100">
        <v>751.63701649999996</v>
      </c>
      <c r="AV100">
        <v>1.732426858</v>
      </c>
    </row>
    <row r="101" spans="1:48" x14ac:dyDescent="0.25">
      <c r="A101" s="6">
        <v>2626</v>
      </c>
      <c r="B101" s="6" t="s">
        <v>44</v>
      </c>
      <c r="C101" s="6">
        <v>2304</v>
      </c>
      <c r="D101" s="6" t="s">
        <v>16</v>
      </c>
      <c r="E101" s="6" t="s">
        <v>20</v>
      </c>
      <c r="F101" s="6" t="s">
        <v>21</v>
      </c>
      <c r="G101" s="6" t="s">
        <v>15</v>
      </c>
      <c r="H101" s="6">
        <v>274</v>
      </c>
      <c r="I101" s="6">
        <v>228</v>
      </c>
      <c r="J101" s="6">
        <v>618</v>
      </c>
      <c r="K101" s="6">
        <v>618</v>
      </c>
      <c r="L101" s="6">
        <v>1.42</v>
      </c>
      <c r="M101" s="6">
        <v>1.4233576640000001</v>
      </c>
      <c r="N101" s="6">
        <v>593.01818179999998</v>
      </c>
      <c r="O101" s="6">
        <v>0.63600000000000001</v>
      </c>
      <c r="P101" s="6">
        <v>1.49</v>
      </c>
      <c r="Q101" s="6">
        <v>187.64</v>
      </c>
      <c r="R101" s="6">
        <v>392</v>
      </c>
      <c r="S101" s="6">
        <v>390</v>
      </c>
      <c r="T101" s="6">
        <v>7</v>
      </c>
      <c r="U101" s="6" t="s">
        <v>179</v>
      </c>
      <c r="V101" s="6">
        <v>4.3</v>
      </c>
      <c r="W101" s="6">
        <v>84.84</v>
      </c>
      <c r="X101" s="6">
        <v>738</v>
      </c>
      <c r="Y101" s="6">
        <v>2.34</v>
      </c>
      <c r="Z101" s="6">
        <v>36.330816550000002</v>
      </c>
      <c r="AA101" s="6">
        <v>548.52090910000004</v>
      </c>
      <c r="AB101" s="6">
        <v>482.29345130000002</v>
      </c>
      <c r="AC101" s="6">
        <v>178.849058782176</v>
      </c>
      <c r="AD101" s="6">
        <v>587.7390418</v>
      </c>
      <c r="AE101" s="6">
        <v>0.64179657999999995</v>
      </c>
      <c r="AF101" s="6">
        <v>7.9992665479999996</v>
      </c>
      <c r="AG101" s="6">
        <v>8.6523385279999996</v>
      </c>
      <c r="AH101" s="6">
        <v>5.6810634450000004</v>
      </c>
      <c r="AI101" s="6">
        <v>4.081291759</v>
      </c>
      <c r="AJ101" s="6">
        <v>3.9179747900000002</v>
      </c>
      <c r="AK101" s="6">
        <v>5.6810634450000004</v>
      </c>
      <c r="AL101" s="6">
        <v>0.86651027899999999</v>
      </c>
      <c r="AM101" s="6">
        <v>593.88469210000005</v>
      </c>
      <c r="AN101" s="6">
        <v>373.39322659999999</v>
      </c>
      <c r="AO101" s="6">
        <v>63.53044465</v>
      </c>
      <c r="AP101" s="6">
        <v>376.74708779999997</v>
      </c>
      <c r="AQ101" s="6">
        <v>0.82838382700000002</v>
      </c>
      <c r="AR101" s="6">
        <v>0.689535063</v>
      </c>
      <c r="AS101" s="6">
        <v>2191.7990340000001</v>
      </c>
      <c r="AT101" s="6">
        <v>0.177936021</v>
      </c>
      <c r="AU101">
        <v>605.58164580000005</v>
      </c>
      <c r="AV101">
        <v>1.552773451</v>
      </c>
    </row>
    <row r="102" spans="1:48" x14ac:dyDescent="0.25">
      <c r="A102" s="6">
        <v>2634</v>
      </c>
      <c r="B102" s="6" t="s">
        <v>19</v>
      </c>
      <c r="C102" s="6">
        <v>2304</v>
      </c>
      <c r="D102" s="6" t="s">
        <v>16</v>
      </c>
      <c r="E102" s="6" t="s">
        <v>20</v>
      </c>
      <c r="F102" s="6" t="s">
        <v>21</v>
      </c>
      <c r="G102" s="6" t="s">
        <v>15</v>
      </c>
      <c r="H102" s="6">
        <v>274</v>
      </c>
      <c r="I102" s="6">
        <v>190</v>
      </c>
      <c r="J102" s="6">
        <v>564</v>
      </c>
      <c r="K102" s="6">
        <v>564</v>
      </c>
      <c r="L102" s="6">
        <v>1.36</v>
      </c>
      <c r="M102" s="6">
        <v>1.363636364</v>
      </c>
      <c r="N102" s="6">
        <v>541.52727270000003</v>
      </c>
      <c r="O102" s="6">
        <v>0.63560000000000005</v>
      </c>
      <c r="P102" s="6">
        <v>1.49</v>
      </c>
      <c r="Q102" s="6">
        <v>187.64</v>
      </c>
      <c r="R102" s="6">
        <v>357</v>
      </c>
      <c r="S102" s="6">
        <v>374</v>
      </c>
      <c r="T102" s="6">
        <v>5</v>
      </c>
      <c r="U102" s="6" t="s">
        <v>177</v>
      </c>
      <c r="V102" s="6">
        <v>3.52</v>
      </c>
      <c r="W102" s="6">
        <v>80.84</v>
      </c>
      <c r="X102" s="6">
        <v>453</v>
      </c>
      <c r="Y102" s="6">
        <v>1.65</v>
      </c>
      <c r="Z102" s="6">
        <v>31.063784009999999</v>
      </c>
      <c r="AA102" s="6">
        <v>501.86272730000002</v>
      </c>
      <c r="AB102" s="6">
        <v>514.22353220000002</v>
      </c>
      <c r="AC102" s="6">
        <v>237.430590315725</v>
      </c>
      <c r="AD102" s="6">
        <v>503.38037859999997</v>
      </c>
      <c r="AE102" s="6">
        <v>0.817941943</v>
      </c>
      <c r="AF102" s="6">
        <v>9.5233444540000001</v>
      </c>
      <c r="AG102" s="6">
        <v>8.0825378440000009</v>
      </c>
      <c r="AH102" s="6">
        <v>8.2806985750000006</v>
      </c>
      <c r="AI102" s="6">
        <v>3.812517851</v>
      </c>
      <c r="AJ102" s="6">
        <v>5.7108266030000001</v>
      </c>
      <c r="AK102" s="6">
        <v>8.2806985750000006</v>
      </c>
      <c r="AL102" s="6">
        <v>1.3581586269999999</v>
      </c>
      <c r="AM102" s="6">
        <v>542.88543140000002</v>
      </c>
      <c r="AN102" s="6">
        <v>316.27805269999999</v>
      </c>
      <c r="AO102" s="6">
        <v>62.830826569999999</v>
      </c>
      <c r="AP102" s="6">
        <v>340.24606160000002</v>
      </c>
      <c r="AQ102" s="6">
        <v>1.298399648</v>
      </c>
      <c r="AR102" s="6">
        <v>0.63044716599999995</v>
      </c>
      <c r="AS102" s="6">
        <v>2609.3963800000001</v>
      </c>
      <c r="AT102" s="6">
        <v>0.14318881</v>
      </c>
      <c r="AU102">
        <v>720.96142480000003</v>
      </c>
      <c r="AV102">
        <v>1.9295804560000001</v>
      </c>
    </row>
    <row r="103" spans="1:48" x14ac:dyDescent="0.25">
      <c r="A103" s="6">
        <v>2656</v>
      </c>
      <c r="B103" s="6" t="s">
        <v>64</v>
      </c>
      <c r="C103" s="6">
        <v>2304</v>
      </c>
      <c r="D103" s="6" t="s">
        <v>16</v>
      </c>
      <c r="E103" s="6" t="s">
        <v>20</v>
      </c>
      <c r="F103" s="6" t="s">
        <v>21</v>
      </c>
      <c r="G103" s="6" t="s">
        <v>15</v>
      </c>
      <c r="H103" s="6">
        <v>274</v>
      </c>
      <c r="I103" s="6">
        <v>208</v>
      </c>
      <c r="J103" s="6">
        <v>562</v>
      </c>
      <c r="K103" s="6">
        <v>562</v>
      </c>
      <c r="L103" s="6">
        <v>1.29</v>
      </c>
      <c r="M103" s="6">
        <v>1.2931320500000001</v>
      </c>
      <c r="N103" s="6">
        <v>539.34545449999996</v>
      </c>
      <c r="O103" s="6">
        <v>0.63570000000000004</v>
      </c>
      <c r="P103" s="6">
        <v>1.49</v>
      </c>
      <c r="Q103" s="6">
        <v>187.64</v>
      </c>
      <c r="R103" s="6">
        <v>374</v>
      </c>
      <c r="S103" s="6">
        <v>354</v>
      </c>
      <c r="T103" s="6">
        <v>6</v>
      </c>
      <c r="U103" s="6" t="s">
        <v>178</v>
      </c>
      <c r="V103" s="6">
        <v>2.63</v>
      </c>
      <c r="W103" s="6">
        <v>96.52</v>
      </c>
      <c r="X103" s="6">
        <v>567</v>
      </c>
      <c r="Y103" s="6">
        <v>1.37</v>
      </c>
      <c r="Z103" s="6">
        <v>29.842542470000001</v>
      </c>
      <c r="AA103" s="6">
        <v>523.99545450000005</v>
      </c>
      <c r="AB103" s="6">
        <v>558.60920199999998</v>
      </c>
      <c r="AC103" s="6">
        <v>271.51844380481401</v>
      </c>
      <c r="AD103" s="6">
        <v>461.51607669999999</v>
      </c>
      <c r="AE103" s="6">
        <v>0.88575230999999999</v>
      </c>
      <c r="AF103" s="6">
        <v>10.28168571</v>
      </c>
      <c r="AG103" s="6">
        <v>8.0581020599999995</v>
      </c>
      <c r="AH103" s="6">
        <v>9.3970065540000007</v>
      </c>
      <c r="AI103" s="6">
        <v>3.8009915379999999</v>
      </c>
      <c r="AJ103" s="6">
        <v>6.480694175</v>
      </c>
      <c r="AK103" s="6">
        <v>9.3970065540000007</v>
      </c>
      <c r="AL103" s="6">
        <v>1.6173344860000001</v>
      </c>
      <c r="AM103" s="6">
        <v>540.96278900000004</v>
      </c>
      <c r="AN103" s="6">
        <v>287.93375709999998</v>
      </c>
      <c r="AO103" s="6">
        <v>62.388673249999997</v>
      </c>
      <c r="AP103" s="6">
        <v>336.49047330000002</v>
      </c>
      <c r="AQ103" s="6">
        <v>1.546171768</v>
      </c>
      <c r="AR103" s="6">
        <v>0.59354424400000005</v>
      </c>
      <c r="AS103" s="6">
        <v>2817.181885</v>
      </c>
      <c r="AT103" s="6">
        <v>0.12577043199999999</v>
      </c>
      <c r="AU103">
        <v>778.37138170000003</v>
      </c>
      <c r="AV103">
        <v>2.1968146759999998</v>
      </c>
    </row>
    <row r="104" spans="1:48" x14ac:dyDescent="0.25">
      <c r="A104" s="6">
        <v>2671</v>
      </c>
      <c r="B104" s="6" t="s">
        <v>42</v>
      </c>
      <c r="C104" s="6">
        <v>2304</v>
      </c>
      <c r="D104" s="6" t="s">
        <v>16</v>
      </c>
      <c r="E104" s="6" t="s">
        <v>20</v>
      </c>
      <c r="F104" s="6" t="s">
        <v>21</v>
      </c>
      <c r="G104" s="6" t="s">
        <v>15</v>
      </c>
      <c r="H104" s="6">
        <v>274</v>
      </c>
      <c r="I104" s="6">
        <v>224</v>
      </c>
      <c r="J104" s="6">
        <v>621</v>
      </c>
      <c r="K104" s="6">
        <v>621</v>
      </c>
      <c r="L104" s="6">
        <v>1.45</v>
      </c>
      <c r="M104" s="6">
        <v>1.4490710019999999</v>
      </c>
      <c r="N104" s="6">
        <v>596.50909090000005</v>
      </c>
      <c r="O104" s="6">
        <v>0.63600000000000001</v>
      </c>
      <c r="P104" s="6">
        <v>1.49</v>
      </c>
      <c r="Q104" s="6">
        <v>187.64</v>
      </c>
      <c r="R104" s="6">
        <v>419</v>
      </c>
      <c r="S104" s="6">
        <v>397</v>
      </c>
      <c r="T104" s="6">
        <v>7</v>
      </c>
      <c r="U104" s="6" t="s">
        <v>179</v>
      </c>
      <c r="V104" s="6">
        <v>3.86</v>
      </c>
      <c r="W104" s="6">
        <v>92.72</v>
      </c>
      <c r="X104" s="6">
        <v>655</v>
      </c>
      <c r="Y104" s="6">
        <v>2.06</v>
      </c>
      <c r="Z104" s="6">
        <v>35.003963470000002</v>
      </c>
      <c r="AA104" s="6">
        <v>583.21545449999996</v>
      </c>
      <c r="AB104" s="6">
        <v>542.467941</v>
      </c>
      <c r="AC104" s="6">
        <v>219.55429289724799</v>
      </c>
      <c r="AD104" s="6">
        <v>525.61879490000001</v>
      </c>
      <c r="AE104" s="6">
        <v>0.77663215200000002</v>
      </c>
      <c r="AF104" s="6">
        <v>9.7225442750000006</v>
      </c>
      <c r="AG104" s="6">
        <v>8.6905106580000009</v>
      </c>
      <c r="AH104" s="6">
        <v>8.1537078520000001</v>
      </c>
      <c r="AI104" s="6">
        <v>4.0992974799999997</v>
      </c>
      <c r="AJ104" s="6">
        <v>5.623246795</v>
      </c>
      <c r="AK104" s="6">
        <v>8.1537078520000001</v>
      </c>
      <c r="AL104" s="6">
        <v>1.300156995</v>
      </c>
      <c r="AM104" s="6">
        <v>597.80924789999995</v>
      </c>
      <c r="AN104" s="6">
        <v>331.33460960000002</v>
      </c>
      <c r="AO104" s="6">
        <v>63.03705515</v>
      </c>
      <c r="AP104" s="6">
        <v>376.02176459999998</v>
      </c>
      <c r="AQ104" s="6">
        <v>1.2429500870000001</v>
      </c>
      <c r="AR104" s="6">
        <v>0.65287557500000004</v>
      </c>
      <c r="AS104" s="6">
        <v>2663.9771310000001</v>
      </c>
      <c r="AT104" s="6">
        <v>0.14904236600000001</v>
      </c>
      <c r="AU104">
        <v>736.04177689999995</v>
      </c>
      <c r="AV104">
        <v>1.8537972629999999</v>
      </c>
    </row>
    <row r="105" spans="1:48" x14ac:dyDescent="0.25">
      <c r="A105" s="6">
        <v>2697</v>
      </c>
      <c r="B105" s="6" t="s">
        <v>64</v>
      </c>
      <c r="C105" s="6">
        <v>2304</v>
      </c>
      <c r="D105" s="6" t="s">
        <v>16</v>
      </c>
      <c r="E105" s="6" t="s">
        <v>20</v>
      </c>
      <c r="F105" s="6" t="s">
        <v>21</v>
      </c>
      <c r="G105" s="6" t="s">
        <v>15</v>
      </c>
      <c r="H105" s="6">
        <v>274</v>
      </c>
      <c r="I105" s="6">
        <v>190</v>
      </c>
      <c r="J105" s="6">
        <v>533</v>
      </c>
      <c r="K105" s="6">
        <v>533</v>
      </c>
      <c r="L105" s="6">
        <v>1.25</v>
      </c>
      <c r="M105" s="6">
        <v>1.25</v>
      </c>
      <c r="N105" s="6">
        <v>511.41818180000001</v>
      </c>
      <c r="O105" s="6">
        <v>0.63600000000000001</v>
      </c>
      <c r="P105" s="6">
        <v>1.49</v>
      </c>
      <c r="Q105" s="6">
        <v>187.64</v>
      </c>
      <c r="R105" s="6">
        <v>318</v>
      </c>
      <c r="S105" s="6">
        <v>343</v>
      </c>
      <c r="T105" s="6">
        <v>5</v>
      </c>
      <c r="U105" s="6" t="s">
        <v>177</v>
      </c>
      <c r="V105" s="6">
        <v>3.51</v>
      </c>
      <c r="W105" s="6">
        <v>72.459999999999994</v>
      </c>
      <c r="X105" s="6">
        <v>465</v>
      </c>
      <c r="Y105" s="6">
        <v>1.63</v>
      </c>
      <c r="Z105" s="6">
        <v>30.751056269999999</v>
      </c>
      <c r="AA105" s="6">
        <v>450.41909090000001</v>
      </c>
      <c r="AB105" s="6">
        <v>461.49161450000003</v>
      </c>
      <c r="AC105" s="6">
        <v>217.01147342342199</v>
      </c>
      <c r="AD105" s="6">
        <v>529.71253049999996</v>
      </c>
      <c r="AE105" s="6">
        <v>0.768627756</v>
      </c>
      <c r="AF105" s="6">
        <v>8.5733380720000003</v>
      </c>
      <c r="AG105" s="6">
        <v>7.743095565</v>
      </c>
      <c r="AH105" s="6">
        <v>7.1353550300000004</v>
      </c>
      <c r="AI105" s="6">
        <v>3.6524035690000001</v>
      </c>
      <c r="AJ105" s="6">
        <v>4.9209345039999999</v>
      </c>
      <c r="AK105" s="6">
        <v>7.1353550300000004</v>
      </c>
      <c r="AL105" s="6">
        <v>1.145181867</v>
      </c>
      <c r="AM105" s="6">
        <v>512.56336369999997</v>
      </c>
      <c r="AN105" s="6">
        <v>334.10628009999999</v>
      </c>
      <c r="AO105" s="6">
        <v>63.073131349999997</v>
      </c>
      <c r="AP105" s="6">
        <v>322.5674616</v>
      </c>
      <c r="AQ105" s="6">
        <v>1.094793865</v>
      </c>
      <c r="AR105" s="6">
        <v>0.64765654699999997</v>
      </c>
      <c r="AS105" s="6">
        <v>2349.0946319999998</v>
      </c>
      <c r="AT105" s="6">
        <v>0.14580085300000001</v>
      </c>
      <c r="AU105">
        <v>649.04152759999999</v>
      </c>
      <c r="AV105">
        <v>1.895011759</v>
      </c>
    </row>
    <row r="106" spans="1:48" x14ac:dyDescent="0.25">
      <c r="A106" s="6">
        <v>2526</v>
      </c>
      <c r="B106" s="6" t="s">
        <v>22</v>
      </c>
      <c r="C106" s="6">
        <v>2304</v>
      </c>
      <c r="D106" s="6" t="s">
        <v>16</v>
      </c>
      <c r="E106" s="6" t="s">
        <v>23</v>
      </c>
      <c r="F106" s="6" t="s">
        <v>21</v>
      </c>
      <c r="G106" s="6" t="s">
        <v>24</v>
      </c>
      <c r="H106" s="6">
        <v>219</v>
      </c>
      <c r="I106" s="6">
        <v>251</v>
      </c>
      <c r="J106" s="6">
        <v>633</v>
      </c>
      <c r="K106" s="6">
        <v>614</v>
      </c>
      <c r="L106" s="6">
        <v>1.74</v>
      </c>
      <c r="M106" s="6">
        <v>1.6562889169999999</v>
      </c>
      <c r="N106" s="6">
        <v>607.63636359999998</v>
      </c>
      <c r="O106" s="6">
        <v>0.624</v>
      </c>
      <c r="P106" s="6">
        <v>1.49</v>
      </c>
      <c r="Q106" s="6">
        <v>177</v>
      </c>
      <c r="R106" s="6">
        <v>383.18181820000001</v>
      </c>
      <c r="S106" s="6">
        <v>382</v>
      </c>
      <c r="T106" s="6">
        <v>8</v>
      </c>
      <c r="U106" s="6" t="s">
        <v>176</v>
      </c>
      <c r="V106" s="6">
        <v>3.8</v>
      </c>
      <c r="W106" s="6">
        <v>85.166399999999996</v>
      </c>
      <c r="X106" s="6">
        <v>835</v>
      </c>
      <c r="Y106" s="6">
        <v>1.8</v>
      </c>
      <c r="Z106" s="6">
        <v>34.572598599999999</v>
      </c>
      <c r="AA106" s="6">
        <v>536.5572727</v>
      </c>
      <c r="AB106" s="6">
        <v>497.00563030000001</v>
      </c>
      <c r="AC106" s="6">
        <v>148.308662532976</v>
      </c>
      <c r="AD106" s="6">
        <v>584.40018399999997</v>
      </c>
      <c r="AE106" s="6">
        <v>0.64977189700000004</v>
      </c>
      <c r="AF106" s="6">
        <v>8.2479402210000003</v>
      </c>
      <c r="AG106" s="6">
        <v>8.8118138380000008</v>
      </c>
      <c r="AH106" s="6">
        <v>5.9325651759999998</v>
      </c>
      <c r="AI106" s="6">
        <v>4.1565159610000002</v>
      </c>
      <c r="AJ106" s="6">
        <v>4.0914242590000001</v>
      </c>
      <c r="AK106" s="6">
        <v>5.9325651759999998</v>
      </c>
      <c r="AL106" s="6">
        <v>0.90493033599999995</v>
      </c>
      <c r="AM106" s="6">
        <v>608.54129399999999</v>
      </c>
      <c r="AN106" s="6">
        <v>371.1326474</v>
      </c>
      <c r="AO106" s="6">
        <v>63.506593180000003</v>
      </c>
      <c r="AP106" s="6">
        <v>385.8891534</v>
      </c>
      <c r="AQ106" s="6">
        <v>0.865113401</v>
      </c>
      <c r="AR106" s="6">
        <v>0.68947961300000005</v>
      </c>
      <c r="AS106" s="6">
        <v>1806.298908</v>
      </c>
      <c r="AT106" s="6">
        <v>0.20081242999999999</v>
      </c>
      <c r="AU106">
        <v>528.97652459999995</v>
      </c>
      <c r="AV106">
        <v>1.3862398499999999</v>
      </c>
    </row>
    <row r="107" spans="1:48" x14ac:dyDescent="0.25">
      <c r="A107" s="6">
        <v>2537</v>
      </c>
      <c r="B107" s="6" t="s">
        <v>22</v>
      </c>
      <c r="C107" s="6">
        <v>2304</v>
      </c>
      <c r="D107" s="6" t="s">
        <v>16</v>
      </c>
      <c r="E107" s="6" t="s">
        <v>23</v>
      </c>
      <c r="F107" s="6" t="s">
        <v>21</v>
      </c>
      <c r="G107" s="6" t="s">
        <v>24</v>
      </c>
      <c r="H107" s="6">
        <v>274</v>
      </c>
      <c r="I107" s="6">
        <v>211</v>
      </c>
      <c r="J107" s="6">
        <v>571</v>
      </c>
      <c r="K107" s="6">
        <v>571</v>
      </c>
      <c r="L107" s="6">
        <v>1.31</v>
      </c>
      <c r="M107" s="6">
        <v>1.314698076</v>
      </c>
      <c r="N107" s="6">
        <v>548.50909090000005</v>
      </c>
      <c r="O107" s="6">
        <v>0.63629999999999998</v>
      </c>
      <c r="P107" s="6">
        <v>1.49</v>
      </c>
      <c r="Q107" s="6">
        <v>187.64</v>
      </c>
      <c r="R107" s="6">
        <v>368</v>
      </c>
      <c r="S107" s="6">
        <v>360</v>
      </c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8" x14ac:dyDescent="0.25">
      <c r="A108" s="6">
        <v>2554</v>
      </c>
      <c r="B108" s="6" t="s">
        <v>25</v>
      </c>
      <c r="C108" s="6">
        <v>2304</v>
      </c>
      <c r="D108" s="6" t="s">
        <v>16</v>
      </c>
      <c r="E108" s="6" t="s">
        <v>23</v>
      </c>
      <c r="F108" s="6" t="s">
        <v>21</v>
      </c>
      <c r="G108" s="6" t="s">
        <v>24</v>
      </c>
      <c r="H108" s="6">
        <v>219</v>
      </c>
      <c r="I108" s="6">
        <v>251</v>
      </c>
      <c r="J108" s="6">
        <v>643</v>
      </c>
      <c r="K108" s="6">
        <v>619</v>
      </c>
      <c r="L108" s="6">
        <v>1.79</v>
      </c>
      <c r="M108" s="6">
        <v>1.682233292</v>
      </c>
      <c r="N108" s="6">
        <v>617.01818179999998</v>
      </c>
      <c r="O108" s="6">
        <v>0.62409999999999999</v>
      </c>
      <c r="P108" s="6">
        <v>1.49</v>
      </c>
      <c r="Q108" s="6">
        <v>177</v>
      </c>
      <c r="R108" s="6">
        <v>386.36363640000002</v>
      </c>
      <c r="S108" s="6">
        <v>392</v>
      </c>
      <c r="T108" s="6">
        <v>5</v>
      </c>
      <c r="U108" s="6" t="s">
        <v>177</v>
      </c>
      <c r="V108" s="6">
        <v>3</v>
      </c>
      <c r="W108" s="6">
        <v>93.618520000000004</v>
      </c>
      <c r="X108" s="6">
        <v>512</v>
      </c>
      <c r="Y108" s="6">
        <v>1.5</v>
      </c>
      <c r="Z108" s="6">
        <v>30.29999003</v>
      </c>
      <c r="AA108" s="6">
        <v>540.74454549999996</v>
      </c>
      <c r="AB108" s="6">
        <v>570.08606910000003</v>
      </c>
      <c r="AC108" s="6">
        <v>189.869177161756</v>
      </c>
      <c r="AD108" s="6">
        <v>517.35116310000001</v>
      </c>
      <c r="AE108" s="6">
        <v>0.79241852099999999</v>
      </c>
      <c r="AF108" s="6">
        <v>10.174893040000001</v>
      </c>
      <c r="AG108" s="6">
        <v>8.9136580139999992</v>
      </c>
      <c r="AH108" s="6">
        <v>8.6569891929999994</v>
      </c>
      <c r="AI108" s="6">
        <v>4.2045556670000002</v>
      </c>
      <c r="AJ108" s="6">
        <v>5.9703373739999996</v>
      </c>
      <c r="AK108" s="6">
        <v>8.6569891929999994</v>
      </c>
      <c r="AL108" s="6">
        <v>1.3880837660000001</v>
      </c>
      <c r="AM108" s="6">
        <v>618.40626559999998</v>
      </c>
      <c r="AN108" s="6">
        <v>325.73699570000002</v>
      </c>
      <c r="AO108" s="6">
        <v>62.962455470000002</v>
      </c>
      <c r="AP108" s="6">
        <v>388.48979800000001</v>
      </c>
      <c r="AQ108" s="6">
        <v>1.327008081</v>
      </c>
      <c r="AR108" s="6">
        <v>0.64841385600000001</v>
      </c>
      <c r="AS108" s="6">
        <v>2228.3015759999998</v>
      </c>
      <c r="AT108" s="6">
        <v>0.16533179100000001</v>
      </c>
      <c r="AU108">
        <v>652.56044729999996</v>
      </c>
      <c r="AV108">
        <v>1.6645020100000001</v>
      </c>
    </row>
    <row r="109" spans="1:48" x14ac:dyDescent="0.25">
      <c r="A109" s="6">
        <v>2557</v>
      </c>
      <c r="B109" s="6" t="s">
        <v>25</v>
      </c>
      <c r="C109" s="6">
        <v>2304</v>
      </c>
      <c r="D109" s="6" t="s">
        <v>16</v>
      </c>
      <c r="E109" s="6" t="s">
        <v>23</v>
      </c>
      <c r="F109" s="6" t="s">
        <v>21</v>
      </c>
      <c r="G109" s="6" t="s">
        <v>24</v>
      </c>
      <c r="H109" s="6">
        <v>219</v>
      </c>
      <c r="I109" s="6">
        <v>238</v>
      </c>
      <c r="J109" s="6">
        <v>639</v>
      </c>
      <c r="K109" s="6">
        <v>597</v>
      </c>
      <c r="L109" s="6">
        <v>1.83</v>
      </c>
      <c r="M109" s="6">
        <v>1.6376089659999999</v>
      </c>
      <c r="N109" s="6">
        <v>613.52727270000003</v>
      </c>
      <c r="O109" s="6">
        <v>0.62380000000000002</v>
      </c>
      <c r="P109" s="6">
        <v>1.49</v>
      </c>
      <c r="Q109" s="6">
        <v>177</v>
      </c>
      <c r="R109" s="6">
        <v>372.27272729999999</v>
      </c>
      <c r="S109" s="6">
        <v>401</v>
      </c>
      <c r="T109" s="6">
        <v>5</v>
      </c>
      <c r="U109" s="6" t="s">
        <v>177</v>
      </c>
      <c r="V109" s="6">
        <v>3</v>
      </c>
      <c r="W109" s="6">
        <v>85.037360000000007</v>
      </c>
      <c r="X109" s="6">
        <v>472</v>
      </c>
      <c r="Y109" s="6">
        <v>1.2</v>
      </c>
      <c r="Z109" s="6">
        <v>28.940780449999998</v>
      </c>
      <c r="AA109" s="6">
        <v>522.20090909999999</v>
      </c>
      <c r="AB109" s="6">
        <v>571.02736240000002</v>
      </c>
      <c r="AC109" s="6">
        <v>203.25092929504299</v>
      </c>
      <c r="AD109" s="6">
        <v>513.5761536</v>
      </c>
      <c r="AE109" s="6">
        <v>0.79945793399999998</v>
      </c>
      <c r="AF109" s="6">
        <v>10.221691870000001</v>
      </c>
      <c r="AG109" s="6">
        <v>8.8758080419999992</v>
      </c>
      <c r="AH109" s="6">
        <v>8.7507354450000001</v>
      </c>
      <c r="AI109" s="6">
        <v>4.1867019059999997</v>
      </c>
      <c r="AJ109" s="6">
        <v>6.034989962</v>
      </c>
      <c r="AK109" s="6">
        <v>8.7507354450000001</v>
      </c>
      <c r="AL109" s="6">
        <v>1.4088164359999999</v>
      </c>
      <c r="AM109" s="6">
        <v>614.93608919999997</v>
      </c>
      <c r="AN109" s="6">
        <v>323.18111920000001</v>
      </c>
      <c r="AO109" s="6">
        <v>62.927594460000002</v>
      </c>
      <c r="AP109" s="6">
        <v>386.0779541</v>
      </c>
      <c r="AQ109" s="6">
        <v>1.3468285120000001</v>
      </c>
      <c r="AR109" s="6">
        <v>0.645166672</v>
      </c>
      <c r="AS109" s="6">
        <v>2238.5505189999999</v>
      </c>
      <c r="AT109" s="6">
        <v>0.160209189</v>
      </c>
      <c r="AU109">
        <v>655.56186100000002</v>
      </c>
      <c r="AV109">
        <v>1.6351883149999999</v>
      </c>
    </row>
    <row r="110" spans="1:48" x14ac:dyDescent="0.25">
      <c r="A110" s="6">
        <v>2581</v>
      </c>
      <c r="B110" s="6" t="s">
        <v>22</v>
      </c>
      <c r="C110" s="6">
        <v>2304</v>
      </c>
      <c r="D110" s="6" t="s">
        <v>16</v>
      </c>
      <c r="E110" s="6" t="s">
        <v>23</v>
      </c>
      <c r="F110" s="6" t="s">
        <v>21</v>
      </c>
      <c r="G110" s="6" t="s">
        <v>24</v>
      </c>
      <c r="H110" s="6">
        <v>219</v>
      </c>
      <c r="I110" s="6">
        <v>251</v>
      </c>
      <c r="J110" s="6">
        <v>657</v>
      </c>
      <c r="K110" s="6">
        <v>630</v>
      </c>
      <c r="L110" s="6">
        <v>1.85</v>
      </c>
      <c r="M110" s="6">
        <v>1.7310087169999999</v>
      </c>
      <c r="N110" s="6">
        <v>630.32727269999998</v>
      </c>
      <c r="O110" s="6">
        <v>0.62409999999999999</v>
      </c>
      <c r="P110" s="6">
        <v>1.49</v>
      </c>
      <c r="Q110" s="6">
        <v>177</v>
      </c>
      <c r="R110" s="6">
        <v>393.18181820000001</v>
      </c>
      <c r="S110" s="6">
        <v>406</v>
      </c>
      <c r="T110" s="6">
        <v>7</v>
      </c>
      <c r="U110" s="6" t="s">
        <v>179</v>
      </c>
      <c r="V110" s="6">
        <v>4.0999999999999996</v>
      </c>
      <c r="W110" s="6">
        <v>82.908199999999994</v>
      </c>
      <c r="X110" s="6">
        <v>659</v>
      </c>
      <c r="Y110" s="6">
        <v>1.9</v>
      </c>
      <c r="Z110" s="6">
        <v>34.576699699999999</v>
      </c>
      <c r="AA110" s="6">
        <v>549.71727269999997</v>
      </c>
      <c r="AB110" s="6">
        <v>511.70991579999998</v>
      </c>
      <c r="AC110" s="6">
        <v>150.66407364419101</v>
      </c>
      <c r="AD110" s="6">
        <v>588.80320089999998</v>
      </c>
      <c r="AE110" s="6">
        <v>0.63923730700000003</v>
      </c>
      <c r="AF110" s="6">
        <v>8.3404301660000009</v>
      </c>
      <c r="AG110" s="6">
        <v>9.0574734620000008</v>
      </c>
      <c r="AH110" s="6">
        <v>5.8986536850000002</v>
      </c>
      <c r="AI110" s="6">
        <v>4.2723931420000003</v>
      </c>
      <c r="AJ110" s="6">
        <v>4.0680370239999997</v>
      </c>
      <c r="AK110" s="6">
        <v>5.8986536850000002</v>
      </c>
      <c r="AL110" s="6">
        <v>0.89560574900000001</v>
      </c>
      <c r="AM110" s="6">
        <v>631.22287849999998</v>
      </c>
      <c r="AN110" s="6">
        <v>374.11371739999998</v>
      </c>
      <c r="AO110" s="6">
        <v>63.53798973</v>
      </c>
      <c r="AP110" s="6">
        <v>400.49727780000001</v>
      </c>
      <c r="AQ110" s="6">
        <v>0.85619909599999999</v>
      </c>
      <c r="AR110" s="6">
        <v>0.69338982599999999</v>
      </c>
      <c r="AS110" s="6">
        <v>1826.554206</v>
      </c>
      <c r="AT110" s="6">
        <v>0.20754429699999999</v>
      </c>
      <c r="AU110">
        <v>534.90830989999995</v>
      </c>
      <c r="AV110">
        <v>1.318541492</v>
      </c>
    </row>
    <row r="111" spans="1:48" x14ac:dyDescent="0.25">
      <c r="A111" s="6">
        <v>2670</v>
      </c>
      <c r="B111" s="6" t="s">
        <v>36</v>
      </c>
      <c r="C111" s="6">
        <v>2304</v>
      </c>
      <c r="D111" s="6" t="s">
        <v>16</v>
      </c>
      <c r="E111" s="6" t="s">
        <v>23</v>
      </c>
      <c r="F111" s="6" t="s">
        <v>21</v>
      </c>
      <c r="G111" s="6" t="s">
        <v>24</v>
      </c>
      <c r="H111" s="6">
        <v>219</v>
      </c>
      <c r="I111" s="6">
        <v>228</v>
      </c>
      <c r="J111" s="6">
        <v>659</v>
      </c>
      <c r="K111" s="6">
        <v>630</v>
      </c>
      <c r="L111" s="6">
        <v>1.97</v>
      </c>
      <c r="M111" s="6">
        <v>1.8347862180000001</v>
      </c>
      <c r="N111" s="6">
        <v>632.29090910000002</v>
      </c>
      <c r="O111" s="6">
        <v>0.62380000000000002</v>
      </c>
      <c r="P111" s="6">
        <v>1.49</v>
      </c>
      <c r="Q111" s="6">
        <v>177</v>
      </c>
      <c r="R111" s="6">
        <v>392.72727270000001</v>
      </c>
      <c r="S111" s="6">
        <v>431</v>
      </c>
      <c r="T111" s="6">
        <v>4</v>
      </c>
      <c r="U111" s="6" t="s">
        <v>175</v>
      </c>
      <c r="V111" s="6">
        <v>3.2</v>
      </c>
      <c r="W111" s="6">
        <v>83.876000000000005</v>
      </c>
      <c r="X111" s="6">
        <v>449</v>
      </c>
      <c r="Y111" s="6">
        <v>1.2</v>
      </c>
      <c r="Z111" s="6">
        <v>28.83632575</v>
      </c>
      <c r="AA111" s="6">
        <v>549.11909089999995</v>
      </c>
      <c r="AB111" s="6">
        <v>602.91030950000004</v>
      </c>
      <c r="AC111" s="6">
        <v>204.48324334443399</v>
      </c>
      <c r="AD111" s="6">
        <v>501.29355859999998</v>
      </c>
      <c r="AE111" s="6">
        <v>0.82163006500000002</v>
      </c>
      <c r="AF111" s="6">
        <v>10.74523181</v>
      </c>
      <c r="AG111" s="6">
        <v>9.0786275530000005</v>
      </c>
      <c r="AH111" s="6">
        <v>9.3711474680000002</v>
      </c>
      <c r="AI111" s="6">
        <v>4.2823714869999998</v>
      </c>
      <c r="AJ111" s="6">
        <v>6.4628603230000001</v>
      </c>
      <c r="AK111" s="6">
        <v>9.3711474680000002</v>
      </c>
      <c r="AL111" s="6">
        <v>1.524615869</v>
      </c>
      <c r="AM111" s="6">
        <v>633.81552499999998</v>
      </c>
      <c r="AN111" s="6">
        <v>314.86516769999997</v>
      </c>
      <c r="AO111" s="6">
        <v>62.81053533</v>
      </c>
      <c r="AP111" s="6">
        <v>397.14530480000002</v>
      </c>
      <c r="AQ111" s="6">
        <v>1.4575327709999999</v>
      </c>
      <c r="AR111" s="6">
        <v>0.63682348</v>
      </c>
      <c r="AS111" s="6">
        <v>2353.205766</v>
      </c>
      <c r="AT111" s="6">
        <v>0.17075352599999999</v>
      </c>
      <c r="AU111">
        <v>689.13877009999999</v>
      </c>
      <c r="AV111">
        <v>1.599267188</v>
      </c>
    </row>
    <row r="112" spans="1:48" x14ac:dyDescent="0.25">
      <c r="A112" s="6">
        <v>3009</v>
      </c>
      <c r="B112" s="6" t="s">
        <v>17</v>
      </c>
      <c r="C112" s="6">
        <v>2311</v>
      </c>
      <c r="D112" s="6" t="s">
        <v>37</v>
      </c>
      <c r="E112" s="6" t="s">
        <v>14</v>
      </c>
      <c r="F112" s="6" t="s">
        <v>15</v>
      </c>
      <c r="G112" s="6" t="s">
        <v>15</v>
      </c>
      <c r="H112" s="6">
        <v>181</v>
      </c>
      <c r="I112" s="6">
        <v>318</v>
      </c>
      <c r="J112" s="6">
        <v>669</v>
      </c>
      <c r="K112" s="6">
        <v>669</v>
      </c>
      <c r="L112" s="6">
        <v>1.94</v>
      </c>
      <c r="M112" s="6">
        <v>1.9399799099999999</v>
      </c>
      <c r="N112" s="6">
        <v>642.54545450000001</v>
      </c>
      <c r="O112" s="6">
        <v>0.63549999999999995</v>
      </c>
      <c r="P112" s="6">
        <v>0.98899999999999999</v>
      </c>
      <c r="Q112" s="6">
        <v>186.9</v>
      </c>
      <c r="R112" s="6">
        <v>408.18181820000001</v>
      </c>
      <c r="S112" s="6">
        <v>351</v>
      </c>
      <c r="T112" s="6">
        <v>6</v>
      </c>
      <c r="U112" s="6" t="s">
        <v>178</v>
      </c>
      <c r="V112" s="6">
        <v>3</v>
      </c>
      <c r="W112" s="6">
        <v>94.193359999999998</v>
      </c>
      <c r="X112" s="6">
        <v>613</v>
      </c>
      <c r="Y112" s="6">
        <v>1.4</v>
      </c>
      <c r="Z112" s="6">
        <v>30.909538640000001</v>
      </c>
      <c r="AA112" s="6">
        <v>569.45727269999998</v>
      </c>
      <c r="AB112" s="6">
        <v>592.55583809999996</v>
      </c>
      <c r="AC112" s="6">
        <v>141.431371828235</v>
      </c>
      <c r="AD112" s="6">
        <v>518.32537549999995</v>
      </c>
      <c r="AE112" s="6">
        <v>0.79058470300000006</v>
      </c>
      <c r="AF112" s="6">
        <v>10.464730830000001</v>
      </c>
      <c r="AG112" s="6">
        <v>9.1888336249999991</v>
      </c>
      <c r="AH112" s="6">
        <v>8.8890442570000001</v>
      </c>
      <c r="AI112" s="6">
        <v>4.3343554839999996</v>
      </c>
      <c r="AJ112" s="6">
        <v>6.1303753499999996</v>
      </c>
      <c r="AK112" s="6">
        <v>8.8890442570000001</v>
      </c>
      <c r="AL112" s="6">
        <v>1.420135229</v>
      </c>
      <c r="AM112" s="6">
        <v>643.96558979999998</v>
      </c>
      <c r="AN112" s="6">
        <v>326.39658780000002</v>
      </c>
      <c r="AO112" s="6">
        <v>62.971369580000001</v>
      </c>
      <c r="AP112" s="6">
        <v>404.61967290000001</v>
      </c>
      <c r="AQ112" s="6">
        <v>1.3576492790000001</v>
      </c>
      <c r="AR112" s="6">
        <v>0.65132760599999995</v>
      </c>
      <c r="AS112" s="6">
        <v>1894.1162810000001</v>
      </c>
      <c r="AT112" s="6">
        <v>0.18538268599999999</v>
      </c>
      <c r="AU112">
        <v>523.3335889</v>
      </c>
      <c r="AV112">
        <v>1.4903998650000001</v>
      </c>
    </row>
    <row r="113" spans="1:48" x14ac:dyDescent="0.25">
      <c r="A113" s="6">
        <v>3012</v>
      </c>
      <c r="B113" s="6" t="s">
        <v>45</v>
      </c>
      <c r="C113" s="6">
        <v>2311</v>
      </c>
      <c r="D113" s="6" t="s">
        <v>37</v>
      </c>
      <c r="E113" s="6" t="s">
        <v>14</v>
      </c>
      <c r="F113" s="6" t="s">
        <v>15</v>
      </c>
      <c r="G113" s="6" t="s">
        <v>15</v>
      </c>
      <c r="H113" s="6">
        <v>181</v>
      </c>
      <c r="I113" s="6">
        <v>292</v>
      </c>
      <c r="J113" s="6">
        <v>646</v>
      </c>
      <c r="K113" s="6">
        <v>646</v>
      </c>
      <c r="L113" s="6">
        <v>1.96</v>
      </c>
      <c r="M113" s="6">
        <v>1.957559016</v>
      </c>
      <c r="N113" s="6">
        <v>620.29090910000002</v>
      </c>
      <c r="O113" s="6">
        <v>0.63600000000000001</v>
      </c>
      <c r="P113" s="6">
        <v>0.98899999999999999</v>
      </c>
      <c r="Q113" s="6">
        <v>186.9</v>
      </c>
      <c r="R113" s="6">
        <v>393.18181820000001</v>
      </c>
      <c r="S113" s="6">
        <v>354</v>
      </c>
      <c r="T113" s="6">
        <v>6</v>
      </c>
      <c r="U113" s="6" t="s">
        <v>178</v>
      </c>
      <c r="V113" s="6">
        <v>5.2</v>
      </c>
      <c r="W113" s="6">
        <v>70.709536</v>
      </c>
      <c r="X113" s="6">
        <v>643</v>
      </c>
      <c r="Y113" s="6">
        <v>2.4</v>
      </c>
      <c r="Z113" s="6">
        <v>36.72239269</v>
      </c>
      <c r="AA113" s="6">
        <v>549.71727269999997</v>
      </c>
      <c r="AB113" s="6">
        <v>477.36919519999998</v>
      </c>
      <c r="AC113" s="6">
        <v>94.786932035743007</v>
      </c>
      <c r="AD113" s="6">
        <v>621.11057340000002</v>
      </c>
      <c r="AE113" s="6">
        <v>0.55753906600000003</v>
      </c>
      <c r="AF113" s="6">
        <v>7.1874300160000004</v>
      </c>
      <c r="AG113" s="6">
        <v>8.9490937679999991</v>
      </c>
      <c r="AH113" s="6">
        <v>4.3009310879999996</v>
      </c>
      <c r="AI113" s="6">
        <v>4.2212706449999997</v>
      </c>
      <c r="AJ113" s="6">
        <v>2.9661593709999998</v>
      </c>
      <c r="AK113" s="6">
        <v>4.3009310879999996</v>
      </c>
      <c r="AL113" s="6">
        <v>0.64743041599999995</v>
      </c>
      <c r="AM113" s="6">
        <v>620.93833949999998</v>
      </c>
      <c r="AN113" s="6">
        <v>395.98747789999999</v>
      </c>
      <c r="AO113" s="6">
        <v>63.754747520000002</v>
      </c>
      <c r="AP113" s="6">
        <v>395.46490299999999</v>
      </c>
      <c r="AQ113" s="6">
        <v>0.61894347699999996</v>
      </c>
      <c r="AR113" s="6">
        <v>0.70070570899999995</v>
      </c>
      <c r="AS113" s="6">
        <v>1300.924833</v>
      </c>
      <c r="AT113" s="6">
        <v>0.27235868899999999</v>
      </c>
      <c r="AU113">
        <v>359.43815519999998</v>
      </c>
      <c r="AV113">
        <v>1.014450214</v>
      </c>
    </row>
    <row r="114" spans="1:48" x14ac:dyDescent="0.25">
      <c r="A114" s="6">
        <v>3013</v>
      </c>
      <c r="B114" s="6" t="s">
        <v>13</v>
      </c>
      <c r="C114" s="6">
        <v>2311</v>
      </c>
      <c r="D114" s="6" t="s">
        <v>37</v>
      </c>
      <c r="E114" s="6" t="s">
        <v>14</v>
      </c>
      <c r="F114" s="6" t="s">
        <v>15</v>
      </c>
      <c r="G114" s="6" t="s">
        <v>15</v>
      </c>
      <c r="H114" s="6">
        <v>181</v>
      </c>
      <c r="I114" s="6">
        <v>329</v>
      </c>
      <c r="J114" s="6">
        <v>719</v>
      </c>
      <c r="K114" s="6">
        <v>719</v>
      </c>
      <c r="L114" s="6">
        <v>2.15</v>
      </c>
      <c r="M114" s="6">
        <v>2.1534404820000002</v>
      </c>
      <c r="N114" s="6">
        <v>690.10909089999996</v>
      </c>
      <c r="O114" s="6">
        <v>0.63570000000000004</v>
      </c>
      <c r="P114" s="6">
        <v>0.98899999999999999</v>
      </c>
      <c r="Q114" s="6">
        <v>186.9</v>
      </c>
      <c r="R114" s="6">
        <v>448.18181820000001</v>
      </c>
      <c r="S114" s="6">
        <v>390</v>
      </c>
      <c r="T114" s="6">
        <v>4</v>
      </c>
      <c r="U114" s="6" t="s">
        <v>175</v>
      </c>
      <c r="V114" s="6">
        <v>3.2</v>
      </c>
      <c r="W114" s="6">
        <v>103.354632</v>
      </c>
      <c r="X114" s="6">
        <v>446</v>
      </c>
      <c r="Y114" s="6">
        <v>1.7</v>
      </c>
      <c r="Z114" s="6">
        <v>30.739675070000001</v>
      </c>
      <c r="AA114" s="6">
        <v>622.09727269999996</v>
      </c>
      <c r="AB114" s="6">
        <v>654.35410339999999</v>
      </c>
      <c r="AC114" s="6">
        <v>151.043503196107</v>
      </c>
      <c r="AD114" s="6">
        <v>504.1187084</v>
      </c>
      <c r="AE114" s="6">
        <v>0.81662932499999996</v>
      </c>
      <c r="AF114" s="6">
        <v>11.4042058</v>
      </c>
      <c r="AG114" s="6">
        <v>9.6943971569999992</v>
      </c>
      <c r="AH114" s="6">
        <v>9.9054965829999997</v>
      </c>
      <c r="AI114" s="6">
        <v>4.5728288480000003</v>
      </c>
      <c r="AJ114" s="6">
        <v>6.8313769539999996</v>
      </c>
      <c r="AK114" s="6">
        <v>9.9054965829999997</v>
      </c>
      <c r="AL114" s="6">
        <v>1.5975197510000001</v>
      </c>
      <c r="AM114" s="6">
        <v>691.70661070000006</v>
      </c>
      <c r="AN114" s="6">
        <v>316.77794010000002</v>
      </c>
      <c r="AO114" s="6">
        <v>62.837965509999997</v>
      </c>
      <c r="AP114" s="6">
        <v>433.65051249999999</v>
      </c>
      <c r="AQ114" s="6">
        <v>1.527228882</v>
      </c>
      <c r="AR114" s="6">
        <v>0.64376914500000004</v>
      </c>
      <c r="AS114" s="6">
        <v>2064.1612500000001</v>
      </c>
      <c r="AT114" s="6">
        <v>0.188828623</v>
      </c>
      <c r="AU114">
        <v>570.31604979999997</v>
      </c>
      <c r="AV114">
        <v>1.4632015270000001</v>
      </c>
    </row>
    <row r="115" spans="1:48" x14ac:dyDescent="0.25">
      <c r="A115" s="6">
        <v>3016</v>
      </c>
      <c r="B115" s="6" t="s">
        <v>18</v>
      </c>
      <c r="C115" s="6">
        <v>2311</v>
      </c>
      <c r="D115" s="6" t="s">
        <v>37</v>
      </c>
      <c r="E115" s="6" t="s">
        <v>14</v>
      </c>
      <c r="F115" s="6" t="s">
        <v>15</v>
      </c>
      <c r="G115" s="6" t="s">
        <v>15</v>
      </c>
      <c r="H115" s="6">
        <v>181</v>
      </c>
      <c r="I115" s="6">
        <v>316</v>
      </c>
      <c r="J115" s="6">
        <v>688</v>
      </c>
      <c r="K115" s="6">
        <v>688</v>
      </c>
      <c r="L115" s="6">
        <v>2.0499999999999998</v>
      </c>
      <c r="M115" s="6">
        <v>2.0542440979999999</v>
      </c>
      <c r="N115" s="6">
        <v>660.65454550000004</v>
      </c>
      <c r="O115" s="6">
        <v>0.63560000000000005</v>
      </c>
      <c r="P115" s="6">
        <v>0.98899999999999999</v>
      </c>
      <c r="Q115" s="6">
        <v>186.9</v>
      </c>
      <c r="R115" s="6">
        <v>425</v>
      </c>
      <c r="S115" s="6">
        <v>372</v>
      </c>
      <c r="T115" s="6">
        <v>6</v>
      </c>
      <c r="U115" s="6" t="s">
        <v>178</v>
      </c>
      <c r="V115" s="6">
        <v>3.7</v>
      </c>
      <c r="W115" s="6">
        <v>94.451424000000003</v>
      </c>
      <c r="X115" s="6">
        <v>621</v>
      </c>
      <c r="Y115" s="6">
        <v>1.9</v>
      </c>
      <c r="Z115" s="6">
        <v>33.597383989999997</v>
      </c>
      <c r="AA115" s="6">
        <v>591.59</v>
      </c>
      <c r="AB115" s="6">
        <v>574.37856820000002</v>
      </c>
      <c r="AC115" s="6">
        <v>125.600911817701</v>
      </c>
      <c r="AD115" s="6">
        <v>549.79919199999995</v>
      </c>
      <c r="AE115" s="6">
        <v>0.72755076399999996</v>
      </c>
      <c r="AF115" s="6">
        <v>9.8332229299999998</v>
      </c>
      <c r="AG115" s="6">
        <v>9.382386447</v>
      </c>
      <c r="AH115" s="6">
        <v>7.8409749709999996</v>
      </c>
      <c r="AI115" s="6">
        <v>4.4256539850000003</v>
      </c>
      <c r="AJ115" s="6">
        <v>5.4075689450000004</v>
      </c>
      <c r="AK115" s="6">
        <v>7.8409749709999996</v>
      </c>
      <c r="AL115" s="6">
        <v>1.2166266969999999</v>
      </c>
      <c r="AM115" s="6">
        <v>661.87117220000005</v>
      </c>
      <c r="AN115" s="6">
        <v>347.70598790000003</v>
      </c>
      <c r="AO115" s="6">
        <v>63.242360660000003</v>
      </c>
      <c r="AP115" s="6">
        <v>417.81353030000002</v>
      </c>
      <c r="AQ115" s="6">
        <v>1.163095123</v>
      </c>
      <c r="AR115" s="6">
        <v>0.67520124299999995</v>
      </c>
      <c r="AS115" s="6">
        <v>1779.8133499999999</v>
      </c>
      <c r="AT115" s="6">
        <v>0.20890852500000001</v>
      </c>
      <c r="AU115">
        <v>491.75233730000002</v>
      </c>
      <c r="AV115">
        <v>1.3225612980000001</v>
      </c>
    </row>
    <row r="116" spans="1:48" x14ac:dyDescent="0.25">
      <c r="A116" s="6">
        <v>3018</v>
      </c>
      <c r="B116" s="6" t="s">
        <v>18</v>
      </c>
      <c r="C116" s="6">
        <v>2311</v>
      </c>
      <c r="D116" s="6" t="s">
        <v>37</v>
      </c>
      <c r="E116" s="6" t="s">
        <v>14</v>
      </c>
      <c r="F116" s="6" t="s">
        <v>15</v>
      </c>
      <c r="G116" s="6" t="s">
        <v>15</v>
      </c>
      <c r="H116" s="6">
        <v>181</v>
      </c>
      <c r="I116" s="6">
        <v>295</v>
      </c>
      <c r="J116" s="6">
        <v>639</v>
      </c>
      <c r="K116" s="6">
        <v>639</v>
      </c>
      <c r="L116" s="6">
        <v>1.9</v>
      </c>
      <c r="M116" s="6">
        <v>1.901054746</v>
      </c>
      <c r="N116" s="6">
        <v>613.09090909999998</v>
      </c>
      <c r="O116" s="6">
        <v>0.63539999999999996</v>
      </c>
      <c r="P116" s="6">
        <v>0.98899999999999999</v>
      </c>
      <c r="Q116" s="6">
        <v>186.9</v>
      </c>
      <c r="R116" s="6">
        <v>388.18181820000001</v>
      </c>
      <c r="S116" s="6">
        <v>344</v>
      </c>
      <c r="T116" s="6">
        <v>5</v>
      </c>
      <c r="U116" s="6" t="s">
        <v>177</v>
      </c>
      <c r="V116" s="6">
        <v>3.7</v>
      </c>
      <c r="W116" s="6">
        <v>84.386927999999997</v>
      </c>
      <c r="X116" s="6">
        <v>493</v>
      </c>
      <c r="Y116" s="6">
        <v>1.8</v>
      </c>
      <c r="Z116" s="6">
        <v>32.029028009999998</v>
      </c>
      <c r="AA116" s="6">
        <v>543.13727270000004</v>
      </c>
      <c r="AB116" s="6">
        <v>545.09913959999994</v>
      </c>
      <c r="AC116" s="6">
        <v>131.79719600481801</v>
      </c>
      <c r="AD116" s="6">
        <v>537.62230260000001</v>
      </c>
      <c r="AE116" s="6">
        <v>0.752809697</v>
      </c>
      <c r="AF116" s="6">
        <v>9.6201230120000005</v>
      </c>
      <c r="AG116" s="6">
        <v>8.8710730140000003</v>
      </c>
      <c r="AH116" s="6">
        <v>7.8816991830000003</v>
      </c>
      <c r="AI116" s="6">
        <v>4.1844684030000003</v>
      </c>
      <c r="AJ116" s="6">
        <v>5.4356546090000002</v>
      </c>
      <c r="AK116" s="6">
        <v>7.8816991830000003</v>
      </c>
      <c r="AL116" s="6">
        <v>1.2412477550000001</v>
      </c>
      <c r="AM116" s="6">
        <v>614.33215680000001</v>
      </c>
      <c r="AN116" s="6">
        <v>339.46160459999999</v>
      </c>
      <c r="AO116" s="6">
        <v>63.141280209999998</v>
      </c>
      <c r="AP116" s="6">
        <v>387.11344889999998</v>
      </c>
      <c r="AQ116" s="6">
        <v>1.186632854</v>
      </c>
      <c r="AR116" s="6">
        <v>0.66297468299999995</v>
      </c>
      <c r="AS116" s="6">
        <v>1741.2422650000001</v>
      </c>
      <c r="AT116" s="6">
        <v>0.19761231200000001</v>
      </c>
      <c r="AU116">
        <v>481.0953652</v>
      </c>
      <c r="AV116">
        <v>1.3981635450000001</v>
      </c>
    </row>
    <row r="117" spans="1:48" x14ac:dyDescent="0.25">
      <c r="A117" s="6">
        <v>3019</v>
      </c>
      <c r="B117" s="6" t="s">
        <v>45</v>
      </c>
      <c r="C117" s="6">
        <v>2311</v>
      </c>
      <c r="D117" s="6" t="s">
        <v>37</v>
      </c>
      <c r="E117" s="6" t="s">
        <v>14</v>
      </c>
      <c r="F117" s="6" t="s">
        <v>15</v>
      </c>
      <c r="G117" s="6" t="s">
        <v>15</v>
      </c>
      <c r="H117" s="6">
        <v>181</v>
      </c>
      <c r="I117" s="6">
        <v>280</v>
      </c>
      <c r="J117" s="6">
        <v>683</v>
      </c>
      <c r="K117" s="6">
        <v>683</v>
      </c>
      <c r="L117" s="6">
        <v>2.23</v>
      </c>
      <c r="M117" s="6">
        <v>2.227523857</v>
      </c>
      <c r="N117" s="6">
        <v>655.85454549999997</v>
      </c>
      <c r="O117" s="6">
        <v>0.63580000000000003</v>
      </c>
      <c r="P117" s="6">
        <v>0.98899999999999999</v>
      </c>
      <c r="Q117" s="6">
        <v>186.9</v>
      </c>
      <c r="R117" s="6">
        <v>415</v>
      </c>
      <c r="S117" s="6">
        <v>403</v>
      </c>
      <c r="T117" s="6">
        <v>6</v>
      </c>
      <c r="U117" s="6" t="s">
        <v>178</v>
      </c>
      <c r="V117" s="6">
        <v>4.0999999999999996</v>
      </c>
      <c r="W117" s="6">
        <v>83.870800000000003</v>
      </c>
      <c r="X117" s="6">
        <v>646</v>
      </c>
      <c r="Y117" s="6">
        <v>1.9</v>
      </c>
      <c r="Z117" s="6">
        <v>33.998591269999999</v>
      </c>
      <c r="AA117" s="6">
        <v>578.42999999999995</v>
      </c>
      <c r="AB117" s="6">
        <v>553.18752919999997</v>
      </c>
      <c r="AC117" s="6">
        <v>122.641797213011</v>
      </c>
      <c r="AD117" s="6">
        <v>566.71283459999995</v>
      </c>
      <c r="AE117" s="6">
        <v>0.69064080500000002</v>
      </c>
      <c r="AF117" s="6">
        <v>9.2834552269999993</v>
      </c>
      <c r="AG117" s="6">
        <v>9.331213924</v>
      </c>
      <c r="AH117" s="6">
        <v>7.0788118759999996</v>
      </c>
      <c r="AI117" s="6">
        <v>4.4015160020000001</v>
      </c>
      <c r="AJ117" s="6">
        <v>4.881939225</v>
      </c>
      <c r="AK117" s="6">
        <v>7.0788118759999996</v>
      </c>
      <c r="AL117" s="6">
        <v>1.085617131</v>
      </c>
      <c r="AM117" s="6">
        <v>656.94016260000001</v>
      </c>
      <c r="AN117" s="6">
        <v>359.15739789999998</v>
      </c>
      <c r="AO117" s="6">
        <v>63.375553889999999</v>
      </c>
      <c r="AP117" s="6">
        <v>415.65145089999999</v>
      </c>
      <c r="AQ117" s="6">
        <v>1.037849977</v>
      </c>
      <c r="AR117" s="6">
        <v>0.68494000099999997</v>
      </c>
      <c r="AS117" s="6">
        <v>1680.305396</v>
      </c>
      <c r="AT117" s="6">
        <v>0.239945559</v>
      </c>
      <c r="AU117">
        <v>464.25885369999997</v>
      </c>
      <c r="AV117">
        <v>1.1514875739999999</v>
      </c>
    </row>
    <row r="118" spans="1:48" x14ac:dyDescent="0.25">
      <c r="A118" s="6">
        <v>3030</v>
      </c>
      <c r="B118" s="6" t="s">
        <v>66</v>
      </c>
      <c r="C118" s="6">
        <v>2311</v>
      </c>
      <c r="D118" s="6" t="s">
        <v>37</v>
      </c>
      <c r="E118" s="6" t="s">
        <v>14</v>
      </c>
      <c r="F118" s="6" t="s">
        <v>15</v>
      </c>
      <c r="G118" s="6" t="s">
        <v>15</v>
      </c>
      <c r="H118" s="6">
        <v>213</v>
      </c>
      <c r="I118" s="6">
        <v>225</v>
      </c>
      <c r="J118" s="6">
        <v>586</v>
      </c>
      <c r="K118" s="6">
        <v>586</v>
      </c>
      <c r="L118" s="6">
        <v>1.7</v>
      </c>
      <c r="M118" s="6">
        <v>1.6986769100000001</v>
      </c>
      <c r="N118" s="6">
        <v>562.90909090000002</v>
      </c>
      <c r="O118" s="6">
        <v>0.63480000000000003</v>
      </c>
      <c r="P118" s="6">
        <v>0.98899999999999999</v>
      </c>
      <c r="Q118" s="6">
        <v>186.9</v>
      </c>
      <c r="R118" s="6">
        <v>338.18181820000001</v>
      </c>
      <c r="S118" s="6">
        <v>362</v>
      </c>
      <c r="T118" s="6">
        <v>4</v>
      </c>
      <c r="U118" s="6" t="s">
        <v>175</v>
      </c>
      <c r="V118" s="6">
        <v>3.3</v>
      </c>
      <c r="W118" s="6">
        <v>84.709508</v>
      </c>
      <c r="X118" s="6">
        <v>442</v>
      </c>
      <c r="Y118" s="6">
        <v>1.7</v>
      </c>
      <c r="Z118" s="6">
        <v>29.978374819999999</v>
      </c>
      <c r="AA118" s="6">
        <v>477.33727270000003</v>
      </c>
      <c r="AB118" s="6">
        <v>504.06918949999999</v>
      </c>
      <c r="AC118" s="6">
        <v>164.553796725258</v>
      </c>
      <c r="AD118" s="6">
        <v>533.79684989999998</v>
      </c>
      <c r="AE118" s="6">
        <v>0.76051785000000005</v>
      </c>
      <c r="AF118" s="6">
        <v>9.1156968169999999</v>
      </c>
      <c r="AG118" s="6">
        <v>8.3207254699999993</v>
      </c>
      <c r="AH118" s="6">
        <v>7.5266981529999999</v>
      </c>
      <c r="AI118" s="6">
        <v>3.9248705039999998</v>
      </c>
      <c r="AJ118" s="6">
        <v>5.1908263129999996</v>
      </c>
      <c r="AK118" s="6">
        <v>7.5266981529999999</v>
      </c>
      <c r="AL118" s="6">
        <v>1.196004507</v>
      </c>
      <c r="AM118" s="6">
        <v>564.10509539999998</v>
      </c>
      <c r="AN118" s="6">
        <v>336.87157539999998</v>
      </c>
      <c r="AO118" s="6">
        <v>63.108573139999997</v>
      </c>
      <c r="AP118" s="6">
        <v>355.24389530000002</v>
      </c>
      <c r="AQ118" s="6">
        <v>1.1433803090000001</v>
      </c>
      <c r="AR118" s="6">
        <v>0.65569023699999995</v>
      </c>
      <c r="AS118" s="6">
        <v>1941.6434220000001</v>
      </c>
      <c r="AT118" s="6">
        <v>0.18634635899999999</v>
      </c>
      <c r="AU118">
        <v>536.4650686</v>
      </c>
      <c r="AV118">
        <v>1.482692401</v>
      </c>
    </row>
    <row r="119" spans="1:48" x14ac:dyDescent="0.25">
      <c r="A119" s="6">
        <v>3034</v>
      </c>
      <c r="B119" s="6" t="s">
        <v>66</v>
      </c>
      <c r="C119" s="6">
        <v>2311</v>
      </c>
      <c r="D119" s="6" t="s">
        <v>37</v>
      </c>
      <c r="E119" s="6" t="s">
        <v>14</v>
      </c>
      <c r="F119" s="6" t="s">
        <v>15</v>
      </c>
      <c r="G119" s="6" t="s">
        <v>15</v>
      </c>
      <c r="H119" s="6">
        <v>213</v>
      </c>
      <c r="I119" s="6">
        <v>202</v>
      </c>
      <c r="J119" s="6">
        <v>660</v>
      </c>
      <c r="K119" s="6">
        <v>660</v>
      </c>
      <c r="L119" s="6">
        <v>2.15</v>
      </c>
      <c r="M119" s="6">
        <v>2.151088348</v>
      </c>
      <c r="N119" s="6">
        <v>633.6</v>
      </c>
      <c r="O119" s="6">
        <v>0.63560000000000005</v>
      </c>
      <c r="P119" s="6">
        <v>0.98899999999999999</v>
      </c>
      <c r="Q119" s="6">
        <v>186.9</v>
      </c>
      <c r="R119" s="6">
        <v>384.54545450000001</v>
      </c>
      <c r="S119" s="6">
        <v>458</v>
      </c>
      <c r="T119" s="6">
        <v>5</v>
      </c>
      <c r="U119" s="6" t="s">
        <v>177</v>
      </c>
      <c r="V119" s="6">
        <v>2.9</v>
      </c>
      <c r="W119" s="6">
        <v>96.193355999999994</v>
      </c>
      <c r="X119" s="6">
        <v>494</v>
      </c>
      <c r="Y119" s="6">
        <v>1.5</v>
      </c>
      <c r="Z119" s="6">
        <v>29.852905839999998</v>
      </c>
      <c r="AA119" s="6">
        <v>538.35181820000003</v>
      </c>
      <c r="AB119" s="6">
        <v>574.55598310000005</v>
      </c>
      <c r="AC119" s="6">
        <v>173.278704037994</v>
      </c>
      <c r="AD119" s="6">
        <v>527.12147979999997</v>
      </c>
      <c r="AE119" s="6">
        <v>0.77370842799999995</v>
      </c>
      <c r="AF119" s="6">
        <v>10.134223260000001</v>
      </c>
      <c r="AG119" s="6">
        <v>9.0927211549999996</v>
      </c>
      <c r="AH119" s="6">
        <v>8.4755455830000006</v>
      </c>
      <c r="AI119" s="6">
        <v>4.2890194130000001</v>
      </c>
      <c r="AJ119" s="6">
        <v>5.8452038499999999</v>
      </c>
      <c r="AK119" s="6">
        <v>8.4755455830000006</v>
      </c>
      <c r="AL119" s="6">
        <v>1.344232581</v>
      </c>
      <c r="AM119" s="6">
        <v>634.94423259999996</v>
      </c>
      <c r="AN119" s="6">
        <v>332.3520049</v>
      </c>
      <c r="AO119" s="6">
        <v>63.050362710000002</v>
      </c>
      <c r="AP119" s="6">
        <v>399.48709810000003</v>
      </c>
      <c r="AQ119" s="6">
        <v>1.285086347</v>
      </c>
      <c r="AR119" s="6">
        <v>0.65722339299999999</v>
      </c>
      <c r="AS119" s="6">
        <v>2158.589555</v>
      </c>
      <c r="AT119" s="6">
        <v>0.21225981399999999</v>
      </c>
      <c r="AU119">
        <v>596.40605500000004</v>
      </c>
      <c r="AV119">
        <v>1.301679882</v>
      </c>
    </row>
    <row r="120" spans="1:48" x14ac:dyDescent="0.25">
      <c r="A120" s="6">
        <v>3113</v>
      </c>
      <c r="B120" s="6" t="s">
        <v>45</v>
      </c>
      <c r="C120" s="6">
        <v>2311</v>
      </c>
      <c r="D120" s="6" t="s">
        <v>37</v>
      </c>
      <c r="E120" s="6" t="s">
        <v>14</v>
      </c>
      <c r="F120" s="6" t="s">
        <v>15</v>
      </c>
      <c r="G120" s="6" t="s">
        <v>15</v>
      </c>
      <c r="H120" s="6">
        <v>181</v>
      </c>
      <c r="I120" s="6">
        <v>334</v>
      </c>
      <c r="J120" s="6">
        <v>736</v>
      </c>
      <c r="K120" s="6">
        <v>736</v>
      </c>
      <c r="L120" s="6">
        <v>2.23</v>
      </c>
      <c r="M120" s="6">
        <v>2.2250125569999999</v>
      </c>
      <c r="N120" s="6">
        <v>706.90909090000002</v>
      </c>
      <c r="O120" s="6">
        <v>0.63529999999999998</v>
      </c>
      <c r="P120" s="6">
        <v>0.98899999999999999</v>
      </c>
      <c r="Q120" s="6">
        <v>186.9</v>
      </c>
      <c r="R120" s="6">
        <v>454.54545450000001</v>
      </c>
      <c r="S120" s="6">
        <v>403</v>
      </c>
      <c r="T120" s="6">
        <v>6</v>
      </c>
      <c r="U120" s="6" t="s">
        <v>178</v>
      </c>
      <c r="V120" s="6">
        <v>4.9000000000000004</v>
      </c>
      <c r="W120" s="6">
        <v>96.451419999999999</v>
      </c>
      <c r="X120" s="6">
        <v>584</v>
      </c>
      <c r="Y120" s="6">
        <v>2.9</v>
      </c>
      <c r="Z120" s="6">
        <v>38.793286070000001</v>
      </c>
      <c r="AA120" s="6">
        <v>630.47181820000003</v>
      </c>
      <c r="AB120" s="6">
        <v>534.85921299999995</v>
      </c>
      <c r="AC120" s="6">
        <v>90.436725306221007</v>
      </c>
      <c r="AD120" s="6">
        <v>631.7597925</v>
      </c>
      <c r="AE120" s="6">
        <v>0.52891237800000002</v>
      </c>
      <c r="AF120" s="6">
        <v>7.52069834</v>
      </c>
      <c r="AG120" s="6">
        <v>9.8708640729999999</v>
      </c>
      <c r="AH120" s="6">
        <v>4.1537140519999998</v>
      </c>
      <c r="AI120" s="6">
        <v>4.6560679589999996</v>
      </c>
      <c r="AJ120" s="6">
        <v>2.864630381</v>
      </c>
      <c r="AK120" s="6">
        <v>4.1537140519999998</v>
      </c>
      <c r="AL120" s="6">
        <v>0.61994982300000001</v>
      </c>
      <c r="AM120" s="6">
        <v>707.5290407</v>
      </c>
      <c r="AN120" s="6">
        <v>403.19754949999998</v>
      </c>
      <c r="AO120" s="6">
        <v>63.82133752</v>
      </c>
      <c r="AP120" s="6">
        <v>451.15883689999998</v>
      </c>
      <c r="AQ120" s="6">
        <v>0.59267203099999999</v>
      </c>
      <c r="AR120" s="6">
        <v>0.70803971499999996</v>
      </c>
      <c r="AS120" s="6">
        <v>1361.2464</v>
      </c>
      <c r="AT120" s="6">
        <v>0.295851855</v>
      </c>
      <c r="AU120">
        <v>376.10466200000002</v>
      </c>
      <c r="AV120">
        <v>0.93389419500000004</v>
      </c>
    </row>
    <row r="121" spans="1:48" x14ac:dyDescent="0.25">
      <c r="A121" s="6">
        <v>3117</v>
      </c>
      <c r="B121" s="6" t="s">
        <v>17</v>
      </c>
      <c r="C121" s="6">
        <v>2311</v>
      </c>
      <c r="D121" s="6" t="s">
        <v>37</v>
      </c>
      <c r="E121" s="6" t="s">
        <v>14</v>
      </c>
      <c r="F121" s="6" t="s">
        <v>15</v>
      </c>
      <c r="G121" s="6" t="s">
        <v>15</v>
      </c>
      <c r="H121" s="6">
        <v>181</v>
      </c>
      <c r="I121" s="6">
        <v>285</v>
      </c>
      <c r="J121" s="6">
        <v>682</v>
      </c>
      <c r="K121" s="6">
        <v>682</v>
      </c>
      <c r="L121" s="6">
        <v>2.19</v>
      </c>
      <c r="M121" s="6">
        <v>2.1898543450000001</v>
      </c>
      <c r="N121" s="6">
        <v>654.54545450000001</v>
      </c>
      <c r="O121" s="6">
        <v>0.63539999999999996</v>
      </c>
      <c r="P121" s="6">
        <v>0.98899999999999999</v>
      </c>
      <c r="Q121" s="6">
        <v>186.9</v>
      </c>
      <c r="R121" s="6">
        <v>400</v>
      </c>
      <c r="S121" s="6">
        <v>396</v>
      </c>
      <c r="T121" s="6">
        <v>5</v>
      </c>
      <c r="U121" s="6" t="s">
        <v>177</v>
      </c>
      <c r="V121" s="6">
        <v>3.7</v>
      </c>
      <c r="W121" s="6">
        <v>90.451431999999997</v>
      </c>
      <c r="X121" s="6">
        <v>534</v>
      </c>
      <c r="Y121" s="6">
        <v>1.9</v>
      </c>
      <c r="Z121" s="6">
        <v>32.562743449999999</v>
      </c>
      <c r="AA121" s="6">
        <v>558.69000000000005</v>
      </c>
      <c r="AB121" s="6">
        <v>554.01265809999995</v>
      </c>
      <c r="AC121" s="6">
        <v>122.63743172806799</v>
      </c>
      <c r="AD121" s="6">
        <v>564.7393118</v>
      </c>
      <c r="AE121" s="6">
        <v>0.69505693199999996</v>
      </c>
      <c r="AF121" s="6">
        <v>9.328826179</v>
      </c>
      <c r="AG121" s="6">
        <v>9.3172415530000006</v>
      </c>
      <c r="AH121" s="6">
        <v>7.1541563320000003</v>
      </c>
      <c r="AI121" s="6">
        <v>4.394925261</v>
      </c>
      <c r="AJ121" s="6">
        <v>4.933900918</v>
      </c>
      <c r="AK121" s="6">
        <v>7.1541563320000003</v>
      </c>
      <c r="AL121" s="6">
        <v>1.0987631849999999</v>
      </c>
      <c r="AM121" s="6">
        <v>655.64421770000001</v>
      </c>
      <c r="AN121" s="6">
        <v>357.82122099999998</v>
      </c>
      <c r="AO121" s="6">
        <v>63.360423740000002</v>
      </c>
      <c r="AP121" s="6">
        <v>414.72277359999998</v>
      </c>
      <c r="AQ121" s="6">
        <v>1.050417605</v>
      </c>
      <c r="AR121" s="6">
        <v>0.68372513400000001</v>
      </c>
      <c r="AS121" s="6">
        <v>1688.5175380000001</v>
      </c>
      <c r="AT121" s="6">
        <v>0.23474060999999999</v>
      </c>
      <c r="AU121">
        <v>466.52782209999998</v>
      </c>
      <c r="AV121">
        <v>1.177019735</v>
      </c>
    </row>
    <row r="122" spans="1:48" x14ac:dyDescent="0.25">
      <c r="A122" s="6">
        <v>3129</v>
      </c>
      <c r="B122" s="6" t="s">
        <v>17</v>
      </c>
      <c r="C122" s="6">
        <v>2311</v>
      </c>
      <c r="D122" s="6" t="s">
        <v>37</v>
      </c>
      <c r="E122" s="6" t="s">
        <v>14</v>
      </c>
      <c r="F122" s="6" t="s">
        <v>15</v>
      </c>
      <c r="G122" s="6" t="s">
        <v>15</v>
      </c>
      <c r="H122" s="6">
        <v>181</v>
      </c>
      <c r="I122" s="6">
        <v>351</v>
      </c>
      <c r="J122" s="6">
        <v>733</v>
      </c>
      <c r="K122" s="6">
        <v>733</v>
      </c>
      <c r="L122" s="6">
        <v>2.11</v>
      </c>
      <c r="M122" s="6">
        <v>2.1132596690000001</v>
      </c>
      <c r="N122" s="6">
        <v>704.0727273</v>
      </c>
      <c r="O122" s="6">
        <v>0.63560000000000005</v>
      </c>
      <c r="P122" s="6">
        <v>0.98899999999999999</v>
      </c>
      <c r="Q122" s="6">
        <v>186.9</v>
      </c>
      <c r="R122" s="6">
        <v>446.36363640000002</v>
      </c>
      <c r="S122" s="6">
        <v>383</v>
      </c>
      <c r="T122" s="6">
        <v>6</v>
      </c>
      <c r="U122" s="6" t="s">
        <v>178</v>
      </c>
      <c r="V122" s="6">
        <v>4.4000000000000004</v>
      </c>
      <c r="W122" s="6">
        <v>92.515944000000005</v>
      </c>
      <c r="X122" s="6">
        <v>569</v>
      </c>
      <c r="Y122" s="6">
        <v>2.4</v>
      </c>
      <c r="Z122" s="6">
        <v>36.283974260000001</v>
      </c>
      <c r="AA122" s="6">
        <v>619.70454549999999</v>
      </c>
      <c r="AB122" s="6">
        <v>562.93498599999998</v>
      </c>
      <c r="AC122" s="6">
        <v>100.331207851508</v>
      </c>
      <c r="AD122" s="6">
        <v>597.84304059999999</v>
      </c>
      <c r="AE122" s="6">
        <v>0.61715788199999999</v>
      </c>
      <c r="AF122" s="6">
        <v>8.7490557740000003</v>
      </c>
      <c r="AG122" s="6">
        <v>9.841145161</v>
      </c>
      <c r="AH122" s="6">
        <v>5.955158945</v>
      </c>
      <c r="AI122" s="6">
        <v>4.6420496040000003</v>
      </c>
      <c r="AJ122" s="6">
        <v>4.1070061689999999</v>
      </c>
      <c r="AK122" s="6">
        <v>5.955158945</v>
      </c>
      <c r="AL122" s="6">
        <v>0.89406122700000001</v>
      </c>
      <c r="AM122" s="6">
        <v>704.96678850000001</v>
      </c>
      <c r="AN122" s="6">
        <v>380.23415590000002</v>
      </c>
      <c r="AO122" s="6">
        <v>63.60100061</v>
      </c>
      <c r="AP122" s="6">
        <v>447.79729959999997</v>
      </c>
      <c r="AQ122" s="6">
        <v>0.85472253300000001</v>
      </c>
      <c r="AR122" s="6">
        <v>0.70298518799999998</v>
      </c>
      <c r="AS122" s="6">
        <v>1583.5790950000001</v>
      </c>
      <c r="AT122" s="6">
        <v>0.24154145599999999</v>
      </c>
      <c r="AU122">
        <v>437.5339252</v>
      </c>
      <c r="AV122">
        <v>1.1438795429999999</v>
      </c>
    </row>
    <row r="123" spans="1:48" x14ac:dyDescent="0.25">
      <c r="A123" s="6">
        <v>3130</v>
      </c>
      <c r="B123" s="6" t="s">
        <v>13</v>
      </c>
      <c r="C123" s="6">
        <v>2311</v>
      </c>
      <c r="D123" s="6" t="s">
        <v>37</v>
      </c>
      <c r="E123" s="6" t="s">
        <v>14</v>
      </c>
      <c r="F123" s="6" t="s">
        <v>15</v>
      </c>
      <c r="G123" s="6" t="s">
        <v>15</v>
      </c>
      <c r="H123" s="6">
        <v>213</v>
      </c>
      <c r="I123" s="6">
        <v>283</v>
      </c>
      <c r="J123" s="6">
        <v>683</v>
      </c>
      <c r="K123" s="6">
        <v>683</v>
      </c>
      <c r="L123" s="6">
        <v>1.88</v>
      </c>
      <c r="M123" s="6">
        <v>1.880068289</v>
      </c>
      <c r="N123" s="6">
        <v>655.85454549999997</v>
      </c>
      <c r="O123" s="6">
        <v>0.63549999999999995</v>
      </c>
      <c r="P123" s="6">
        <v>0.98899999999999999</v>
      </c>
      <c r="Q123" s="6">
        <v>186.9</v>
      </c>
      <c r="R123" s="6">
        <v>416.81818179999999</v>
      </c>
      <c r="S123" s="6">
        <v>400</v>
      </c>
      <c r="T123" s="6">
        <v>4</v>
      </c>
      <c r="U123" s="6" t="s">
        <v>175</v>
      </c>
      <c r="V123" s="6">
        <v>4.4000000000000004</v>
      </c>
      <c r="W123" s="6">
        <v>88.451436000000001</v>
      </c>
      <c r="X123" s="6">
        <v>426</v>
      </c>
      <c r="Y123" s="6">
        <v>2.4</v>
      </c>
      <c r="Z123" s="6">
        <v>34.227823970000003</v>
      </c>
      <c r="AA123" s="6">
        <v>580.8227273</v>
      </c>
      <c r="AB123" s="6">
        <v>552.20421710000005</v>
      </c>
      <c r="AC123" s="6">
        <v>143.33359378431399</v>
      </c>
      <c r="AD123" s="6">
        <v>567.72198219999996</v>
      </c>
      <c r="AE123" s="6">
        <v>0.68837148100000001</v>
      </c>
      <c r="AF123" s="6">
        <v>9.2529514279999994</v>
      </c>
      <c r="AG123" s="6">
        <v>9.331213924</v>
      </c>
      <c r="AH123" s="6">
        <v>7.0345813679999996</v>
      </c>
      <c r="AI123" s="6">
        <v>4.4015160020000001</v>
      </c>
      <c r="AJ123" s="6">
        <v>4.8514354260000001</v>
      </c>
      <c r="AK123" s="6">
        <v>7.0345813679999996</v>
      </c>
      <c r="AL123" s="6">
        <v>1.0781195969999999</v>
      </c>
      <c r="AM123" s="6">
        <v>656.93266510000001</v>
      </c>
      <c r="AN123" s="6">
        <v>359.840643</v>
      </c>
      <c r="AO123" s="6">
        <v>63.383249939999999</v>
      </c>
      <c r="AP123" s="6">
        <v>415.70192580000003</v>
      </c>
      <c r="AQ123" s="6">
        <v>1.0306823350000001</v>
      </c>
      <c r="AR123" s="6">
        <v>0.68549581699999995</v>
      </c>
      <c r="AS123" s="6">
        <v>1970.8786540000001</v>
      </c>
      <c r="AT123" s="6">
        <v>0.203185795</v>
      </c>
      <c r="AU123">
        <v>544.54259739999998</v>
      </c>
      <c r="AV123">
        <v>1.359811254</v>
      </c>
    </row>
    <row r="124" spans="1:48" x14ac:dyDescent="0.25">
      <c r="A124" s="6">
        <v>3131</v>
      </c>
      <c r="B124" s="6" t="s">
        <v>13</v>
      </c>
      <c r="C124" s="6">
        <v>2311</v>
      </c>
      <c r="D124" s="6" t="s">
        <v>37</v>
      </c>
      <c r="E124" s="6" t="s">
        <v>14</v>
      </c>
      <c r="F124" s="6" t="s">
        <v>15</v>
      </c>
      <c r="G124" s="6" t="s">
        <v>15</v>
      </c>
      <c r="H124" s="6">
        <v>213</v>
      </c>
      <c r="I124" s="6">
        <v>280</v>
      </c>
      <c r="J124" s="6">
        <v>653</v>
      </c>
      <c r="K124" s="6">
        <v>653</v>
      </c>
      <c r="L124" s="6">
        <v>1.75</v>
      </c>
      <c r="M124" s="6">
        <v>1.749893299</v>
      </c>
      <c r="N124" s="6">
        <v>626.6181818</v>
      </c>
      <c r="O124" s="6">
        <v>0.63500000000000001</v>
      </c>
      <c r="P124" s="6">
        <v>0.98899999999999999</v>
      </c>
      <c r="Q124" s="6">
        <v>186.9</v>
      </c>
      <c r="R124" s="6">
        <v>382.72727270000001</v>
      </c>
      <c r="S124" s="6">
        <v>373</v>
      </c>
      <c r="T124" s="6">
        <v>6</v>
      </c>
      <c r="U124" s="6" t="s">
        <v>178</v>
      </c>
      <c r="V124" s="6">
        <v>3.8</v>
      </c>
      <c r="W124" s="6">
        <v>82.644996000000006</v>
      </c>
      <c r="X124" s="6">
        <v>556</v>
      </c>
      <c r="Y124" s="6">
        <v>1.8</v>
      </c>
      <c r="Z124" s="6">
        <v>32.740229120000002</v>
      </c>
      <c r="AA124" s="6">
        <v>535.95909089999998</v>
      </c>
      <c r="AB124" s="6">
        <v>525.66040820000001</v>
      </c>
      <c r="AC124" s="6">
        <v>140.38593570953799</v>
      </c>
      <c r="AD124" s="6">
        <v>569.80416679999996</v>
      </c>
      <c r="AE124" s="6">
        <v>0.68366528199999999</v>
      </c>
      <c r="AF124" s="6">
        <v>8.8807068299999994</v>
      </c>
      <c r="AG124" s="6">
        <v>9.0174707139999999</v>
      </c>
      <c r="AH124" s="6">
        <v>6.7094152180000002</v>
      </c>
      <c r="AI124" s="6">
        <v>4.2535239220000003</v>
      </c>
      <c r="AJ124" s="6">
        <v>4.6271829090000001</v>
      </c>
      <c r="AK124" s="6">
        <v>6.7094152180000002</v>
      </c>
      <c r="AL124" s="6">
        <v>1.0300143319999999</v>
      </c>
      <c r="AM124" s="6">
        <v>627.64819620000003</v>
      </c>
      <c r="AN124" s="6">
        <v>361.25038949999998</v>
      </c>
      <c r="AO124" s="6">
        <v>63.399043140000003</v>
      </c>
      <c r="AP124" s="6">
        <v>397.26993140000002</v>
      </c>
      <c r="AQ124" s="6">
        <v>0.98469370099999998</v>
      </c>
      <c r="AR124" s="6">
        <v>0.68408606699999996</v>
      </c>
      <c r="AS124" s="6">
        <v>1891.590555</v>
      </c>
      <c r="AT124" s="6">
        <v>0.197044372</v>
      </c>
      <c r="AU124">
        <v>522.63574519999997</v>
      </c>
      <c r="AV124">
        <v>1.4021934629999999</v>
      </c>
    </row>
    <row r="125" spans="1:48" x14ac:dyDescent="0.25">
      <c r="A125" s="6">
        <v>3165</v>
      </c>
      <c r="B125" s="6" t="s">
        <v>34</v>
      </c>
      <c r="C125" s="6">
        <v>2311</v>
      </c>
      <c r="D125" s="6" t="s">
        <v>37</v>
      </c>
      <c r="E125" s="6" t="s">
        <v>14</v>
      </c>
      <c r="F125" s="6" t="s">
        <v>15</v>
      </c>
      <c r="G125" s="6" t="s">
        <v>15</v>
      </c>
      <c r="H125" s="6">
        <v>181</v>
      </c>
      <c r="I125" s="6">
        <v>288</v>
      </c>
      <c r="J125" s="6">
        <v>693</v>
      </c>
      <c r="K125" s="6">
        <v>693</v>
      </c>
      <c r="L125" s="6">
        <v>2.23</v>
      </c>
      <c r="M125" s="6">
        <v>2.233802109</v>
      </c>
      <c r="N125" s="6">
        <v>664.8</v>
      </c>
      <c r="O125" s="6">
        <v>0.63529999999999998</v>
      </c>
      <c r="P125" s="6">
        <v>0.98899999999999999</v>
      </c>
      <c r="Q125" s="6">
        <v>186.9</v>
      </c>
      <c r="R125" s="6">
        <v>408.63636359999998</v>
      </c>
      <c r="S125" s="6">
        <v>404</v>
      </c>
      <c r="T125" s="6">
        <v>6</v>
      </c>
      <c r="U125" s="6" t="s">
        <v>178</v>
      </c>
      <c r="V125" s="6">
        <v>3.9</v>
      </c>
      <c r="W125" s="6">
        <v>90.386915999999999</v>
      </c>
      <c r="X125" s="6">
        <v>604</v>
      </c>
      <c r="Y125" s="6">
        <v>2</v>
      </c>
      <c r="Z125" s="6">
        <v>34.029260409999999</v>
      </c>
      <c r="AA125" s="6">
        <v>570.0554545</v>
      </c>
      <c r="AB125" s="6">
        <v>543.29764439999997</v>
      </c>
      <c r="AC125" s="6">
        <v>114.20699493817899</v>
      </c>
      <c r="AD125" s="6">
        <v>584.89927809999995</v>
      </c>
      <c r="AE125" s="6">
        <v>0.64858500100000005</v>
      </c>
      <c r="AF125" s="6">
        <v>8.8071810169999996</v>
      </c>
      <c r="AG125" s="6">
        <v>9.4265061350000003</v>
      </c>
      <c r="AH125" s="6">
        <v>6.323037996</v>
      </c>
      <c r="AI125" s="6">
        <v>4.4464651579999996</v>
      </c>
      <c r="AJ125" s="6">
        <v>4.3607158589999999</v>
      </c>
      <c r="AK125" s="6">
        <v>6.323037996</v>
      </c>
      <c r="AL125" s="6">
        <v>0.95851241700000001</v>
      </c>
      <c r="AM125" s="6">
        <v>665.75851239999997</v>
      </c>
      <c r="AN125" s="6">
        <v>371.47055990000001</v>
      </c>
      <c r="AO125" s="6">
        <v>63.510175820000001</v>
      </c>
      <c r="AP125" s="6">
        <v>422.2156488</v>
      </c>
      <c r="AQ125" s="6">
        <v>0.91633787099999997</v>
      </c>
      <c r="AR125" s="6">
        <v>0.69474116600000002</v>
      </c>
      <c r="AS125" s="6">
        <v>1594.0997640000001</v>
      </c>
      <c r="AT125" s="6">
        <v>0.25363417700000002</v>
      </c>
      <c r="AU125">
        <v>440.44072640000002</v>
      </c>
      <c r="AV125">
        <v>1.0893418749999999</v>
      </c>
    </row>
    <row r="126" spans="1:48" x14ac:dyDescent="0.25">
      <c r="A126" s="6">
        <v>3169</v>
      </c>
      <c r="B126" s="6" t="s">
        <v>34</v>
      </c>
      <c r="C126" s="6">
        <v>2311</v>
      </c>
      <c r="D126" s="6" t="s">
        <v>37</v>
      </c>
      <c r="E126" s="6" t="s">
        <v>14</v>
      </c>
      <c r="F126" s="6" t="s">
        <v>15</v>
      </c>
      <c r="G126" s="6" t="s">
        <v>15</v>
      </c>
      <c r="H126" s="6">
        <v>181</v>
      </c>
      <c r="I126" s="6">
        <v>260</v>
      </c>
      <c r="J126" s="6">
        <v>702</v>
      </c>
      <c r="K126" s="6">
        <v>702</v>
      </c>
      <c r="L126" s="6">
        <v>2.44</v>
      </c>
      <c r="M126" s="6">
        <v>2.4434957310000001</v>
      </c>
      <c r="N126" s="6">
        <v>674.18181819999995</v>
      </c>
      <c r="O126" s="6">
        <v>0.63570000000000004</v>
      </c>
      <c r="P126" s="6">
        <v>0.98899999999999999</v>
      </c>
      <c r="Q126" s="6">
        <v>186.9</v>
      </c>
      <c r="R126" s="6">
        <v>423.63636359999998</v>
      </c>
      <c r="S126" s="6">
        <v>442</v>
      </c>
      <c r="T126" s="6">
        <v>6</v>
      </c>
      <c r="U126" s="6" t="s">
        <v>178</v>
      </c>
      <c r="V126" s="6">
        <v>4.7</v>
      </c>
      <c r="W126" s="6">
        <v>80.322419999999994</v>
      </c>
      <c r="X126" s="6">
        <v>597</v>
      </c>
      <c r="Y126" s="6">
        <v>2.2999999999999998</v>
      </c>
      <c r="Z126" s="6">
        <v>36.070939080000002</v>
      </c>
      <c r="AA126" s="6">
        <v>589.79545450000001</v>
      </c>
      <c r="AB126" s="6">
        <v>532.77650200000005</v>
      </c>
      <c r="AC126" s="6">
        <v>111.633713362649</v>
      </c>
      <c r="AD126" s="6">
        <v>604.86697119999997</v>
      </c>
      <c r="AE126" s="6">
        <v>0.59958362799999998</v>
      </c>
      <c r="AF126" s="6">
        <v>8.2278109770000007</v>
      </c>
      <c r="AG126" s="6">
        <v>9.5261030099999999</v>
      </c>
      <c r="AH126" s="6">
        <v>5.4148309330000002</v>
      </c>
      <c r="AI126" s="6">
        <v>4.4934448160000002</v>
      </c>
      <c r="AJ126" s="6">
        <v>3.7343661610000001</v>
      </c>
      <c r="AK126" s="6">
        <v>5.4148309330000002</v>
      </c>
      <c r="AL126" s="6">
        <v>0.81328408299999999</v>
      </c>
      <c r="AM126" s="6">
        <v>674.99510229999999</v>
      </c>
      <c r="AN126" s="6">
        <v>384.98971990000001</v>
      </c>
      <c r="AO126" s="6">
        <v>63.648659649999999</v>
      </c>
      <c r="AP126" s="6">
        <v>429.10769090000002</v>
      </c>
      <c r="AQ126" s="6">
        <v>0.77749958299999999</v>
      </c>
      <c r="AR126" s="6">
        <v>0.70262323100000001</v>
      </c>
      <c r="AS126" s="6">
        <v>1489.2337869999999</v>
      </c>
      <c r="AT126" s="6">
        <v>0.29698005199999999</v>
      </c>
      <c r="AU126">
        <v>411.46685150000002</v>
      </c>
      <c r="AV126">
        <v>0.93034642700000003</v>
      </c>
    </row>
    <row r="127" spans="1:48" x14ac:dyDescent="0.25">
      <c r="A127" s="6">
        <v>3171</v>
      </c>
      <c r="B127" s="6" t="s">
        <v>34</v>
      </c>
      <c r="C127" s="6">
        <v>2311</v>
      </c>
      <c r="D127" s="6" t="s">
        <v>37</v>
      </c>
      <c r="E127" s="6" t="s">
        <v>14</v>
      </c>
      <c r="F127" s="6" t="s">
        <v>15</v>
      </c>
      <c r="G127" s="6" t="s">
        <v>15</v>
      </c>
      <c r="H127" s="6">
        <v>213</v>
      </c>
      <c r="I127" s="6">
        <v>255</v>
      </c>
      <c r="J127" s="6">
        <v>717</v>
      </c>
      <c r="K127" s="6">
        <v>717</v>
      </c>
      <c r="L127" s="6">
        <v>2.17</v>
      </c>
      <c r="M127" s="6">
        <v>2.166026462</v>
      </c>
      <c r="N127" s="6">
        <v>688.14545450000003</v>
      </c>
      <c r="O127" s="6">
        <v>0.63529999999999998</v>
      </c>
      <c r="P127" s="6">
        <v>0.98899999999999999</v>
      </c>
      <c r="Q127" s="6">
        <v>186.9</v>
      </c>
      <c r="R127" s="6">
        <v>420.45454549999999</v>
      </c>
      <c r="S127" s="6">
        <v>461</v>
      </c>
      <c r="T127" s="6">
        <v>7</v>
      </c>
      <c r="U127" s="6" t="s">
        <v>179</v>
      </c>
      <c r="V127" s="6">
        <v>3.3</v>
      </c>
      <c r="W127" s="6">
        <v>94.128844000000001</v>
      </c>
      <c r="X127" s="6">
        <v>670</v>
      </c>
      <c r="Y127" s="6">
        <v>1.6</v>
      </c>
      <c r="Z127" s="6">
        <v>32.684598999999999</v>
      </c>
      <c r="AA127" s="6">
        <v>585.60818180000001</v>
      </c>
      <c r="AB127" s="6">
        <v>582.27362519999997</v>
      </c>
      <c r="AC127" s="6">
        <v>150.88415839593799</v>
      </c>
      <c r="AD127" s="6">
        <v>564.91229039999996</v>
      </c>
      <c r="AE127" s="6">
        <v>0.69467101600000003</v>
      </c>
      <c r="AF127" s="6">
        <v>9.6803514839999991</v>
      </c>
      <c r="AG127" s="6">
        <v>9.6737014620000004</v>
      </c>
      <c r="AH127" s="6">
        <v>7.4200628970000002</v>
      </c>
      <c r="AI127" s="6">
        <v>4.5630667269999998</v>
      </c>
      <c r="AJ127" s="6">
        <v>5.1172847570000002</v>
      </c>
      <c r="AK127" s="6">
        <v>7.4200628970000002</v>
      </c>
      <c r="AL127" s="6">
        <v>1.1356938139999999</v>
      </c>
      <c r="AM127" s="6">
        <v>689.28114840000001</v>
      </c>
      <c r="AN127" s="6">
        <v>357.93833649999999</v>
      </c>
      <c r="AO127" s="6">
        <v>63.361754120000001</v>
      </c>
      <c r="AP127" s="6">
        <v>436.02103090000003</v>
      </c>
      <c r="AQ127" s="6">
        <v>1.0857232859999999</v>
      </c>
      <c r="AR127" s="6">
        <v>0.68660805199999997</v>
      </c>
      <c r="AS127" s="6">
        <v>2061.9148660000001</v>
      </c>
      <c r="AT127" s="6">
        <v>0.22375494000000001</v>
      </c>
      <c r="AU127">
        <v>569.69538660000001</v>
      </c>
      <c r="AV127">
        <v>1.234807735</v>
      </c>
    </row>
    <row r="128" spans="1:48" x14ac:dyDescent="0.25">
      <c r="A128" s="6">
        <v>3172</v>
      </c>
      <c r="B128" s="6" t="s">
        <v>34</v>
      </c>
      <c r="C128" s="6">
        <v>2311</v>
      </c>
      <c r="D128" s="6" t="s">
        <v>37</v>
      </c>
      <c r="E128" s="6" t="s">
        <v>14</v>
      </c>
      <c r="F128" s="6" t="s">
        <v>15</v>
      </c>
      <c r="G128" s="6" t="s">
        <v>15</v>
      </c>
      <c r="H128" s="6">
        <v>213</v>
      </c>
      <c r="I128" s="6">
        <v>254</v>
      </c>
      <c r="J128" s="6">
        <v>667</v>
      </c>
      <c r="K128" s="6">
        <v>667</v>
      </c>
      <c r="L128" s="6">
        <v>1.94</v>
      </c>
      <c r="M128" s="6">
        <v>1.9398207430000001</v>
      </c>
      <c r="N128" s="6">
        <v>640.14545450000003</v>
      </c>
      <c r="O128" s="6">
        <v>0.63500000000000001</v>
      </c>
      <c r="P128" s="6">
        <v>0.98899999999999999</v>
      </c>
      <c r="Q128" s="6">
        <v>186.9</v>
      </c>
      <c r="R128" s="6">
        <v>410.45454549999999</v>
      </c>
      <c r="S128" s="6">
        <v>413</v>
      </c>
      <c r="T128" s="6">
        <v>7</v>
      </c>
      <c r="U128" s="6" t="s">
        <v>179</v>
      </c>
      <c r="V128" s="6">
        <v>4</v>
      </c>
      <c r="W128" s="6">
        <v>88.322404000000006</v>
      </c>
      <c r="X128" s="6">
        <v>747</v>
      </c>
      <c r="Y128" s="6">
        <v>2</v>
      </c>
      <c r="Z128" s="6">
        <v>34.903703110000002</v>
      </c>
      <c r="AA128" s="6">
        <v>572.44818180000004</v>
      </c>
      <c r="AB128" s="6">
        <v>531.9880756</v>
      </c>
      <c r="AC128" s="6">
        <v>143.49352282400599</v>
      </c>
      <c r="AD128" s="6">
        <v>575.18117659999996</v>
      </c>
      <c r="AE128" s="6">
        <v>0.67136324400000003</v>
      </c>
      <c r="AF128" s="6">
        <v>8.8617261280000008</v>
      </c>
      <c r="AG128" s="6">
        <v>9.1630803739999998</v>
      </c>
      <c r="AH128" s="6">
        <v>6.5823016870000002</v>
      </c>
      <c r="AI128" s="6">
        <v>4.322207723</v>
      </c>
      <c r="AJ128" s="6">
        <v>4.5395184049999999</v>
      </c>
      <c r="AK128" s="6">
        <v>6.5823016870000002</v>
      </c>
      <c r="AL128" s="6">
        <v>1.0057310719999999</v>
      </c>
      <c r="AM128" s="6">
        <v>641.15118559999996</v>
      </c>
      <c r="AN128" s="6">
        <v>364.89090299999998</v>
      </c>
      <c r="AO128" s="6">
        <v>63.439298409999999</v>
      </c>
      <c r="AP128" s="6">
        <v>406.10378509999998</v>
      </c>
      <c r="AQ128" s="6">
        <v>0.96147890499999999</v>
      </c>
      <c r="AR128" s="6">
        <v>0.68806018800000002</v>
      </c>
      <c r="AS128" s="6">
        <v>1887.5476650000001</v>
      </c>
      <c r="AT128" s="6">
        <v>0.218898747</v>
      </c>
      <c r="AU128">
        <v>521.51871770000002</v>
      </c>
      <c r="AV128">
        <v>1.2622015170000001</v>
      </c>
    </row>
    <row r="129" spans="1:48" x14ac:dyDescent="0.25">
      <c r="A129" s="6">
        <v>3174</v>
      </c>
      <c r="B129" s="6" t="s">
        <v>34</v>
      </c>
      <c r="C129" s="6">
        <v>2311</v>
      </c>
      <c r="D129" s="6" t="s">
        <v>37</v>
      </c>
      <c r="E129" s="6" t="s">
        <v>14</v>
      </c>
      <c r="F129" s="6" t="s">
        <v>15</v>
      </c>
      <c r="G129" s="6" t="s">
        <v>15</v>
      </c>
      <c r="H129" s="6">
        <v>213</v>
      </c>
      <c r="I129" s="6">
        <v>220</v>
      </c>
      <c r="J129" s="6">
        <v>583</v>
      </c>
      <c r="K129" s="6">
        <v>583</v>
      </c>
      <c r="L129" s="6">
        <v>1.71</v>
      </c>
      <c r="M129" s="6">
        <v>1.7050789589999999</v>
      </c>
      <c r="N129" s="6">
        <v>559.41818179999996</v>
      </c>
      <c r="O129" s="6">
        <v>0.63519999999999999</v>
      </c>
      <c r="P129" s="6">
        <v>0.98899999999999999</v>
      </c>
      <c r="Q129" s="6">
        <v>186.9</v>
      </c>
      <c r="R129" s="6">
        <v>345.90909090000002</v>
      </c>
      <c r="S129" s="6">
        <v>363</v>
      </c>
      <c r="T129" s="6">
        <v>5</v>
      </c>
      <c r="U129" s="6" t="s">
        <v>177</v>
      </c>
      <c r="V129" s="6">
        <v>2.9</v>
      </c>
      <c r="W129" s="6">
        <v>83.354671999999994</v>
      </c>
      <c r="X129" s="6">
        <v>464</v>
      </c>
      <c r="Y129" s="6">
        <v>1.2</v>
      </c>
      <c r="Z129" s="6">
        <v>28.4227484</v>
      </c>
      <c r="AA129" s="6">
        <v>487.50636359999999</v>
      </c>
      <c r="AB129" s="6">
        <v>540.37931700000001</v>
      </c>
      <c r="AC129" s="6">
        <v>188.16363949218601</v>
      </c>
      <c r="AD129" s="6">
        <v>494.84109119999999</v>
      </c>
      <c r="AE129" s="6">
        <v>0.832829351</v>
      </c>
      <c r="AF129" s="6">
        <v>9.9359687979999993</v>
      </c>
      <c r="AG129" s="6">
        <v>8.2819943420000008</v>
      </c>
      <c r="AH129" s="6">
        <v>8.7425831560000002</v>
      </c>
      <c r="AI129" s="6">
        <v>3.906601105</v>
      </c>
      <c r="AJ129" s="6">
        <v>6.0293676930000002</v>
      </c>
      <c r="AK129" s="6">
        <v>8.7425831560000002</v>
      </c>
      <c r="AL129" s="6">
        <v>1.4438421260000001</v>
      </c>
      <c r="AM129" s="6">
        <v>560.86202390000005</v>
      </c>
      <c r="AN129" s="6">
        <v>310.49651390000002</v>
      </c>
      <c r="AO129" s="6">
        <v>62.746711900000001</v>
      </c>
      <c r="AP129" s="6">
        <v>351.0165149</v>
      </c>
      <c r="AQ129" s="6">
        <v>1.3803130720000001</v>
      </c>
      <c r="AR129" s="6">
        <v>0.62505349899999996</v>
      </c>
      <c r="AS129" s="6">
        <v>2116.3613540000001</v>
      </c>
      <c r="AT129" s="6">
        <v>0.17160671399999999</v>
      </c>
      <c r="AU129">
        <v>584.73864249999997</v>
      </c>
      <c r="AV129">
        <v>1.610043822</v>
      </c>
    </row>
    <row r="130" spans="1:48" x14ac:dyDescent="0.25">
      <c r="A130" s="6">
        <v>3175</v>
      </c>
      <c r="B130" s="6" t="s">
        <v>34</v>
      </c>
      <c r="C130" s="6">
        <v>2311</v>
      </c>
      <c r="D130" s="6" t="s">
        <v>37</v>
      </c>
      <c r="E130" s="6" t="s">
        <v>14</v>
      </c>
      <c r="F130" s="6" t="s">
        <v>15</v>
      </c>
      <c r="G130" s="6" t="s">
        <v>15</v>
      </c>
      <c r="H130" s="6">
        <v>213</v>
      </c>
      <c r="I130" s="6">
        <v>239</v>
      </c>
      <c r="J130" s="6">
        <v>657</v>
      </c>
      <c r="K130" s="6">
        <v>657</v>
      </c>
      <c r="L130" s="6">
        <v>1.96</v>
      </c>
      <c r="M130" s="6">
        <v>1.9611609050000001</v>
      </c>
      <c r="N130" s="6">
        <v>630.54545450000001</v>
      </c>
      <c r="O130" s="6">
        <v>0.6351</v>
      </c>
      <c r="P130" s="6">
        <v>0.98899999999999999</v>
      </c>
      <c r="Q130" s="6">
        <v>186.9</v>
      </c>
      <c r="R130" s="6">
        <v>402.72727270000001</v>
      </c>
      <c r="S130" s="6">
        <v>418</v>
      </c>
      <c r="T130" s="6">
        <v>7</v>
      </c>
      <c r="U130" s="6" t="s">
        <v>179</v>
      </c>
      <c r="V130" s="6">
        <v>3</v>
      </c>
      <c r="W130" s="6">
        <v>107.806236</v>
      </c>
      <c r="X130" s="6">
        <v>698</v>
      </c>
      <c r="Y130" s="6">
        <v>2.1</v>
      </c>
      <c r="Z130" s="6">
        <v>33.675285780000003</v>
      </c>
      <c r="AA130" s="6">
        <v>562.27909090000003</v>
      </c>
      <c r="AB130" s="6">
        <v>540.23514660000001</v>
      </c>
      <c r="AC130" s="6">
        <v>153.55406932319801</v>
      </c>
      <c r="AD130" s="6">
        <v>557.90655079999999</v>
      </c>
      <c r="AE130" s="6">
        <v>0.710123281</v>
      </c>
      <c r="AF130" s="6">
        <v>9.2677180670000006</v>
      </c>
      <c r="AG130" s="6">
        <v>9.0598247290000007</v>
      </c>
      <c r="AH130" s="6">
        <v>7.2416129629999997</v>
      </c>
      <c r="AI130" s="6">
        <v>4.2735022310000002</v>
      </c>
      <c r="AJ130" s="6">
        <v>4.9942158360000004</v>
      </c>
      <c r="AK130" s="6">
        <v>7.2416129629999997</v>
      </c>
      <c r="AL130" s="6">
        <v>1.120286049</v>
      </c>
      <c r="AM130" s="6">
        <v>631.66574060000005</v>
      </c>
      <c r="AN130" s="6">
        <v>353.19508869999999</v>
      </c>
      <c r="AO130" s="6">
        <v>63.307213050000001</v>
      </c>
      <c r="AP130" s="6">
        <v>399.18075429999999</v>
      </c>
      <c r="AQ130" s="6">
        <v>1.0709934619999999</v>
      </c>
      <c r="AR130" s="6">
        <v>0.67767491300000005</v>
      </c>
      <c r="AS130" s="6">
        <v>1974.023948</v>
      </c>
      <c r="AT130" s="6">
        <v>0.21161205899999999</v>
      </c>
      <c r="AU130">
        <v>545.41162440000005</v>
      </c>
      <c r="AV130">
        <v>1.3056643889999999</v>
      </c>
    </row>
    <row r="131" spans="1:48" x14ac:dyDescent="0.25">
      <c r="A131" s="6">
        <v>3201</v>
      </c>
      <c r="B131" s="6" t="s">
        <v>17</v>
      </c>
      <c r="C131" s="6">
        <v>2311</v>
      </c>
      <c r="D131" s="6" t="s">
        <v>37</v>
      </c>
      <c r="E131" s="6" t="s">
        <v>14</v>
      </c>
      <c r="F131" s="6" t="s">
        <v>15</v>
      </c>
      <c r="G131" s="6" t="s">
        <v>15</v>
      </c>
      <c r="H131" s="6">
        <v>181</v>
      </c>
      <c r="I131" s="6">
        <v>333</v>
      </c>
      <c r="J131" s="6">
        <v>676</v>
      </c>
      <c r="K131" s="6">
        <v>676</v>
      </c>
      <c r="L131" s="6">
        <v>1.89</v>
      </c>
      <c r="M131" s="6">
        <v>1.894776494</v>
      </c>
      <c r="N131" s="6">
        <v>648.65454550000004</v>
      </c>
      <c r="O131" s="6">
        <v>0.63549999999999995</v>
      </c>
      <c r="P131" s="6">
        <v>0.98899999999999999</v>
      </c>
      <c r="Q131" s="6">
        <v>186.9</v>
      </c>
      <c r="R131" s="6">
        <v>423.18181820000001</v>
      </c>
      <c r="S131" s="6">
        <v>343</v>
      </c>
      <c r="T131" s="6">
        <v>7</v>
      </c>
      <c r="U131" s="6" t="s">
        <v>179</v>
      </c>
      <c r="V131" s="6">
        <v>4.5</v>
      </c>
      <c r="W131" s="6">
        <v>83.741767999999993</v>
      </c>
      <c r="X131" s="6">
        <v>708</v>
      </c>
      <c r="Y131" s="6">
        <v>2.2000000000000002</v>
      </c>
      <c r="Z131" s="6">
        <v>36.2929812</v>
      </c>
      <c r="AA131" s="6">
        <v>589.19727269999998</v>
      </c>
      <c r="AB131" s="6">
        <v>528.55147120000004</v>
      </c>
      <c r="AC131" s="6">
        <v>103.34949743579401</v>
      </c>
      <c r="AD131" s="6">
        <v>586.61623259999999</v>
      </c>
      <c r="AE131" s="6">
        <v>0.644487794</v>
      </c>
      <c r="AF131" s="6">
        <v>8.5916496549999994</v>
      </c>
      <c r="AG131" s="6">
        <v>9.2542791530000006</v>
      </c>
      <c r="AH131" s="6">
        <v>6.1283142780000004</v>
      </c>
      <c r="AI131" s="6">
        <v>4.3652260160000003</v>
      </c>
      <c r="AJ131" s="6">
        <v>4.2264236400000001</v>
      </c>
      <c r="AK131" s="6">
        <v>6.1283142780000004</v>
      </c>
      <c r="AL131" s="6">
        <v>0.92970149700000004</v>
      </c>
      <c r="AM131" s="6">
        <v>649.584247</v>
      </c>
      <c r="AN131" s="6">
        <v>372.63302679999998</v>
      </c>
      <c r="AO131" s="6">
        <v>63.52245405</v>
      </c>
      <c r="AP131" s="6">
        <v>412.04128559999998</v>
      </c>
      <c r="AQ131" s="6">
        <v>0.888794631</v>
      </c>
      <c r="AR131" s="6">
        <v>0.69409542099999999</v>
      </c>
      <c r="AS131" s="6">
        <v>1555.0885880000001</v>
      </c>
      <c r="AT131" s="6">
        <v>0.22053698299999999</v>
      </c>
      <c r="AU131">
        <v>429.66215949999997</v>
      </c>
      <c r="AV131">
        <v>1.2528253819999999</v>
      </c>
    </row>
    <row r="132" spans="1:48" x14ac:dyDescent="0.25">
      <c r="A132" s="6">
        <v>3205</v>
      </c>
      <c r="B132" s="6" t="s">
        <v>17</v>
      </c>
      <c r="C132" s="6">
        <v>2311</v>
      </c>
      <c r="D132" s="6" t="s">
        <v>37</v>
      </c>
      <c r="E132" s="6" t="s">
        <v>14</v>
      </c>
      <c r="F132" s="6" t="s">
        <v>15</v>
      </c>
      <c r="G132" s="6" t="s">
        <v>15</v>
      </c>
      <c r="H132" s="6">
        <v>181</v>
      </c>
      <c r="I132" s="6">
        <v>352</v>
      </c>
      <c r="J132" s="6">
        <v>712</v>
      </c>
      <c r="K132" s="6">
        <v>712</v>
      </c>
      <c r="L132" s="6">
        <v>1.99</v>
      </c>
      <c r="M132" s="6">
        <v>1.9914615769999999</v>
      </c>
      <c r="N132" s="6">
        <v>683.78181819999998</v>
      </c>
      <c r="O132" s="6">
        <v>0.63570000000000004</v>
      </c>
      <c r="P132" s="6">
        <v>0.98899999999999999</v>
      </c>
      <c r="Q132" s="6">
        <v>186.9</v>
      </c>
      <c r="R132" s="6">
        <v>417.27272729999999</v>
      </c>
      <c r="S132" s="6">
        <v>360</v>
      </c>
      <c r="T132" s="6">
        <v>4</v>
      </c>
      <c r="U132" s="6" t="s">
        <v>175</v>
      </c>
      <c r="V132" s="6">
        <v>4.4000000000000004</v>
      </c>
      <c r="W132" s="6">
        <v>93.935295999999994</v>
      </c>
      <c r="X132" s="6">
        <v>447</v>
      </c>
      <c r="Y132" s="6">
        <v>2.7</v>
      </c>
      <c r="Z132" s="6">
        <v>35.293181789999998</v>
      </c>
      <c r="AA132" s="6">
        <v>581.42090910000002</v>
      </c>
      <c r="AB132" s="6">
        <v>535.8250693</v>
      </c>
      <c r="AC132" s="6">
        <v>92.397909937969004</v>
      </c>
      <c r="AD132" s="6">
        <v>609.98958029999994</v>
      </c>
      <c r="AE132" s="6">
        <v>0.586535739</v>
      </c>
      <c r="AF132" s="6">
        <v>8.134566328</v>
      </c>
      <c r="AG132" s="6">
        <v>9.6276580749999994</v>
      </c>
      <c r="AH132" s="6">
        <v>5.2101663599999997</v>
      </c>
      <c r="AI132" s="6">
        <v>4.541348148</v>
      </c>
      <c r="AJ132" s="6">
        <v>3.593218179</v>
      </c>
      <c r="AK132" s="6">
        <v>5.2101663599999997</v>
      </c>
      <c r="AL132" s="6">
        <v>0.78069986400000002</v>
      </c>
      <c r="AM132" s="6">
        <v>684.56251799999995</v>
      </c>
      <c r="AN132" s="6">
        <v>388.45799090000003</v>
      </c>
      <c r="AO132" s="6">
        <v>63.682725650000002</v>
      </c>
      <c r="AP132" s="6">
        <v>435.4508993</v>
      </c>
      <c r="AQ132" s="6">
        <v>0.74634906999999995</v>
      </c>
      <c r="AR132" s="6">
        <v>0.70464709699999994</v>
      </c>
      <c r="AS132" s="6">
        <v>1472.356505</v>
      </c>
      <c r="AT132" s="6">
        <v>0.24481472000000001</v>
      </c>
      <c r="AU132">
        <v>406.80375429999998</v>
      </c>
      <c r="AV132">
        <v>1.1285854470000001</v>
      </c>
    </row>
    <row r="133" spans="1:48" x14ac:dyDescent="0.25">
      <c r="A133" s="6">
        <v>3215</v>
      </c>
      <c r="B133" s="6" t="s">
        <v>45</v>
      </c>
      <c r="C133" s="6">
        <v>2311</v>
      </c>
      <c r="D133" s="6" t="s">
        <v>37</v>
      </c>
      <c r="E133" s="6" t="s">
        <v>14</v>
      </c>
      <c r="F133" s="6" t="s">
        <v>15</v>
      </c>
      <c r="G133" s="6" t="s">
        <v>15</v>
      </c>
      <c r="H133" s="6">
        <v>181</v>
      </c>
      <c r="I133" s="6">
        <v>284</v>
      </c>
      <c r="J133" s="6">
        <v>660</v>
      </c>
      <c r="K133" s="6">
        <v>660</v>
      </c>
      <c r="L133" s="6">
        <v>2.08</v>
      </c>
      <c r="M133" s="6">
        <v>2.0793571069999999</v>
      </c>
      <c r="N133" s="6">
        <v>633.6</v>
      </c>
      <c r="O133" s="6">
        <v>0.63560000000000005</v>
      </c>
      <c r="P133" s="6">
        <v>0.98899999999999999</v>
      </c>
      <c r="Q133" s="6">
        <v>186.9</v>
      </c>
      <c r="R133" s="6">
        <v>403.63636359999998</v>
      </c>
      <c r="S133" s="6">
        <v>376</v>
      </c>
      <c r="T133" s="6">
        <v>5</v>
      </c>
      <c r="U133" s="6" t="s">
        <v>177</v>
      </c>
      <c r="V133" s="6">
        <v>3.7</v>
      </c>
      <c r="W133" s="6">
        <v>100.96754</v>
      </c>
      <c r="X133" s="6">
        <v>494</v>
      </c>
      <c r="Y133" s="6">
        <v>2.5</v>
      </c>
      <c r="Z133" s="6">
        <v>34.420282219999997</v>
      </c>
      <c r="AA133" s="6">
        <v>563.47545449999996</v>
      </c>
      <c r="AB133" s="6">
        <v>529.65457930000002</v>
      </c>
      <c r="AC133" s="6">
        <v>118.314557325069</v>
      </c>
      <c r="AD133" s="6">
        <v>571.80814029999999</v>
      </c>
      <c r="AE133" s="6">
        <v>0.67910547700000001</v>
      </c>
      <c r="AF133" s="6">
        <v>8.89509054</v>
      </c>
      <c r="AG133" s="6">
        <v>9.0927211549999996</v>
      </c>
      <c r="AH133" s="6">
        <v>6.6788031339999998</v>
      </c>
      <c r="AI133" s="6">
        <v>4.2890194130000001</v>
      </c>
      <c r="AJ133" s="6">
        <v>4.6060711269999999</v>
      </c>
      <c r="AK133" s="6">
        <v>6.6788031339999998</v>
      </c>
      <c r="AL133" s="6">
        <v>1.0232702760000001</v>
      </c>
      <c r="AM133" s="6">
        <v>634.62327029999994</v>
      </c>
      <c r="AN133" s="6">
        <v>362.60718320000001</v>
      </c>
      <c r="AO133" s="6">
        <v>63.414134490000002</v>
      </c>
      <c r="AP133" s="6">
        <v>401.79195620000002</v>
      </c>
      <c r="AQ133" s="6">
        <v>0.97824638399999997</v>
      </c>
      <c r="AR133" s="6">
        <v>0.68576061499999996</v>
      </c>
      <c r="AS133" s="6">
        <v>1610.0113879999999</v>
      </c>
      <c r="AT133" s="6">
        <v>0.23376458</v>
      </c>
      <c r="AU133">
        <v>444.83701780000001</v>
      </c>
      <c r="AV133">
        <v>1.1819341050000001</v>
      </c>
    </row>
    <row r="134" spans="1:48" x14ac:dyDescent="0.25">
      <c r="A134" s="6">
        <v>3217</v>
      </c>
      <c r="B134" s="6" t="s">
        <v>13</v>
      </c>
      <c r="C134" s="6">
        <v>2311</v>
      </c>
      <c r="D134" s="6" t="s">
        <v>37</v>
      </c>
      <c r="E134" s="6" t="s">
        <v>14</v>
      </c>
      <c r="F134" s="6" t="s">
        <v>15</v>
      </c>
      <c r="G134" s="6" t="s">
        <v>15</v>
      </c>
      <c r="H134" s="6">
        <v>181</v>
      </c>
      <c r="I134" s="6">
        <v>355</v>
      </c>
      <c r="J134" s="6">
        <v>700</v>
      </c>
      <c r="K134" s="6">
        <v>700</v>
      </c>
      <c r="L134" s="6">
        <v>1.91</v>
      </c>
      <c r="M134" s="6">
        <v>1.9060773479999999</v>
      </c>
      <c r="N134" s="6">
        <v>671.56363639999995</v>
      </c>
      <c r="O134" s="6">
        <v>0.63580000000000003</v>
      </c>
      <c r="P134" s="6">
        <v>0.98899999999999999</v>
      </c>
      <c r="Q134" s="6">
        <v>186.9</v>
      </c>
      <c r="R134" s="6">
        <v>430.90909090000002</v>
      </c>
      <c r="S134" s="6">
        <v>345</v>
      </c>
      <c r="T134" s="6">
        <v>5</v>
      </c>
      <c r="U134" s="6" t="s">
        <v>177</v>
      </c>
      <c r="V134" s="6">
        <v>4.5999999999999996</v>
      </c>
      <c r="W134" s="6">
        <v>84.322412</v>
      </c>
      <c r="X134" s="6">
        <v>537</v>
      </c>
      <c r="Y134" s="6">
        <v>2.2999999999999998</v>
      </c>
      <c r="Z134" s="6">
        <v>35.123684160000003</v>
      </c>
      <c r="AA134" s="6">
        <v>599.3663636</v>
      </c>
      <c r="AB134" s="6">
        <v>558.67859420000002</v>
      </c>
      <c r="AC134" s="6">
        <v>107.09593705368501</v>
      </c>
      <c r="AD134" s="6">
        <v>574.58334990000003</v>
      </c>
      <c r="AE134" s="6">
        <v>0.67274160900000002</v>
      </c>
      <c r="AF134" s="6">
        <v>9.2048228000000005</v>
      </c>
      <c r="AG134" s="6">
        <v>9.4983435879999991</v>
      </c>
      <c r="AH134" s="6">
        <v>6.8504844739999999</v>
      </c>
      <c r="AI134" s="6">
        <v>4.4803507490000003</v>
      </c>
      <c r="AJ134" s="6">
        <v>4.7244720510000002</v>
      </c>
      <c r="AK134" s="6">
        <v>6.8504844739999999</v>
      </c>
      <c r="AL134" s="6">
        <v>1.043760802</v>
      </c>
      <c r="AM134" s="6">
        <v>672.60739720000004</v>
      </c>
      <c r="AN134" s="6">
        <v>364.4861434</v>
      </c>
      <c r="AO134" s="6">
        <v>63.434859969999998</v>
      </c>
      <c r="AP134" s="6">
        <v>426.00545240000002</v>
      </c>
      <c r="AQ134" s="6">
        <v>0.99783532699999999</v>
      </c>
      <c r="AR134" s="6">
        <v>0.690437521</v>
      </c>
      <c r="AS134" s="6">
        <v>1666.0729269999999</v>
      </c>
      <c r="AT134" s="6">
        <v>0.20707376899999999</v>
      </c>
      <c r="AU134">
        <v>460.32650319999999</v>
      </c>
      <c r="AV134">
        <v>1.334279719</v>
      </c>
    </row>
    <row r="135" spans="1:48" x14ac:dyDescent="0.25">
      <c r="A135" s="6">
        <v>3219</v>
      </c>
      <c r="B135" s="6" t="s">
        <v>13</v>
      </c>
      <c r="C135" s="6">
        <v>2311</v>
      </c>
      <c r="D135" s="6" t="s">
        <v>37</v>
      </c>
      <c r="E135" s="6" t="s">
        <v>14</v>
      </c>
      <c r="F135" s="6" t="s">
        <v>15</v>
      </c>
      <c r="G135" s="6" t="s">
        <v>15</v>
      </c>
      <c r="H135" s="6">
        <v>181</v>
      </c>
      <c r="I135" s="6">
        <v>375</v>
      </c>
      <c r="J135" s="6">
        <v>744</v>
      </c>
      <c r="K135" s="6">
        <v>744</v>
      </c>
      <c r="L135" s="6">
        <v>2.04</v>
      </c>
      <c r="M135" s="6">
        <v>2.0404319439999998</v>
      </c>
      <c r="N135" s="6">
        <v>714.10909089999996</v>
      </c>
      <c r="O135" s="6">
        <v>0.63570000000000004</v>
      </c>
      <c r="P135" s="6">
        <v>0.98899999999999999</v>
      </c>
      <c r="Q135" s="6">
        <v>186.9</v>
      </c>
      <c r="R135" s="6">
        <v>451.36363640000002</v>
      </c>
      <c r="S135" s="6">
        <v>369</v>
      </c>
      <c r="T135" s="6">
        <v>5</v>
      </c>
      <c r="U135" s="6" t="s">
        <v>177</v>
      </c>
      <c r="V135" s="6">
        <v>3.1</v>
      </c>
      <c r="W135" s="6">
        <v>105.225596</v>
      </c>
      <c r="X135" s="6">
        <v>545</v>
      </c>
      <c r="Y135" s="6">
        <v>1.7</v>
      </c>
      <c r="Z135" s="6">
        <v>31.25593039</v>
      </c>
      <c r="AA135" s="6">
        <v>626.28454550000004</v>
      </c>
      <c r="AB135" s="6">
        <v>650.79122110000003</v>
      </c>
      <c r="AC135" s="6">
        <v>135.385925245202</v>
      </c>
      <c r="AD135" s="6">
        <v>524.5063768</v>
      </c>
      <c r="AE135" s="6">
        <v>0.77878575400000005</v>
      </c>
      <c r="AF135" s="6">
        <v>11.158175379999999</v>
      </c>
      <c r="AG135" s="6">
        <v>9.9461709139999996</v>
      </c>
      <c r="AH135" s="6">
        <v>9.3765487259999993</v>
      </c>
      <c r="AI135" s="6">
        <v>4.6915900539999997</v>
      </c>
      <c r="AJ135" s="6">
        <v>6.4665853289999999</v>
      </c>
      <c r="AK135" s="6">
        <v>9.3765487259999993</v>
      </c>
      <c r="AL135" s="6">
        <v>1.478931091</v>
      </c>
      <c r="AM135" s="6">
        <v>715.58802200000002</v>
      </c>
      <c r="AN135" s="6">
        <v>330.5814451</v>
      </c>
      <c r="AO135" s="6">
        <v>63.027154619999997</v>
      </c>
      <c r="AP135" s="6">
        <v>450.0826409</v>
      </c>
      <c r="AQ135" s="6">
        <v>1.413858123</v>
      </c>
      <c r="AR135" s="6">
        <v>0.66172222400000003</v>
      </c>
      <c r="AS135" s="6">
        <v>2019.6297440000001</v>
      </c>
      <c r="AT135" s="6">
        <v>0.18286430100000001</v>
      </c>
      <c r="AU135">
        <v>558.01224720000005</v>
      </c>
      <c r="AV135">
        <v>1.510925469</v>
      </c>
    </row>
    <row r="136" spans="1:48" x14ac:dyDescent="0.25">
      <c r="A136" s="6">
        <v>3220</v>
      </c>
      <c r="B136" s="6" t="s">
        <v>13</v>
      </c>
      <c r="C136" s="6">
        <v>2311</v>
      </c>
      <c r="D136" s="6" t="s">
        <v>37</v>
      </c>
      <c r="E136" s="6" t="s">
        <v>14</v>
      </c>
      <c r="F136" s="6" t="s">
        <v>15</v>
      </c>
      <c r="G136" s="6" t="s">
        <v>15</v>
      </c>
      <c r="H136" s="6">
        <v>181</v>
      </c>
      <c r="I136" s="6">
        <v>350</v>
      </c>
      <c r="J136" s="6">
        <v>745</v>
      </c>
      <c r="K136" s="6">
        <v>745</v>
      </c>
      <c r="L136" s="6">
        <v>2.1800000000000002</v>
      </c>
      <c r="M136" s="6">
        <v>2.1798091409999998</v>
      </c>
      <c r="N136" s="6">
        <v>714.7636364</v>
      </c>
      <c r="O136" s="6">
        <v>0.63600000000000001</v>
      </c>
      <c r="P136" s="6">
        <v>0.98899999999999999</v>
      </c>
      <c r="Q136" s="6">
        <v>186.9</v>
      </c>
      <c r="R136" s="6">
        <v>451.81818179999999</v>
      </c>
      <c r="S136" s="6">
        <v>395</v>
      </c>
      <c r="T136" s="6">
        <v>5</v>
      </c>
      <c r="U136" s="6" t="s">
        <v>177</v>
      </c>
      <c r="V136" s="6">
        <v>2.6</v>
      </c>
      <c r="W136" s="6">
        <v>114.19332</v>
      </c>
      <c r="X136" s="6">
        <v>491</v>
      </c>
      <c r="Y136" s="6">
        <v>1.7</v>
      </c>
      <c r="Z136" s="6">
        <v>30.77799929</v>
      </c>
      <c r="AA136" s="6">
        <v>626.88272730000006</v>
      </c>
      <c r="AB136" s="6">
        <v>659.11162439999998</v>
      </c>
      <c r="AC136" s="6">
        <v>141.806738308245</v>
      </c>
      <c r="AD136" s="6">
        <v>518.35987339999997</v>
      </c>
      <c r="AE136" s="6">
        <v>0.79051963599999997</v>
      </c>
      <c r="AF136" s="6">
        <v>11.33407972</v>
      </c>
      <c r="AG136" s="6">
        <v>9.9530075530000008</v>
      </c>
      <c r="AH136" s="6">
        <v>9.6269340119999995</v>
      </c>
      <c r="AI136" s="6">
        <v>4.6948148840000004</v>
      </c>
      <c r="AJ136" s="6">
        <v>6.6392648359999997</v>
      </c>
      <c r="AK136" s="6">
        <v>9.6269340119999995</v>
      </c>
      <c r="AL136" s="6">
        <v>1.5271486590000001</v>
      </c>
      <c r="AM136" s="6">
        <v>716.29078500000003</v>
      </c>
      <c r="AN136" s="6">
        <v>326.41994469999997</v>
      </c>
      <c r="AO136" s="6">
        <v>62.971684619999998</v>
      </c>
      <c r="AP136" s="6">
        <v>450.09870289999998</v>
      </c>
      <c r="AQ136" s="6">
        <v>1.459954118</v>
      </c>
      <c r="AR136" s="6">
        <v>0.65706171000000002</v>
      </c>
      <c r="AS136" s="6">
        <v>2051.468429</v>
      </c>
      <c r="AT136" s="6">
        <v>0.19232343499999999</v>
      </c>
      <c r="AU136">
        <v>566.80909529999997</v>
      </c>
      <c r="AV136">
        <v>1.4366129139999999</v>
      </c>
    </row>
    <row r="137" spans="1:48" x14ac:dyDescent="0.25">
      <c r="A137" s="6">
        <v>3132</v>
      </c>
      <c r="B137" s="6" t="s">
        <v>26</v>
      </c>
      <c r="C137" s="6">
        <v>2311</v>
      </c>
      <c r="D137" s="6" t="s">
        <v>37</v>
      </c>
      <c r="E137" s="6" t="s">
        <v>27</v>
      </c>
      <c r="F137" s="6" t="s">
        <v>15</v>
      </c>
      <c r="G137" s="6" t="s">
        <v>24</v>
      </c>
      <c r="H137" s="6">
        <v>181</v>
      </c>
      <c r="I137" s="6">
        <v>292</v>
      </c>
      <c r="J137" s="6">
        <v>659</v>
      </c>
      <c r="K137" s="6">
        <v>659</v>
      </c>
      <c r="L137" s="6">
        <v>2.0299999999999998</v>
      </c>
      <c r="M137" s="6">
        <v>2.0278754389999998</v>
      </c>
      <c r="N137" s="6">
        <v>632.50909090000005</v>
      </c>
      <c r="O137" s="6">
        <v>0.63549999999999995</v>
      </c>
      <c r="P137" s="6">
        <v>0.98899999999999999</v>
      </c>
      <c r="Q137" s="6">
        <v>186.9</v>
      </c>
      <c r="R137" s="6">
        <v>410.45454549999999</v>
      </c>
      <c r="S137" s="6">
        <v>367</v>
      </c>
      <c r="T137" s="6">
        <v>6</v>
      </c>
      <c r="U137" s="6" t="s">
        <v>178</v>
      </c>
      <c r="V137" s="6">
        <v>5</v>
      </c>
      <c r="W137" s="6">
        <v>88.064340000000001</v>
      </c>
      <c r="X137" s="6">
        <v>566</v>
      </c>
      <c r="Y137" s="6">
        <v>3</v>
      </c>
      <c r="Z137" s="6">
        <v>38.97781355</v>
      </c>
      <c r="AA137" s="6">
        <v>572.44818180000004</v>
      </c>
      <c r="AB137" s="6">
        <v>466.78401869999999</v>
      </c>
      <c r="AC137" s="6">
        <v>86.280366867305005</v>
      </c>
      <c r="AD137" s="6">
        <v>647.7071479</v>
      </c>
      <c r="AE137" s="6">
        <v>0.48446993100000002</v>
      </c>
      <c r="AF137" s="6">
        <v>6.337510183</v>
      </c>
      <c r="AG137" s="6">
        <v>9.0809769930000002</v>
      </c>
      <c r="AH137" s="6">
        <v>2.9783441800000001</v>
      </c>
      <c r="AI137" s="6">
        <v>4.2834797140000003</v>
      </c>
      <c r="AJ137" s="6">
        <v>2.0540304690000002</v>
      </c>
      <c r="AK137" s="6">
        <v>2.9783441800000001</v>
      </c>
      <c r="AL137" s="6">
        <v>0.45005234</v>
      </c>
      <c r="AM137" s="6">
        <v>632.95914319999997</v>
      </c>
      <c r="AN137" s="6">
        <v>413.99473310000002</v>
      </c>
      <c r="AO137" s="6">
        <v>63.916962230000003</v>
      </c>
      <c r="AP137" s="6">
        <v>404.28059680000001</v>
      </c>
      <c r="AQ137" s="6">
        <v>0.43025003699999997</v>
      </c>
      <c r="AR137" s="6">
        <v>0.69744986099999995</v>
      </c>
      <c r="AS137" s="6">
        <v>1147.0893430000001</v>
      </c>
      <c r="AT137" s="6">
        <v>0.31997983099999999</v>
      </c>
      <c r="AU137">
        <v>316.93428160000002</v>
      </c>
      <c r="AV137">
        <v>0.86347420399999997</v>
      </c>
    </row>
    <row r="138" spans="1:48" x14ac:dyDescent="0.25">
      <c r="A138" s="6">
        <v>3211</v>
      </c>
      <c r="B138" s="6" t="s">
        <v>26</v>
      </c>
      <c r="C138" s="6">
        <v>2311</v>
      </c>
      <c r="D138" s="6" t="s">
        <v>37</v>
      </c>
      <c r="E138" s="6" t="s">
        <v>27</v>
      </c>
      <c r="F138" s="6" t="s">
        <v>15</v>
      </c>
      <c r="G138" s="6" t="s">
        <v>24</v>
      </c>
      <c r="H138" s="6">
        <v>181</v>
      </c>
      <c r="I138" s="6">
        <v>353</v>
      </c>
      <c r="J138" s="6">
        <v>766</v>
      </c>
      <c r="K138" s="6">
        <v>766</v>
      </c>
      <c r="L138" s="6">
        <v>2.2799999999999998</v>
      </c>
      <c r="M138" s="6">
        <v>2.284028127</v>
      </c>
      <c r="N138" s="6">
        <v>735.49090909999995</v>
      </c>
      <c r="O138" s="6">
        <v>0.63600000000000001</v>
      </c>
      <c r="P138" s="6">
        <v>0.98899999999999999</v>
      </c>
      <c r="Q138" s="6">
        <v>186.9</v>
      </c>
      <c r="R138" s="6">
        <v>464.54545450000001</v>
      </c>
      <c r="S138" s="6">
        <v>413</v>
      </c>
      <c r="T138" s="6">
        <v>6</v>
      </c>
      <c r="U138" s="6" t="s">
        <v>178</v>
      </c>
      <c r="V138" s="6">
        <v>4.5</v>
      </c>
      <c r="W138" s="6">
        <v>80.903064000000001</v>
      </c>
      <c r="X138" s="6">
        <v>590</v>
      </c>
      <c r="Y138" s="6">
        <v>1.9</v>
      </c>
      <c r="Z138" s="6">
        <v>34.924875110000002</v>
      </c>
      <c r="AA138" s="6">
        <v>643.6318182</v>
      </c>
      <c r="AB138" s="6">
        <v>611.54107639999995</v>
      </c>
      <c r="AC138" s="6">
        <v>113.31463070450999</v>
      </c>
      <c r="AD138" s="6">
        <v>574.88314049999997</v>
      </c>
      <c r="AE138" s="6">
        <v>0.67205073599999998</v>
      </c>
      <c r="AF138" s="6">
        <v>9.8443445660000002</v>
      </c>
      <c r="AG138" s="6">
        <v>10.16870102</v>
      </c>
      <c r="AH138" s="6">
        <v>7.3192918499999999</v>
      </c>
      <c r="AI138" s="6">
        <v>4.7965570829999997</v>
      </c>
      <c r="AJ138" s="6">
        <v>5.0477874829999996</v>
      </c>
      <c r="AK138" s="6">
        <v>7.3192918499999999</v>
      </c>
      <c r="AL138" s="6">
        <v>1.108287859</v>
      </c>
      <c r="AM138" s="6">
        <v>736.59919690000004</v>
      </c>
      <c r="AN138" s="6">
        <v>364.6891172</v>
      </c>
      <c r="AO138" s="6">
        <v>63.437086860000001</v>
      </c>
      <c r="AP138" s="6">
        <v>466.57400680000001</v>
      </c>
      <c r="AQ138" s="6">
        <v>1.059523193</v>
      </c>
      <c r="AR138" s="6">
        <v>0.69569626299999998</v>
      </c>
      <c r="AS138" s="6">
        <v>1781.826366</v>
      </c>
      <c r="AT138" s="6">
        <v>0.23201424000000001</v>
      </c>
      <c r="AU138">
        <v>492.30852220000003</v>
      </c>
      <c r="AV138">
        <v>1.190850741</v>
      </c>
    </row>
    <row r="139" spans="1:48" x14ac:dyDescent="0.25">
      <c r="A139" s="6">
        <v>3227</v>
      </c>
      <c r="B139" s="6" t="s">
        <v>67</v>
      </c>
      <c r="C139" s="6">
        <v>2311</v>
      </c>
      <c r="D139" s="6" t="s">
        <v>37</v>
      </c>
      <c r="E139" s="6" t="s">
        <v>27</v>
      </c>
      <c r="F139" s="6" t="s">
        <v>15</v>
      </c>
      <c r="G139" s="6" t="s">
        <v>24</v>
      </c>
      <c r="H139" s="6">
        <v>213</v>
      </c>
      <c r="I139" s="6">
        <v>326</v>
      </c>
      <c r="J139" s="6">
        <v>661</v>
      </c>
      <c r="K139" s="6">
        <v>661</v>
      </c>
      <c r="L139" s="6">
        <v>1.57</v>
      </c>
      <c r="M139" s="6">
        <v>1.570635937</v>
      </c>
      <c r="N139" s="6">
        <v>634.47272729999997</v>
      </c>
      <c r="O139" s="6">
        <v>0.6351</v>
      </c>
      <c r="P139" s="6">
        <v>0.98899999999999999</v>
      </c>
      <c r="Q139" s="6">
        <v>186.9</v>
      </c>
      <c r="R139" s="6">
        <v>383.63636359999998</v>
      </c>
      <c r="S139" s="6">
        <v>335</v>
      </c>
      <c r="T139" s="6">
        <v>7</v>
      </c>
      <c r="U139" s="6" t="s">
        <v>179</v>
      </c>
      <c r="V139" s="6">
        <v>3.9</v>
      </c>
      <c r="W139" s="6">
        <v>80.193387999999999</v>
      </c>
      <c r="X139" s="6">
        <v>695</v>
      </c>
      <c r="Y139" s="6">
        <v>1.7</v>
      </c>
      <c r="Z139" s="6">
        <v>33.623134469999997</v>
      </c>
      <c r="AA139" s="6">
        <v>537.15545450000002</v>
      </c>
      <c r="AB139" s="6">
        <v>512.87267899999995</v>
      </c>
      <c r="AC139" s="6">
        <v>118.74746926337301</v>
      </c>
      <c r="AD139" s="6">
        <v>591.33187640000006</v>
      </c>
      <c r="AE139" s="6">
        <v>0.63312220799999996</v>
      </c>
      <c r="AF139" s="6">
        <v>8.3013558340000007</v>
      </c>
      <c r="AG139" s="6">
        <v>9.1021128460000007</v>
      </c>
      <c r="AH139" s="6">
        <v>5.8114642480000001</v>
      </c>
      <c r="AI139" s="6">
        <v>4.2934494560000003</v>
      </c>
      <c r="AJ139" s="6">
        <v>4.0079063780000004</v>
      </c>
      <c r="AK139" s="6">
        <v>5.8114642480000001</v>
      </c>
      <c r="AL139" s="6">
        <v>0.880945015</v>
      </c>
      <c r="AM139" s="6">
        <v>635.35367229999997</v>
      </c>
      <c r="AN139" s="6">
        <v>375.82576130000001</v>
      </c>
      <c r="AO139" s="6">
        <v>63.555809570000001</v>
      </c>
      <c r="AP139" s="6">
        <v>403.24427830000002</v>
      </c>
      <c r="AQ139" s="6">
        <v>0.84218343500000004</v>
      </c>
      <c r="AR139" s="6">
        <v>0.69475820799999999</v>
      </c>
      <c r="AS139" s="6">
        <v>1768.188793</v>
      </c>
      <c r="AT139" s="6">
        <v>0.189202339</v>
      </c>
      <c r="AU139">
        <v>488.5405379</v>
      </c>
      <c r="AV139">
        <v>1.4603113910000001</v>
      </c>
    </row>
    <row r="140" spans="1:48" x14ac:dyDescent="0.25">
      <c r="A140" s="6">
        <v>3231</v>
      </c>
      <c r="B140" s="6" t="s">
        <v>67</v>
      </c>
      <c r="C140" s="6">
        <v>2311</v>
      </c>
      <c r="D140" s="6" t="s">
        <v>37</v>
      </c>
      <c r="E140" s="6" t="s">
        <v>27</v>
      </c>
      <c r="F140" s="6" t="s">
        <v>15</v>
      </c>
      <c r="G140" s="6" t="s">
        <v>24</v>
      </c>
      <c r="H140" s="6">
        <v>213</v>
      </c>
      <c r="I140" s="6">
        <v>292</v>
      </c>
      <c r="J140" s="6">
        <v>709</v>
      </c>
      <c r="K140" s="6">
        <v>709</v>
      </c>
      <c r="L140" s="6">
        <v>1.96</v>
      </c>
      <c r="M140" s="6">
        <v>1.959026889</v>
      </c>
      <c r="N140" s="6">
        <v>680.72727269999996</v>
      </c>
      <c r="O140" s="6">
        <v>0.63490000000000002</v>
      </c>
      <c r="P140" s="6">
        <v>0.98899999999999999</v>
      </c>
      <c r="Q140" s="6">
        <v>186.9</v>
      </c>
      <c r="R140" s="6">
        <v>424.54545450000001</v>
      </c>
      <c r="S140" s="6">
        <v>417</v>
      </c>
      <c r="T140" s="6">
        <v>5</v>
      </c>
      <c r="U140" s="6" t="s">
        <v>177</v>
      </c>
      <c r="V140" s="6">
        <v>3.8</v>
      </c>
      <c r="W140" s="6">
        <v>92.193364000000003</v>
      </c>
      <c r="X140" s="6">
        <v>487</v>
      </c>
      <c r="Y140" s="6">
        <v>1.9</v>
      </c>
      <c r="Z140" s="6">
        <v>32.803594390000001</v>
      </c>
      <c r="AA140" s="6">
        <v>590.99181820000001</v>
      </c>
      <c r="AB140" s="6">
        <v>586.41140540000004</v>
      </c>
      <c r="AC140" s="6">
        <v>150.37732525220801</v>
      </c>
      <c r="AD140" s="6">
        <v>554.87944700000003</v>
      </c>
      <c r="AE140" s="6">
        <v>0.71668736099999997</v>
      </c>
      <c r="AF140" s="6">
        <v>9.9062976369999998</v>
      </c>
      <c r="AG140" s="6">
        <v>9.5953839960000007</v>
      </c>
      <c r="AH140" s="6">
        <v>7.8012510109999997</v>
      </c>
      <c r="AI140" s="6">
        <v>4.5261245260000003</v>
      </c>
      <c r="AJ140" s="6">
        <v>5.3801731110000004</v>
      </c>
      <c r="AK140" s="6">
        <v>7.8012510109999997</v>
      </c>
      <c r="AL140" s="6">
        <v>1.20341509</v>
      </c>
      <c r="AM140" s="6">
        <v>681.93068779999999</v>
      </c>
      <c r="AN140" s="6">
        <v>351.14558299999999</v>
      </c>
      <c r="AO140" s="6">
        <v>63.283220329999999</v>
      </c>
      <c r="AP140" s="6">
        <v>430.78613990000002</v>
      </c>
      <c r="AQ140" s="6">
        <v>1.1504648260000001</v>
      </c>
      <c r="AR140" s="6">
        <v>0.68005755099999998</v>
      </c>
      <c r="AS140" s="6">
        <v>2110.041397</v>
      </c>
      <c r="AT140" s="6">
        <v>0.197755707</v>
      </c>
      <c r="AU140">
        <v>582.99247419999995</v>
      </c>
      <c r="AV140">
        <v>1.39714972</v>
      </c>
    </row>
    <row r="141" spans="1:48" x14ac:dyDescent="0.25">
      <c r="A141" s="6">
        <v>3233</v>
      </c>
      <c r="B141" s="6" t="s">
        <v>67</v>
      </c>
      <c r="C141" s="6">
        <v>2311</v>
      </c>
      <c r="D141" s="6" t="s">
        <v>37</v>
      </c>
      <c r="E141" s="6" t="s">
        <v>27</v>
      </c>
      <c r="F141" s="6" t="s">
        <v>15</v>
      </c>
      <c r="G141" s="6" t="s">
        <v>24</v>
      </c>
      <c r="H141" s="6">
        <v>213</v>
      </c>
      <c r="I141" s="6">
        <v>241</v>
      </c>
      <c r="J141" s="6">
        <v>685</v>
      </c>
      <c r="K141" s="6">
        <v>685</v>
      </c>
      <c r="L141" s="6">
        <v>2.09</v>
      </c>
      <c r="M141" s="6">
        <v>2.0870678620000001</v>
      </c>
      <c r="N141" s="6">
        <v>658.03636359999996</v>
      </c>
      <c r="O141" s="6">
        <v>0.6351</v>
      </c>
      <c r="P141" s="6">
        <v>0.98899999999999999</v>
      </c>
      <c r="Q141" s="6">
        <v>186.9</v>
      </c>
      <c r="R141" s="6">
        <v>414.54545450000001</v>
      </c>
      <c r="S141" s="6">
        <v>445</v>
      </c>
      <c r="T141" s="6">
        <v>5</v>
      </c>
      <c r="U141" s="6" t="s">
        <v>177</v>
      </c>
      <c r="V141" s="6">
        <v>3.9</v>
      </c>
      <c r="W141" s="6">
        <v>88.322404000000006</v>
      </c>
      <c r="X141" s="6">
        <v>536</v>
      </c>
      <c r="Y141" s="6">
        <v>1.9</v>
      </c>
      <c r="Z141" s="6">
        <v>32.75163096</v>
      </c>
      <c r="AA141" s="6">
        <v>577.83181820000004</v>
      </c>
      <c r="AB141" s="6">
        <v>572.47313210000004</v>
      </c>
      <c r="AC141" s="6">
        <v>158.865960860705</v>
      </c>
      <c r="AD141" s="6">
        <v>549.4430466</v>
      </c>
      <c r="AE141" s="6">
        <v>0.72830514700000004</v>
      </c>
      <c r="AF141" s="6">
        <v>9.8141471009999997</v>
      </c>
      <c r="AG141" s="6">
        <v>9.3544857280000002</v>
      </c>
      <c r="AH141" s="6">
        <v>7.8323980569999998</v>
      </c>
      <c r="AI141" s="6">
        <v>4.4124932680000004</v>
      </c>
      <c r="AJ141" s="6">
        <v>5.4016538330000001</v>
      </c>
      <c r="AK141" s="6">
        <v>7.8323980569999998</v>
      </c>
      <c r="AL141" s="6">
        <v>1.2159520450000001</v>
      </c>
      <c r="AM141" s="6">
        <v>659.25231570000005</v>
      </c>
      <c r="AN141" s="6">
        <v>347.46485910000001</v>
      </c>
      <c r="AO141" s="6">
        <v>63.239467900000001</v>
      </c>
      <c r="AP141" s="6">
        <v>416.13869490000002</v>
      </c>
      <c r="AQ141" s="6">
        <v>1.1624501549999999</v>
      </c>
      <c r="AR141" s="6">
        <v>0.67475378100000005</v>
      </c>
      <c r="AS141" s="6">
        <v>2090.4133320000001</v>
      </c>
      <c r="AT141" s="6">
        <v>0.21265911800000001</v>
      </c>
      <c r="AU141">
        <v>577.56935129999999</v>
      </c>
      <c r="AV141">
        <v>1.29923576</v>
      </c>
    </row>
    <row r="142" spans="1:48" x14ac:dyDescent="0.25">
      <c r="A142" s="6">
        <v>3239</v>
      </c>
      <c r="B142" s="6" t="s">
        <v>67</v>
      </c>
      <c r="C142" s="6">
        <v>2311</v>
      </c>
      <c r="D142" s="6" t="s">
        <v>37</v>
      </c>
      <c r="E142" s="6" t="s">
        <v>27</v>
      </c>
      <c r="F142" s="6" t="s">
        <v>15</v>
      </c>
      <c r="G142" s="6" t="s">
        <v>24</v>
      </c>
      <c r="H142" s="6">
        <v>213</v>
      </c>
      <c r="I142" s="6">
        <v>279</v>
      </c>
      <c r="J142" s="6">
        <v>694</v>
      </c>
      <c r="K142" s="6">
        <v>694</v>
      </c>
      <c r="L142" s="6">
        <v>1.95</v>
      </c>
      <c r="M142" s="6">
        <v>1.9462227910000001</v>
      </c>
      <c r="N142" s="6">
        <v>665.89090910000004</v>
      </c>
      <c r="O142" s="6">
        <v>0.63500000000000001</v>
      </c>
      <c r="P142" s="6">
        <v>0.98899999999999999</v>
      </c>
      <c r="Q142" s="6">
        <v>186.9</v>
      </c>
      <c r="R142" s="6">
        <v>416.81818179999999</v>
      </c>
      <c r="S142" s="6">
        <v>415</v>
      </c>
      <c r="T142" s="6">
        <v>6</v>
      </c>
      <c r="U142" s="6" t="s">
        <v>178</v>
      </c>
      <c r="V142" s="6">
        <v>4</v>
      </c>
      <c r="W142" s="6">
        <v>89.290143999999998</v>
      </c>
      <c r="X142" s="6">
        <v>628</v>
      </c>
      <c r="Y142" s="6">
        <v>1.9</v>
      </c>
      <c r="Z142" s="6">
        <v>33.786840480000002</v>
      </c>
      <c r="AA142" s="6">
        <v>580.8227273</v>
      </c>
      <c r="AB142" s="6">
        <v>559.26193269999999</v>
      </c>
      <c r="AC142" s="6">
        <v>143.956295690356</v>
      </c>
      <c r="AD142" s="6">
        <v>569.13556229999995</v>
      </c>
      <c r="AE142" s="6">
        <v>0.68517998300000005</v>
      </c>
      <c r="AF142" s="6">
        <v>9.3155552200000002</v>
      </c>
      <c r="AG142" s="6">
        <v>9.4381051350000007</v>
      </c>
      <c r="AH142" s="6">
        <v>7.0522473110000004</v>
      </c>
      <c r="AI142" s="6">
        <v>4.4519363839999997</v>
      </c>
      <c r="AJ142" s="6">
        <v>4.8636188349999996</v>
      </c>
      <c r="AK142" s="6">
        <v>7.0522473110000004</v>
      </c>
      <c r="AL142" s="6">
        <v>1.078751767</v>
      </c>
      <c r="AM142" s="6">
        <v>666.96966090000001</v>
      </c>
      <c r="AN142" s="6">
        <v>360.79770969999998</v>
      </c>
      <c r="AO142" s="6">
        <v>63.393984430000003</v>
      </c>
      <c r="AP142" s="6">
        <v>422.13477920000003</v>
      </c>
      <c r="AQ142" s="6">
        <v>1.0312866890000001</v>
      </c>
      <c r="AR142" s="6">
        <v>0.68711084600000005</v>
      </c>
      <c r="AS142" s="6">
        <v>1984.213262</v>
      </c>
      <c r="AT142" s="6">
        <v>0.20892182400000001</v>
      </c>
      <c r="AU142">
        <v>548.22687389999999</v>
      </c>
      <c r="AV142">
        <v>1.322477108</v>
      </c>
    </row>
    <row r="143" spans="1:48" x14ac:dyDescent="0.25">
      <c r="A143" s="6">
        <v>3240</v>
      </c>
      <c r="B143" s="6" t="s">
        <v>67</v>
      </c>
      <c r="C143" s="6">
        <v>2311</v>
      </c>
      <c r="D143" s="6" t="s">
        <v>37</v>
      </c>
      <c r="E143" s="6" t="s">
        <v>27</v>
      </c>
      <c r="F143" s="6" t="s">
        <v>15</v>
      </c>
      <c r="G143" s="6" t="s">
        <v>24</v>
      </c>
      <c r="H143" s="6">
        <v>213</v>
      </c>
      <c r="I143" s="6">
        <v>253</v>
      </c>
      <c r="J143" s="6">
        <v>673</v>
      </c>
      <c r="K143" s="6">
        <v>673</v>
      </c>
      <c r="L143" s="6">
        <v>1.97</v>
      </c>
      <c r="M143" s="6">
        <v>1.9739650019999999</v>
      </c>
      <c r="N143" s="6">
        <v>646.25454549999995</v>
      </c>
      <c r="O143" s="6">
        <v>0.63490000000000002</v>
      </c>
      <c r="P143" s="6">
        <v>0.98899999999999999</v>
      </c>
      <c r="Q143" s="6">
        <v>186.9</v>
      </c>
      <c r="R143" s="6">
        <v>402.27272729999999</v>
      </c>
      <c r="S143" s="6">
        <v>420</v>
      </c>
      <c r="T143" s="6">
        <v>5</v>
      </c>
      <c r="U143" s="6" t="s">
        <v>177</v>
      </c>
      <c r="V143" s="6">
        <v>4.4000000000000004</v>
      </c>
      <c r="W143" s="6">
        <v>78.451455999999993</v>
      </c>
      <c r="X143" s="6">
        <v>516</v>
      </c>
      <c r="Y143" s="6">
        <v>2</v>
      </c>
      <c r="Z143" s="6">
        <v>33.774150579999997</v>
      </c>
      <c r="AA143" s="6">
        <v>561.68090910000001</v>
      </c>
      <c r="AB143" s="6">
        <v>537.98150599999997</v>
      </c>
      <c r="AC143" s="6">
        <v>144.508252652837</v>
      </c>
      <c r="AD143" s="6">
        <v>574.20128629999999</v>
      </c>
      <c r="AE143" s="6">
        <v>0.67362111599999996</v>
      </c>
      <c r="AF143" s="6">
        <v>8.9550943190000005</v>
      </c>
      <c r="AG143" s="6">
        <v>9.2285868660000006</v>
      </c>
      <c r="AH143" s="6">
        <v>6.6728815939999997</v>
      </c>
      <c r="AI143" s="6">
        <v>4.3531070119999997</v>
      </c>
      <c r="AJ143" s="6">
        <v>4.6019873059999998</v>
      </c>
      <c r="AK143" s="6">
        <v>6.6728815939999997</v>
      </c>
      <c r="AL143" s="6">
        <v>1.019527807</v>
      </c>
      <c r="AM143" s="6">
        <v>647.27407330000005</v>
      </c>
      <c r="AN143" s="6">
        <v>364.22746660000001</v>
      </c>
      <c r="AO143" s="6">
        <v>63.432018579999998</v>
      </c>
      <c r="AP143" s="6">
        <v>409.93230340000002</v>
      </c>
      <c r="AQ143" s="6">
        <v>0.974668584</v>
      </c>
      <c r="AR143" s="6">
        <v>0.68809591800000003</v>
      </c>
      <c r="AS143" s="6">
        <v>1907.4350899999999</v>
      </c>
      <c r="AT143" s="6">
        <v>0.220429281</v>
      </c>
      <c r="AU143">
        <v>527.01350030000003</v>
      </c>
      <c r="AV143">
        <v>1.253437514</v>
      </c>
    </row>
    <row r="144" spans="1:48" x14ac:dyDescent="0.25">
      <c r="A144" s="6">
        <v>3241</v>
      </c>
      <c r="B144" s="6" t="s">
        <v>67</v>
      </c>
      <c r="C144" s="6">
        <v>2311</v>
      </c>
      <c r="D144" s="6" t="s">
        <v>37</v>
      </c>
      <c r="E144" s="6" t="s">
        <v>27</v>
      </c>
      <c r="F144" s="6" t="s">
        <v>15</v>
      </c>
      <c r="G144" s="6" t="s">
        <v>24</v>
      </c>
      <c r="H144" s="6">
        <v>213</v>
      </c>
      <c r="I144" s="6">
        <v>264</v>
      </c>
      <c r="J144" s="6">
        <v>682</v>
      </c>
      <c r="K144" s="6">
        <v>682</v>
      </c>
      <c r="L144" s="6">
        <v>1.96</v>
      </c>
      <c r="M144" s="6">
        <v>1.9632949209999999</v>
      </c>
      <c r="N144" s="6">
        <v>654.54545450000001</v>
      </c>
      <c r="O144" s="6">
        <v>0.63560000000000005</v>
      </c>
      <c r="P144" s="6">
        <v>0.98899999999999999</v>
      </c>
      <c r="Q144" s="6">
        <v>186.9</v>
      </c>
      <c r="R144" s="6">
        <v>396.36363640000002</v>
      </c>
      <c r="S144" s="6">
        <v>418</v>
      </c>
      <c r="T144" s="6">
        <v>6</v>
      </c>
      <c r="U144" s="6" t="s">
        <v>178</v>
      </c>
      <c r="V144" s="6">
        <v>4.3</v>
      </c>
      <c r="W144" s="6">
        <v>77.548231999999999</v>
      </c>
      <c r="X144" s="6">
        <v>582</v>
      </c>
      <c r="Y144" s="6">
        <v>2</v>
      </c>
      <c r="Z144" s="6">
        <v>34.300956370000002</v>
      </c>
      <c r="AA144" s="6">
        <v>553.90454550000004</v>
      </c>
      <c r="AB144" s="6">
        <v>520.82256740000003</v>
      </c>
      <c r="AC144" s="6">
        <v>130.997233791144</v>
      </c>
      <c r="AD144" s="6">
        <v>600.7280538</v>
      </c>
      <c r="AE144" s="6">
        <v>0.609983724</v>
      </c>
      <c r="AF144" s="6">
        <v>8.1870014750000006</v>
      </c>
      <c r="AG144" s="6">
        <v>9.3172415530000006</v>
      </c>
      <c r="AH144" s="6">
        <v>5.49851051</v>
      </c>
      <c r="AI144" s="6">
        <v>4.394925261</v>
      </c>
      <c r="AJ144" s="6">
        <v>3.7920762140000002</v>
      </c>
      <c r="AK144" s="6">
        <v>5.49851051</v>
      </c>
      <c r="AL144" s="6">
        <v>0.82861432400000001</v>
      </c>
      <c r="AM144" s="6">
        <v>655.3740689</v>
      </c>
      <c r="AN144" s="6">
        <v>382.18745890000002</v>
      </c>
      <c r="AO144" s="6">
        <v>63.620710989999999</v>
      </c>
      <c r="AP144" s="6">
        <v>416.42647190000002</v>
      </c>
      <c r="AQ144" s="6">
        <v>0.79215529399999995</v>
      </c>
      <c r="AR144" s="6">
        <v>0.69976793900000001</v>
      </c>
      <c r="AS144" s="6">
        <v>1743.831314</v>
      </c>
      <c r="AT144" s="6">
        <v>0.239806348</v>
      </c>
      <c r="AU144">
        <v>481.81070469999997</v>
      </c>
      <c r="AV144">
        <v>1.152156033</v>
      </c>
    </row>
    <row r="145" spans="1:48" x14ac:dyDescent="0.25">
      <c r="A145" s="6">
        <v>3003</v>
      </c>
      <c r="B145" s="6" t="s">
        <v>30</v>
      </c>
      <c r="C145" s="6">
        <v>2311</v>
      </c>
      <c r="D145" s="6" t="s">
        <v>37</v>
      </c>
      <c r="E145" s="6" t="s">
        <v>20</v>
      </c>
      <c r="F145" s="6" t="s">
        <v>21</v>
      </c>
      <c r="G145" s="6" t="s">
        <v>15</v>
      </c>
      <c r="H145" s="6">
        <v>213</v>
      </c>
      <c r="I145" s="6">
        <v>299</v>
      </c>
      <c r="J145" s="6">
        <v>675</v>
      </c>
      <c r="K145" s="6">
        <v>675</v>
      </c>
      <c r="L145" s="6">
        <v>1.76</v>
      </c>
      <c r="M145" s="6">
        <v>1.764831413</v>
      </c>
      <c r="N145" s="6">
        <v>648</v>
      </c>
      <c r="O145" s="6">
        <v>0.63539999999999996</v>
      </c>
      <c r="P145" s="6">
        <v>0.98899999999999999</v>
      </c>
      <c r="Q145" s="6">
        <v>186.9</v>
      </c>
      <c r="R145" s="6">
        <v>415.90909090000002</v>
      </c>
      <c r="S145" s="6">
        <v>376</v>
      </c>
      <c r="T145" s="6">
        <v>6</v>
      </c>
      <c r="U145" s="6" t="s">
        <v>178</v>
      </c>
      <c r="V145" s="6">
        <v>4.2</v>
      </c>
      <c r="W145" s="6">
        <v>68.580507999999995</v>
      </c>
      <c r="X145" s="6">
        <v>567</v>
      </c>
      <c r="Y145" s="6">
        <v>1.1000000000000001</v>
      </c>
      <c r="Z145" s="6">
        <v>31.362829300000001</v>
      </c>
      <c r="AA145" s="6">
        <v>579.62636359999999</v>
      </c>
      <c r="AB145" s="6">
        <v>596.71427359999996</v>
      </c>
      <c r="AC145" s="6">
        <v>168.64124381068299</v>
      </c>
      <c r="AD145" s="6">
        <v>519.08260570000004</v>
      </c>
      <c r="AE145" s="6">
        <v>0.78915445900000003</v>
      </c>
      <c r="AF145" s="6">
        <v>10.512234319999999</v>
      </c>
      <c r="AG145" s="6">
        <v>9.247274526</v>
      </c>
      <c r="AH145" s="6">
        <v>8.9179529370000008</v>
      </c>
      <c r="AI145" s="6">
        <v>4.3619219459999998</v>
      </c>
      <c r="AJ145" s="6">
        <v>6.15031237</v>
      </c>
      <c r="AK145" s="6">
        <v>8.9179529370000008</v>
      </c>
      <c r="AL145" s="6">
        <v>1.4229239389999999</v>
      </c>
      <c r="AM145" s="6">
        <v>649.4229239</v>
      </c>
      <c r="AN145" s="6">
        <v>326.9092718</v>
      </c>
      <c r="AO145" s="6">
        <v>62.978275170000003</v>
      </c>
      <c r="AP145" s="6">
        <v>408.09922310000002</v>
      </c>
      <c r="AQ145" s="6">
        <v>1.360315285</v>
      </c>
      <c r="AR145" s="6">
        <v>0.65236321799999997</v>
      </c>
      <c r="AS145" s="6">
        <v>2239.1059089999999</v>
      </c>
      <c r="AT145" s="6">
        <v>0.16788356900000001</v>
      </c>
      <c r="AU145">
        <v>618.65226719999998</v>
      </c>
      <c r="AV145">
        <v>1.645749683</v>
      </c>
    </row>
    <row r="146" spans="1:48" x14ac:dyDescent="0.25">
      <c r="A146" s="6">
        <v>3010</v>
      </c>
      <c r="B146" s="6" t="s">
        <v>30</v>
      </c>
      <c r="C146" s="6">
        <v>2311</v>
      </c>
      <c r="D146" s="6" t="s">
        <v>37</v>
      </c>
      <c r="E146" s="6" t="s">
        <v>20</v>
      </c>
      <c r="F146" s="6" t="s">
        <v>21</v>
      </c>
      <c r="G146" s="6" t="s">
        <v>15</v>
      </c>
      <c r="H146" s="6">
        <v>213</v>
      </c>
      <c r="I146" s="6">
        <v>305</v>
      </c>
      <c r="J146" s="6">
        <v>693</v>
      </c>
      <c r="K146" s="6">
        <v>693</v>
      </c>
      <c r="L146" s="6">
        <v>1.82</v>
      </c>
      <c r="M146" s="6">
        <v>1.8245838670000001</v>
      </c>
      <c r="N146" s="6">
        <v>665.45454549999999</v>
      </c>
      <c r="O146" s="6">
        <v>0.63560000000000005</v>
      </c>
      <c r="P146" s="6">
        <v>0.98899999999999999</v>
      </c>
      <c r="Q146" s="6">
        <v>186.9</v>
      </c>
      <c r="R146" s="6" t="e">
        <v>#N/A</v>
      </c>
      <c r="S146" s="6">
        <v>389</v>
      </c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8" x14ac:dyDescent="0.25">
      <c r="A147" s="6">
        <v>3015</v>
      </c>
      <c r="B147" s="6" t="s">
        <v>44</v>
      </c>
      <c r="C147" s="6">
        <v>2311</v>
      </c>
      <c r="D147" s="6" t="s">
        <v>37</v>
      </c>
      <c r="E147" s="6" t="s">
        <v>20</v>
      </c>
      <c r="F147" s="6" t="s">
        <v>21</v>
      </c>
      <c r="G147" s="6" t="s">
        <v>15</v>
      </c>
      <c r="H147" s="6">
        <v>181</v>
      </c>
      <c r="I147" s="6">
        <v>297</v>
      </c>
      <c r="J147" s="6">
        <v>644</v>
      </c>
      <c r="K147" s="6">
        <v>644</v>
      </c>
      <c r="L147" s="6">
        <v>1.92</v>
      </c>
      <c r="M147" s="6">
        <v>1.9173782020000001</v>
      </c>
      <c r="N147" s="6">
        <v>618.54545450000001</v>
      </c>
      <c r="O147" s="6">
        <v>0.63519999999999999</v>
      </c>
      <c r="P147" s="6">
        <v>0.98899999999999999</v>
      </c>
      <c r="Q147" s="6">
        <v>186.9</v>
      </c>
      <c r="R147" s="6">
        <v>394.09090909999998</v>
      </c>
      <c r="S147" s="6">
        <v>347</v>
      </c>
      <c r="T147" s="6">
        <v>4</v>
      </c>
      <c r="U147" s="6" t="s">
        <v>175</v>
      </c>
      <c r="V147" s="6">
        <v>4</v>
      </c>
      <c r="W147" s="6">
        <v>78.645004</v>
      </c>
      <c r="X147" s="6">
        <v>408</v>
      </c>
      <c r="Y147" s="6">
        <v>1.7</v>
      </c>
      <c r="Z147" s="6">
        <v>31.475403239999999</v>
      </c>
      <c r="AA147" s="6">
        <v>550.91363639999997</v>
      </c>
      <c r="AB147" s="6">
        <v>562.68730219999998</v>
      </c>
      <c r="AC147" s="6">
        <v>138.425780903055</v>
      </c>
      <c r="AD147" s="6">
        <v>525.45121619999998</v>
      </c>
      <c r="AE147" s="6">
        <v>0.77695716599999998</v>
      </c>
      <c r="AF147" s="6">
        <v>9.9948793200000008</v>
      </c>
      <c r="AG147" s="6">
        <v>8.9302005320000006</v>
      </c>
      <c r="AH147" s="6">
        <v>8.3846548399999996</v>
      </c>
      <c r="AI147" s="6">
        <v>4.2123587410000001</v>
      </c>
      <c r="AJ147" s="6">
        <v>5.7825205789999998</v>
      </c>
      <c r="AK147" s="6">
        <v>8.3846548399999996</v>
      </c>
      <c r="AL147" s="6">
        <v>1.333976643</v>
      </c>
      <c r="AM147" s="6">
        <v>619.8794312</v>
      </c>
      <c r="AN147" s="6">
        <v>331.22115020000001</v>
      </c>
      <c r="AO147" s="6">
        <v>63.035566379999999</v>
      </c>
      <c r="AP147" s="6">
        <v>389.90363059999999</v>
      </c>
      <c r="AQ147" s="6">
        <v>1.2752816709999999</v>
      </c>
      <c r="AR147" s="6">
        <v>0.65469392900000001</v>
      </c>
      <c r="AS147" s="6">
        <v>1809.073157</v>
      </c>
      <c r="AT147" s="6">
        <v>0.19183605300000001</v>
      </c>
      <c r="AU147">
        <v>499.836656</v>
      </c>
      <c r="AV147">
        <v>1.4402627939999999</v>
      </c>
    </row>
    <row r="148" spans="1:48" x14ac:dyDescent="0.25">
      <c r="A148" s="6">
        <v>3022</v>
      </c>
      <c r="B148" s="6" t="s">
        <v>44</v>
      </c>
      <c r="C148" s="6">
        <v>2311</v>
      </c>
      <c r="D148" s="6" t="s">
        <v>37</v>
      </c>
      <c r="E148" s="6" t="s">
        <v>20</v>
      </c>
      <c r="F148" s="6" t="s">
        <v>21</v>
      </c>
      <c r="G148" s="6" t="s">
        <v>15</v>
      </c>
      <c r="H148" s="6">
        <v>213</v>
      </c>
      <c r="I148" s="6">
        <v>284</v>
      </c>
      <c r="J148" s="6">
        <v>641</v>
      </c>
      <c r="K148" s="6">
        <v>641</v>
      </c>
      <c r="L148" s="6">
        <v>1.68</v>
      </c>
      <c r="M148" s="6">
        <v>1.6794707639999999</v>
      </c>
      <c r="N148" s="6">
        <v>615.70909089999998</v>
      </c>
      <c r="O148" s="6">
        <v>0.63539999999999996</v>
      </c>
      <c r="P148" s="6">
        <v>0.98899999999999999</v>
      </c>
      <c r="Q148" s="6">
        <v>186.9</v>
      </c>
      <c r="R148" s="6">
        <v>397.72727270000001</v>
      </c>
      <c r="S148" s="6">
        <v>358</v>
      </c>
      <c r="T148" s="6">
        <v>8</v>
      </c>
      <c r="U148" s="6" t="s">
        <v>176</v>
      </c>
      <c r="V148" s="6">
        <v>3.9</v>
      </c>
      <c r="W148" s="6">
        <v>90.709496000000001</v>
      </c>
      <c r="X148" s="6">
        <v>791</v>
      </c>
      <c r="Y148" s="6">
        <v>2.1</v>
      </c>
      <c r="Z148" s="6">
        <v>35.670207670000003</v>
      </c>
      <c r="AA148" s="6">
        <v>555.69909089999999</v>
      </c>
      <c r="AB148" s="6">
        <v>500.92247980000002</v>
      </c>
      <c r="AC148" s="6">
        <v>129.37773068156599</v>
      </c>
      <c r="AD148" s="6">
        <v>587.53391450000004</v>
      </c>
      <c r="AE148" s="6">
        <v>0.64228893899999995</v>
      </c>
      <c r="AF148" s="6">
        <v>8.2340572230000006</v>
      </c>
      <c r="AG148" s="6">
        <v>8.8994705639999996</v>
      </c>
      <c r="AH148" s="6">
        <v>5.8524809370000002</v>
      </c>
      <c r="AI148" s="6">
        <v>4.197863474</v>
      </c>
      <c r="AJ148" s="6">
        <v>4.0361937489999997</v>
      </c>
      <c r="AK148" s="6">
        <v>5.8524809370000002</v>
      </c>
      <c r="AL148" s="6">
        <v>0.89052570399999997</v>
      </c>
      <c r="AM148" s="6">
        <v>616.59961659999999</v>
      </c>
      <c r="AN148" s="6">
        <v>373.25434489999998</v>
      </c>
      <c r="AO148" s="6">
        <v>63.528987119999996</v>
      </c>
      <c r="AP148" s="6">
        <v>391.153749</v>
      </c>
      <c r="AQ148" s="6">
        <v>0.85134257300000005</v>
      </c>
      <c r="AR148" s="6">
        <v>0.69155286900000001</v>
      </c>
      <c r="AS148" s="6">
        <v>1753.854188</v>
      </c>
      <c r="AT148" s="6">
        <v>0.20396637000000001</v>
      </c>
      <c r="AU148">
        <v>484.57996809999997</v>
      </c>
      <c r="AV148">
        <v>1.35460728</v>
      </c>
    </row>
    <row r="149" spans="1:48" x14ac:dyDescent="0.25">
      <c r="A149" s="6">
        <v>3112</v>
      </c>
      <c r="B149" s="6" t="s">
        <v>30</v>
      </c>
      <c r="C149" s="6">
        <v>2311</v>
      </c>
      <c r="D149" s="6" t="s">
        <v>37</v>
      </c>
      <c r="E149" s="6" t="s">
        <v>20</v>
      </c>
      <c r="F149" s="6" t="s">
        <v>21</v>
      </c>
      <c r="G149" s="6" t="s">
        <v>15</v>
      </c>
      <c r="H149" s="6">
        <v>181</v>
      </c>
      <c r="I149" s="6">
        <v>284</v>
      </c>
      <c r="J149" s="6">
        <v>681</v>
      </c>
      <c r="K149" s="6">
        <v>681</v>
      </c>
      <c r="L149" s="6">
        <v>2.2000000000000002</v>
      </c>
      <c r="M149" s="6">
        <v>2.1961325970000001</v>
      </c>
      <c r="N149" s="6">
        <v>653.89090910000004</v>
      </c>
      <c r="O149" s="6">
        <v>0.63570000000000004</v>
      </c>
      <c r="P149" s="6">
        <v>0.98899999999999999</v>
      </c>
      <c r="Q149" s="6">
        <v>186.9</v>
      </c>
      <c r="R149" s="6">
        <v>404.54545450000001</v>
      </c>
      <c r="S149" s="6">
        <v>398</v>
      </c>
      <c r="T149" s="6">
        <v>5</v>
      </c>
      <c r="U149" s="6" t="s">
        <v>177</v>
      </c>
      <c r="V149" s="6">
        <v>3.1</v>
      </c>
      <c r="W149" s="6">
        <v>92.967556000000002</v>
      </c>
      <c r="X149" s="6">
        <v>460</v>
      </c>
      <c r="Y149" s="6">
        <v>1.5</v>
      </c>
      <c r="Z149" s="6">
        <v>30.3408683</v>
      </c>
      <c r="AA149" s="6">
        <v>564.67181819999996</v>
      </c>
      <c r="AB149" s="6">
        <v>596.28623589999995</v>
      </c>
      <c r="AC149" s="6">
        <v>142.36384120625399</v>
      </c>
      <c r="AD149" s="6">
        <v>524.17754379999997</v>
      </c>
      <c r="AE149" s="6">
        <v>0.77942060400000002</v>
      </c>
      <c r="AF149" s="6">
        <v>10.45328089</v>
      </c>
      <c r="AG149" s="6">
        <v>9.3102527479999999</v>
      </c>
      <c r="AH149" s="6">
        <v>8.789395743</v>
      </c>
      <c r="AI149" s="6">
        <v>4.3916286549999999</v>
      </c>
      <c r="AJ149" s="6">
        <v>6.0616522359999996</v>
      </c>
      <c r="AK149" s="6">
        <v>8.789395743</v>
      </c>
      <c r="AL149" s="6">
        <v>1.3948669419999999</v>
      </c>
      <c r="AM149" s="6">
        <v>655.28577600000006</v>
      </c>
      <c r="AN149" s="6">
        <v>330.3588082</v>
      </c>
      <c r="AO149" s="6">
        <v>63.024219950000003</v>
      </c>
      <c r="AP149" s="6">
        <v>412.10964480000001</v>
      </c>
      <c r="AQ149" s="6">
        <v>1.3334927969999999</v>
      </c>
      <c r="AR149" s="6">
        <v>0.65672479699999997</v>
      </c>
      <c r="AS149" s="6">
        <v>1892.0438409999999</v>
      </c>
      <c r="AT149" s="6">
        <v>0.210090269</v>
      </c>
      <c r="AU149">
        <v>522.76098560000003</v>
      </c>
      <c r="AV149">
        <v>1.3151219759999999</v>
      </c>
    </row>
    <row r="150" spans="1:48" x14ac:dyDescent="0.25">
      <c r="A150" s="6">
        <v>3115</v>
      </c>
      <c r="B150" s="6" t="s">
        <v>30</v>
      </c>
      <c r="C150" s="6">
        <v>2311</v>
      </c>
      <c r="D150" s="6" t="s">
        <v>37</v>
      </c>
      <c r="E150" s="6" t="s">
        <v>20</v>
      </c>
      <c r="F150" s="6" t="s">
        <v>21</v>
      </c>
      <c r="G150" s="6" t="s">
        <v>15</v>
      </c>
      <c r="H150" s="6">
        <v>213</v>
      </c>
      <c r="I150" s="6">
        <v>294</v>
      </c>
      <c r="J150" s="6">
        <v>667</v>
      </c>
      <c r="K150" s="6">
        <v>667</v>
      </c>
      <c r="L150" s="6">
        <v>1.75</v>
      </c>
      <c r="M150" s="6">
        <v>1.7520273150000001</v>
      </c>
      <c r="N150" s="6">
        <v>640.14545450000003</v>
      </c>
      <c r="O150" s="6">
        <v>0.63539999999999996</v>
      </c>
      <c r="P150" s="6">
        <v>0.98899999999999999</v>
      </c>
      <c r="Q150" s="6">
        <v>186.9</v>
      </c>
      <c r="R150" s="6">
        <v>396.81818179999999</v>
      </c>
      <c r="S150" s="6">
        <v>373</v>
      </c>
      <c r="T150" s="6">
        <v>5</v>
      </c>
      <c r="U150" s="6" t="s">
        <v>177</v>
      </c>
      <c r="V150" s="6">
        <v>3.6</v>
      </c>
      <c r="W150" s="6">
        <v>80.644999999999996</v>
      </c>
      <c r="X150" s="6">
        <v>502</v>
      </c>
      <c r="Y150" s="6">
        <v>1.4</v>
      </c>
      <c r="Z150" s="6">
        <v>30.66611408</v>
      </c>
      <c r="AA150" s="6">
        <v>554.50272729999995</v>
      </c>
      <c r="AB150" s="6">
        <v>579.66772230000004</v>
      </c>
      <c r="AC150" s="6">
        <v>163.25736255342201</v>
      </c>
      <c r="AD150" s="6">
        <v>527.87056359999997</v>
      </c>
      <c r="AE150" s="6">
        <v>0.77224470300000003</v>
      </c>
      <c r="AF150" s="6">
        <v>10.19332101</v>
      </c>
      <c r="AG150" s="6">
        <v>9.1630803739999998</v>
      </c>
      <c r="AH150" s="6">
        <v>8.5131142620000002</v>
      </c>
      <c r="AI150" s="6">
        <v>4.322207723</v>
      </c>
      <c r="AJ150" s="6">
        <v>5.8711132839999998</v>
      </c>
      <c r="AK150" s="6">
        <v>8.5131142620000002</v>
      </c>
      <c r="AL150" s="6">
        <v>1.3483534740000001</v>
      </c>
      <c r="AM150" s="6">
        <v>641.49380799999994</v>
      </c>
      <c r="AN150" s="6">
        <v>332.85917339999997</v>
      </c>
      <c r="AO150" s="6">
        <v>63.056968189999999</v>
      </c>
      <c r="AP150" s="6">
        <v>403.65631569999999</v>
      </c>
      <c r="AQ150" s="6">
        <v>1.289025922</v>
      </c>
      <c r="AR150" s="6">
        <v>0.658328935</v>
      </c>
      <c r="AS150" s="6">
        <v>2171.1773750000002</v>
      </c>
      <c r="AT150" s="6">
        <v>0.17187993100000001</v>
      </c>
      <c r="AU150">
        <v>599.88399819999995</v>
      </c>
      <c r="AV150">
        <v>1.6074845259999999</v>
      </c>
    </row>
    <row r="151" spans="1:48" x14ac:dyDescent="0.25">
      <c r="A151" s="6">
        <v>3118</v>
      </c>
      <c r="B151" s="6" t="s">
        <v>30</v>
      </c>
      <c r="C151" s="6">
        <v>2311</v>
      </c>
      <c r="D151" s="6" t="s">
        <v>37</v>
      </c>
      <c r="E151" s="6" t="s">
        <v>20</v>
      </c>
      <c r="F151" s="6" t="s">
        <v>21</v>
      </c>
      <c r="G151" s="6" t="s">
        <v>15</v>
      </c>
      <c r="H151" s="6">
        <v>181</v>
      </c>
      <c r="I151" s="6">
        <v>359</v>
      </c>
      <c r="J151" s="6">
        <v>757</v>
      </c>
      <c r="K151" s="6">
        <v>757</v>
      </c>
      <c r="L151" s="6">
        <v>2.2000000000000002</v>
      </c>
      <c r="M151" s="6">
        <v>2.1973882470000001</v>
      </c>
      <c r="N151" s="6">
        <v>726.54545450000001</v>
      </c>
      <c r="O151" s="6">
        <v>0.63529999999999998</v>
      </c>
      <c r="P151" s="6">
        <v>0.98899999999999999</v>
      </c>
      <c r="Q151" s="6">
        <v>186.9</v>
      </c>
      <c r="R151" s="6">
        <v>469.54545450000001</v>
      </c>
      <c r="S151" s="6">
        <v>398</v>
      </c>
      <c r="T151" s="6">
        <v>5</v>
      </c>
      <c r="U151" s="6" t="s">
        <v>177</v>
      </c>
      <c r="V151" s="6">
        <v>4.0999999999999996</v>
      </c>
      <c r="W151" s="6">
        <v>98.193352000000004</v>
      </c>
      <c r="X151" s="6">
        <v>468</v>
      </c>
      <c r="Y151" s="6">
        <v>2.2999999999999998</v>
      </c>
      <c r="Z151" s="6">
        <v>34.938318150000001</v>
      </c>
      <c r="AA151" s="6">
        <v>650.21181820000004</v>
      </c>
      <c r="AB151" s="6">
        <v>618.7108882</v>
      </c>
      <c r="AC151" s="6">
        <v>118.149343632289</v>
      </c>
      <c r="AD151" s="6">
        <v>561.31019170000002</v>
      </c>
      <c r="AE151" s="6">
        <v>0.70266149899999997</v>
      </c>
      <c r="AF151" s="6">
        <v>10.198704620000001</v>
      </c>
      <c r="AG151" s="6">
        <v>10.07580117</v>
      </c>
      <c r="AH151" s="6">
        <v>7.8966539109999996</v>
      </c>
      <c r="AI151" s="6">
        <v>4.7527364030000001</v>
      </c>
      <c r="AJ151" s="6">
        <v>5.4459682149999997</v>
      </c>
      <c r="AK151" s="6">
        <v>7.8966539109999996</v>
      </c>
      <c r="AL151" s="6">
        <v>1.2072750409999999</v>
      </c>
      <c r="AM151" s="6">
        <v>727.75272959999995</v>
      </c>
      <c r="AN151" s="6">
        <v>355.49952949999999</v>
      </c>
      <c r="AO151" s="6">
        <v>63.33388111</v>
      </c>
      <c r="AP151" s="6">
        <v>460.14943440000002</v>
      </c>
      <c r="AQ151" s="6">
        <v>1.15415494</v>
      </c>
      <c r="AR151" s="6">
        <v>0.68755809400000001</v>
      </c>
      <c r="AS151" s="6">
        <v>1845.9655359999999</v>
      </c>
      <c r="AT151" s="6">
        <v>0.21545758300000001</v>
      </c>
      <c r="AU151">
        <v>510.02981110000002</v>
      </c>
      <c r="AV151">
        <v>1.2823606679999999</v>
      </c>
    </row>
    <row r="152" spans="1:48" x14ac:dyDescent="0.25">
      <c r="A152" s="6">
        <v>3119</v>
      </c>
      <c r="B152" s="6" t="s">
        <v>30</v>
      </c>
      <c r="C152" s="6">
        <v>2311</v>
      </c>
      <c r="D152" s="6" t="s">
        <v>37</v>
      </c>
      <c r="E152" s="6" t="s">
        <v>20</v>
      </c>
      <c r="F152" s="6" t="s">
        <v>21</v>
      </c>
      <c r="G152" s="6" t="s">
        <v>15</v>
      </c>
      <c r="H152" s="6">
        <v>181</v>
      </c>
      <c r="I152" s="6">
        <v>321</v>
      </c>
      <c r="J152" s="6">
        <v>686</v>
      </c>
      <c r="K152" s="6">
        <v>686</v>
      </c>
      <c r="L152" s="6">
        <v>2.02</v>
      </c>
      <c r="M152" s="6">
        <v>2.0165745859999999</v>
      </c>
      <c r="N152" s="6">
        <v>658.47272729999997</v>
      </c>
      <c r="O152" s="6">
        <v>0.63590000000000002</v>
      </c>
      <c r="P152" s="6">
        <v>0.98899999999999999</v>
      </c>
      <c r="Q152" s="6">
        <v>186.9</v>
      </c>
      <c r="R152" s="6">
        <v>425.45454549999999</v>
      </c>
      <c r="S152" s="6">
        <v>365</v>
      </c>
      <c r="T152" s="6">
        <v>6</v>
      </c>
      <c r="U152" s="6" t="s">
        <v>178</v>
      </c>
      <c r="V152" s="6">
        <v>4.2</v>
      </c>
      <c r="W152" s="6">
        <v>87.161116000000007</v>
      </c>
      <c r="X152" s="6">
        <v>594</v>
      </c>
      <c r="Y152" s="6">
        <v>2.1</v>
      </c>
      <c r="Z152" s="6">
        <v>34.693152640000001</v>
      </c>
      <c r="AA152" s="6">
        <v>592.18818180000005</v>
      </c>
      <c r="AB152" s="6">
        <v>557.51271059999999</v>
      </c>
      <c r="AC152" s="6">
        <v>117.329466198566</v>
      </c>
      <c r="AD152" s="6">
        <v>564.56105419999994</v>
      </c>
      <c r="AE152" s="6">
        <v>0.69545439399999998</v>
      </c>
      <c r="AF152" s="6">
        <v>9.3761330790000006</v>
      </c>
      <c r="AG152" s="6">
        <v>9.3591377730000005</v>
      </c>
      <c r="AH152" s="6">
        <v>7.1940959019999999</v>
      </c>
      <c r="AI152" s="6">
        <v>4.4146876290000003</v>
      </c>
      <c r="AJ152" s="6">
        <v>4.9614454500000003</v>
      </c>
      <c r="AK152" s="6">
        <v>7.1940959019999999</v>
      </c>
      <c r="AL152" s="6">
        <v>1.1045920220000001</v>
      </c>
      <c r="AM152" s="6">
        <v>659.5773193</v>
      </c>
      <c r="AN152" s="6">
        <v>357.70053139999999</v>
      </c>
      <c r="AO152" s="6">
        <v>63.359051909999998</v>
      </c>
      <c r="AP152" s="6">
        <v>417.2020771</v>
      </c>
      <c r="AQ152" s="6">
        <v>1.055989973</v>
      </c>
      <c r="AR152" s="6">
        <v>0.68395662700000004</v>
      </c>
      <c r="AS152" s="6">
        <v>1697.080087</v>
      </c>
      <c r="AT152" s="6">
        <v>0.215075295</v>
      </c>
      <c r="AU152">
        <v>468.89360579999999</v>
      </c>
      <c r="AV152">
        <v>1.284640016</v>
      </c>
    </row>
    <row r="153" spans="1:48" x14ac:dyDescent="0.25">
      <c r="A153" s="6">
        <v>3143</v>
      </c>
      <c r="B153" s="6" t="s">
        <v>30</v>
      </c>
      <c r="C153" s="6">
        <v>2311</v>
      </c>
      <c r="D153" s="6" t="s">
        <v>37</v>
      </c>
      <c r="E153" s="6" t="s">
        <v>20</v>
      </c>
      <c r="F153" s="6" t="s">
        <v>21</v>
      </c>
      <c r="G153" s="6" t="s">
        <v>15</v>
      </c>
      <c r="H153" s="6">
        <v>181</v>
      </c>
      <c r="I153" s="6">
        <v>302</v>
      </c>
      <c r="J153" s="6">
        <v>669</v>
      </c>
      <c r="K153" s="6">
        <v>669</v>
      </c>
      <c r="L153" s="6">
        <v>2.0299999999999998</v>
      </c>
      <c r="M153" s="6">
        <v>2.0278754389999998</v>
      </c>
      <c r="N153" s="6">
        <v>642.10909089999996</v>
      </c>
      <c r="O153" s="6">
        <v>0.63529999999999998</v>
      </c>
      <c r="P153" s="6">
        <v>0.98899999999999999</v>
      </c>
      <c r="Q153" s="6">
        <v>186.9</v>
      </c>
      <c r="R153" s="6">
        <v>404.54545450000001</v>
      </c>
      <c r="S153" s="6">
        <v>367</v>
      </c>
      <c r="T153" s="6">
        <v>5</v>
      </c>
      <c r="U153" s="6" t="s">
        <v>177</v>
      </c>
      <c r="V153" s="6">
        <v>3.7</v>
      </c>
      <c r="W153" s="6">
        <v>86.322407999999996</v>
      </c>
      <c r="X153" s="6">
        <v>477</v>
      </c>
      <c r="Y153" s="6">
        <v>1.7</v>
      </c>
      <c r="Z153" s="6">
        <v>31.978762280000002</v>
      </c>
      <c r="AA153" s="6">
        <v>564.67181819999996</v>
      </c>
      <c r="AB153" s="6">
        <v>570.07257919999995</v>
      </c>
      <c r="AC153" s="6">
        <v>132.28346878915701</v>
      </c>
      <c r="AD153" s="6">
        <v>538.40187479999997</v>
      </c>
      <c r="AE153" s="6">
        <v>0.75122556699999998</v>
      </c>
      <c r="AF153" s="6">
        <v>9.9386806889999999</v>
      </c>
      <c r="AG153" s="6">
        <v>9.1841530070000008</v>
      </c>
      <c r="AH153" s="6">
        <v>8.1294729140000008</v>
      </c>
      <c r="AI153" s="6">
        <v>4.332147645</v>
      </c>
      <c r="AJ153" s="6">
        <v>5.6065330439999999</v>
      </c>
      <c r="AK153" s="6">
        <v>8.1294729140000008</v>
      </c>
      <c r="AL153" s="6">
        <v>1.275505823</v>
      </c>
      <c r="AM153" s="6">
        <v>643.38459669999997</v>
      </c>
      <c r="AN153" s="6">
        <v>339.98941530000002</v>
      </c>
      <c r="AO153" s="6">
        <v>63.147888440000003</v>
      </c>
      <c r="AP153" s="6">
        <v>405.4783324</v>
      </c>
      <c r="AQ153" s="6">
        <v>1.2193835669999999</v>
      </c>
      <c r="AR153" s="6">
        <v>0.66602512999999997</v>
      </c>
      <c r="AS153" s="6">
        <v>1798.9012049999999</v>
      </c>
      <c r="AT153" s="6">
        <v>0.20403869499999999</v>
      </c>
      <c r="AU153">
        <v>497.0262032</v>
      </c>
      <c r="AV153">
        <v>1.354127117</v>
      </c>
    </row>
    <row r="154" spans="1:48" x14ac:dyDescent="0.25">
      <c r="A154" s="6">
        <v>3150</v>
      </c>
      <c r="B154" s="6" t="s">
        <v>51</v>
      </c>
      <c r="C154" s="6">
        <v>2311</v>
      </c>
      <c r="D154" s="6" t="s">
        <v>37</v>
      </c>
      <c r="E154" s="6" t="s">
        <v>20</v>
      </c>
      <c r="F154" s="6" t="s">
        <v>21</v>
      </c>
      <c r="G154" s="6" t="s">
        <v>15</v>
      </c>
      <c r="H154" s="6">
        <v>213</v>
      </c>
      <c r="I154" s="6">
        <v>263</v>
      </c>
      <c r="J154" s="6">
        <v>656</v>
      </c>
      <c r="K154" s="6">
        <v>656</v>
      </c>
      <c r="L154" s="6">
        <v>1.85</v>
      </c>
      <c r="M154" s="6">
        <v>1.8480580449999999</v>
      </c>
      <c r="N154" s="6">
        <v>630.10909089999996</v>
      </c>
      <c r="O154" s="6">
        <v>0.63519999999999999</v>
      </c>
      <c r="P154" s="6">
        <v>0.98899999999999999</v>
      </c>
      <c r="Q154" s="6">
        <v>186.9</v>
      </c>
      <c r="R154" s="6">
        <v>419.54545450000001</v>
      </c>
      <c r="S154" s="6">
        <v>394</v>
      </c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8" x14ac:dyDescent="0.25">
      <c r="A155" s="6">
        <v>3158</v>
      </c>
      <c r="B155" s="6" t="s">
        <v>51</v>
      </c>
      <c r="C155" s="6">
        <v>2311</v>
      </c>
      <c r="D155" s="6" t="s">
        <v>37</v>
      </c>
      <c r="E155" s="6" t="s">
        <v>20</v>
      </c>
      <c r="F155" s="6" t="s">
        <v>21</v>
      </c>
      <c r="G155" s="6" t="s">
        <v>15</v>
      </c>
      <c r="H155" s="6">
        <v>213</v>
      </c>
      <c r="I155" s="6">
        <v>279</v>
      </c>
      <c r="J155" s="6">
        <v>670</v>
      </c>
      <c r="K155" s="6">
        <v>670</v>
      </c>
      <c r="L155" s="6">
        <v>1.84</v>
      </c>
      <c r="M155" s="6">
        <v>1.8352539480000001</v>
      </c>
      <c r="N155" s="6">
        <v>643.20000000000005</v>
      </c>
      <c r="O155" s="6">
        <v>0.63539999999999996</v>
      </c>
      <c r="P155" s="6">
        <v>0.98899999999999999</v>
      </c>
      <c r="Q155" s="6">
        <v>186.9</v>
      </c>
      <c r="R155" s="6">
        <v>424.54545450000001</v>
      </c>
      <c r="S155" s="6">
        <v>391</v>
      </c>
      <c r="T155" s="6">
        <v>7</v>
      </c>
      <c r="U155" s="6" t="s">
        <v>179</v>
      </c>
      <c r="V155" s="6">
        <v>3.8</v>
      </c>
      <c r="W155" s="6">
        <v>96.064323999999999</v>
      </c>
      <c r="X155" s="6">
        <v>690</v>
      </c>
      <c r="Y155" s="6">
        <v>2.1</v>
      </c>
      <c r="Z155" s="6">
        <v>35.249422359999997</v>
      </c>
      <c r="AA155" s="6">
        <v>590.99181820000001</v>
      </c>
      <c r="AB155" s="6">
        <v>547.26717770000005</v>
      </c>
      <c r="AC155" s="6">
        <v>146.12488310383301</v>
      </c>
      <c r="AD155" s="6">
        <v>561.7906802</v>
      </c>
      <c r="AE155" s="6">
        <v>0.70160120299999995</v>
      </c>
      <c r="AF155" s="6">
        <v>9.2939774639999992</v>
      </c>
      <c r="AG155" s="6">
        <v>9.1958530629999995</v>
      </c>
      <c r="AH155" s="6">
        <v>7.1866508419999997</v>
      </c>
      <c r="AI155" s="6">
        <v>4.3376665389999998</v>
      </c>
      <c r="AJ155" s="6">
        <v>4.9563109250000004</v>
      </c>
      <c r="AK155" s="6">
        <v>7.1866508419999997</v>
      </c>
      <c r="AL155" s="6">
        <v>1.1072676779999999</v>
      </c>
      <c r="AM155" s="6">
        <v>644.30726770000001</v>
      </c>
      <c r="AN155" s="6">
        <v>355.82484499999998</v>
      </c>
      <c r="AO155" s="6">
        <v>63.337619789999998</v>
      </c>
      <c r="AP155" s="6">
        <v>407.38757049999998</v>
      </c>
      <c r="AQ155" s="6">
        <v>1.0585479</v>
      </c>
      <c r="AR155" s="6">
        <v>0.68106665499999997</v>
      </c>
      <c r="AS155" s="6">
        <v>1979.6171999999999</v>
      </c>
      <c r="AT155" s="6">
        <v>0.197467011</v>
      </c>
      <c r="AU155">
        <v>546.95700810000005</v>
      </c>
      <c r="AV155">
        <v>1.399192346</v>
      </c>
    </row>
    <row r="156" spans="1:48" x14ac:dyDescent="0.25">
      <c r="A156" s="6">
        <v>3221</v>
      </c>
      <c r="B156" s="6" t="s">
        <v>44</v>
      </c>
      <c r="C156" s="6">
        <v>2311</v>
      </c>
      <c r="D156" s="6" t="s">
        <v>37</v>
      </c>
      <c r="E156" s="6" t="s">
        <v>20</v>
      </c>
      <c r="F156" s="6" t="s">
        <v>21</v>
      </c>
      <c r="G156" s="6" t="s">
        <v>15</v>
      </c>
      <c r="H156" s="6">
        <v>181</v>
      </c>
      <c r="I156" s="6">
        <v>319</v>
      </c>
      <c r="J156" s="6">
        <v>658</v>
      </c>
      <c r="K156" s="6">
        <v>658</v>
      </c>
      <c r="L156" s="6">
        <v>1.87</v>
      </c>
      <c r="M156" s="6">
        <v>1.8746860869999999</v>
      </c>
      <c r="N156" s="6">
        <v>632.0727273</v>
      </c>
      <c r="O156" s="6">
        <v>0.63580000000000003</v>
      </c>
      <c r="P156" s="6">
        <v>0.98899999999999999</v>
      </c>
      <c r="Q156" s="6">
        <v>186.9</v>
      </c>
      <c r="R156" s="6">
        <v>399.09090909999998</v>
      </c>
      <c r="S156" s="6">
        <v>339</v>
      </c>
      <c r="T156" s="6">
        <v>6</v>
      </c>
      <c r="U156" s="6" t="s">
        <v>178</v>
      </c>
      <c r="V156" s="6">
        <v>3.7</v>
      </c>
      <c r="W156" s="6">
        <v>89.677239999999998</v>
      </c>
      <c r="X156" s="6">
        <v>616</v>
      </c>
      <c r="Y156" s="6">
        <v>2</v>
      </c>
      <c r="Z156" s="6">
        <v>33.653716699999997</v>
      </c>
      <c r="AA156" s="6">
        <v>557.49363640000001</v>
      </c>
      <c r="AB156" s="6">
        <v>535.20946830000003</v>
      </c>
      <c r="AC156" s="6">
        <v>115.282532198415</v>
      </c>
      <c r="AD156" s="6">
        <v>564.50937720000002</v>
      </c>
      <c r="AE156" s="6">
        <v>0.69556957399999997</v>
      </c>
      <c r="AF156" s="6">
        <v>9.0942655020000007</v>
      </c>
      <c r="AG156" s="6">
        <v>9.0762779099999999</v>
      </c>
      <c r="AH156" s="6">
        <v>6.9788533890000002</v>
      </c>
      <c r="AI156" s="6">
        <v>4.2812631650000004</v>
      </c>
      <c r="AJ156" s="6">
        <v>4.8130023370000004</v>
      </c>
      <c r="AK156" s="6">
        <v>6.9788533890000002</v>
      </c>
      <c r="AL156" s="6">
        <v>1.074491836</v>
      </c>
      <c r="AM156" s="6">
        <v>633.14721910000003</v>
      </c>
      <c r="AN156" s="6">
        <v>357.66554339999999</v>
      </c>
      <c r="AO156" s="6">
        <v>63.358654049999998</v>
      </c>
      <c r="AP156" s="6">
        <v>400.47277259999998</v>
      </c>
      <c r="AQ156" s="6">
        <v>1.027214195</v>
      </c>
      <c r="AR156" s="6">
        <v>0.68165722799999995</v>
      </c>
      <c r="AS156" s="6">
        <v>1646.062056</v>
      </c>
      <c r="AT156" s="6">
        <v>0.20613936199999999</v>
      </c>
      <c r="AU156">
        <v>454.79761300000001</v>
      </c>
      <c r="AV156">
        <v>1.3403278620000001</v>
      </c>
    </row>
    <row r="157" spans="1:48" x14ac:dyDescent="0.25">
      <c r="A157" s="6">
        <v>3004</v>
      </c>
      <c r="B157" s="6" t="s">
        <v>25</v>
      </c>
      <c r="C157" s="6">
        <v>2311</v>
      </c>
      <c r="D157" s="6" t="s">
        <v>37</v>
      </c>
      <c r="E157" s="6" t="s">
        <v>23</v>
      </c>
      <c r="F157" s="6" t="s">
        <v>21</v>
      </c>
      <c r="G157" s="6" t="s">
        <v>24</v>
      </c>
      <c r="H157" s="6">
        <v>213</v>
      </c>
      <c r="I157" s="6">
        <v>237</v>
      </c>
      <c r="J157" s="6">
        <v>635</v>
      </c>
      <c r="K157" s="6">
        <v>635</v>
      </c>
      <c r="L157" s="6">
        <v>1.87</v>
      </c>
      <c r="M157" s="6">
        <v>1.8672641910000001</v>
      </c>
      <c r="N157" s="6">
        <v>609.6</v>
      </c>
      <c r="O157" s="6">
        <v>0.63500000000000001</v>
      </c>
      <c r="P157" s="6">
        <v>0.98899999999999999</v>
      </c>
      <c r="Q157" s="6">
        <v>186.9</v>
      </c>
      <c r="R157" s="6">
        <v>394.54545450000001</v>
      </c>
      <c r="S157" s="6">
        <v>398</v>
      </c>
      <c r="T157" s="6">
        <v>6</v>
      </c>
      <c r="U157" s="6" t="s">
        <v>178</v>
      </c>
      <c r="V157" s="6">
        <v>4.3</v>
      </c>
      <c r="W157" s="6">
        <v>75.806299999999993</v>
      </c>
      <c r="X157" s="6">
        <v>554</v>
      </c>
      <c r="Y157" s="6">
        <v>1.8</v>
      </c>
      <c r="Z157" s="6">
        <v>33.669794420000002</v>
      </c>
      <c r="AA157" s="6">
        <v>551.51181819999999</v>
      </c>
      <c r="AB157" s="6">
        <v>528.23855200000003</v>
      </c>
      <c r="AC157" s="6">
        <v>155.824669084151</v>
      </c>
      <c r="AD157" s="6">
        <v>551.6235021</v>
      </c>
      <c r="AE157" s="6">
        <v>0.72367177299999996</v>
      </c>
      <c r="AF157" s="6">
        <v>9.2082502949999991</v>
      </c>
      <c r="AG157" s="6">
        <v>8.8331624009999992</v>
      </c>
      <c r="AH157" s="6">
        <v>7.3104131729999997</v>
      </c>
      <c r="AI157" s="6">
        <v>4.1665860380000002</v>
      </c>
      <c r="AJ157" s="6">
        <v>5.0416642569999999</v>
      </c>
      <c r="AK157" s="6">
        <v>7.3104131729999997</v>
      </c>
      <c r="AL157" s="6">
        <v>1.1387684629999999</v>
      </c>
      <c r="AM157" s="6">
        <v>610.73876849999999</v>
      </c>
      <c r="AN157" s="6">
        <v>348.94114009999998</v>
      </c>
      <c r="AO157" s="6">
        <v>63.257119899999999</v>
      </c>
      <c r="AP157" s="6">
        <v>385.61540289999999</v>
      </c>
      <c r="AQ157" s="6">
        <v>1.0886626509999999</v>
      </c>
      <c r="AR157" s="6">
        <v>0.67194991199999998</v>
      </c>
      <c r="AS157" s="6">
        <v>1961.357313</v>
      </c>
      <c r="AT157" s="6">
        <v>0.20278165000000001</v>
      </c>
      <c r="AU157">
        <v>541.9119048</v>
      </c>
      <c r="AV157">
        <v>1.362521361</v>
      </c>
    </row>
    <row r="158" spans="1:48" x14ac:dyDescent="0.25">
      <c r="A158" s="6">
        <v>3005</v>
      </c>
      <c r="B158" s="6" t="s">
        <v>25</v>
      </c>
      <c r="C158" s="6">
        <v>2311</v>
      </c>
      <c r="D158" s="6" t="s">
        <v>37</v>
      </c>
      <c r="E158" s="6" t="s">
        <v>23</v>
      </c>
      <c r="F158" s="6" t="s">
        <v>21</v>
      </c>
      <c r="G158" s="6" t="s">
        <v>24</v>
      </c>
      <c r="H158" s="6">
        <v>181</v>
      </c>
      <c r="I158" s="6">
        <v>285</v>
      </c>
      <c r="J158" s="6">
        <v>678</v>
      </c>
      <c r="K158" s="6">
        <v>678</v>
      </c>
      <c r="L158" s="6">
        <v>2.17</v>
      </c>
      <c r="M158" s="6">
        <v>2.1685082869999999</v>
      </c>
      <c r="N158" s="6">
        <v>650.83636360000003</v>
      </c>
      <c r="O158" s="6">
        <v>0.63529999999999998</v>
      </c>
      <c r="P158" s="6">
        <v>0.98899999999999999</v>
      </c>
      <c r="Q158" s="6">
        <v>186.9</v>
      </c>
      <c r="R158" s="6">
        <v>408.63636359999998</v>
      </c>
      <c r="S158" s="6">
        <v>393</v>
      </c>
      <c r="T158" s="6">
        <v>5</v>
      </c>
      <c r="U158" s="6" t="s">
        <v>177</v>
      </c>
      <c r="V158" s="6">
        <v>4.0999999999999996</v>
      </c>
      <c r="W158" s="6">
        <v>84.386927999999997</v>
      </c>
      <c r="X158" s="6">
        <v>475</v>
      </c>
      <c r="Y158" s="6">
        <v>2</v>
      </c>
      <c r="Z158" s="6">
        <v>33.378133460000001</v>
      </c>
      <c r="AA158" s="6">
        <v>570.0554545</v>
      </c>
      <c r="AB158" s="6">
        <v>553.71859870000003</v>
      </c>
      <c r="AC158" s="6">
        <v>123.709028359957</v>
      </c>
      <c r="AD158" s="6">
        <v>561.83733500000005</v>
      </c>
      <c r="AE158" s="6">
        <v>0.70149815800000004</v>
      </c>
      <c r="AF158" s="6">
        <v>9.3752348560000005</v>
      </c>
      <c r="AG158" s="6">
        <v>9.2776151609999999</v>
      </c>
      <c r="AH158" s="6">
        <v>7.24855187</v>
      </c>
      <c r="AI158" s="6">
        <v>4.3762335669999999</v>
      </c>
      <c r="AJ158" s="6">
        <v>4.9990012889999997</v>
      </c>
      <c r="AK158" s="6">
        <v>7.24855187</v>
      </c>
      <c r="AL158" s="6">
        <v>1.115895192</v>
      </c>
      <c r="AM158" s="6">
        <v>651.95225879999998</v>
      </c>
      <c r="AN158" s="6">
        <v>355.85643270000003</v>
      </c>
      <c r="AO158" s="6">
        <v>63.33798247</v>
      </c>
      <c r="AP158" s="6">
        <v>412.2266219</v>
      </c>
      <c r="AQ158" s="6">
        <v>1.066795803</v>
      </c>
      <c r="AR158" s="6">
        <v>0.68174745699999995</v>
      </c>
      <c r="AS158" s="6">
        <v>1696.9175090000001</v>
      </c>
      <c r="AT158" s="6">
        <v>0.231301756</v>
      </c>
      <c r="AU158">
        <v>468.8486863</v>
      </c>
      <c r="AV158">
        <v>1.1945189460000001</v>
      </c>
    </row>
    <row r="159" spans="1:48" x14ac:dyDescent="0.25">
      <c r="A159" s="6">
        <v>3007</v>
      </c>
      <c r="B159" s="6" t="s">
        <v>25</v>
      </c>
      <c r="C159" s="6">
        <v>2311</v>
      </c>
      <c r="D159" s="6" t="s">
        <v>37</v>
      </c>
      <c r="E159" s="6" t="s">
        <v>23</v>
      </c>
      <c r="F159" s="6" t="s">
        <v>21</v>
      </c>
      <c r="G159" s="6" t="s">
        <v>24</v>
      </c>
      <c r="H159" s="6">
        <v>213</v>
      </c>
      <c r="I159" s="6">
        <v>273</v>
      </c>
      <c r="J159" s="6">
        <v>648</v>
      </c>
      <c r="K159" s="6">
        <v>648</v>
      </c>
      <c r="L159" s="6">
        <v>1.76</v>
      </c>
      <c r="M159" s="6">
        <v>1.7626973969999999</v>
      </c>
      <c r="N159" s="6">
        <v>622.25454549999995</v>
      </c>
      <c r="O159" s="6">
        <v>0.63529999999999998</v>
      </c>
      <c r="P159" s="6">
        <v>0.98899999999999999</v>
      </c>
      <c r="Q159" s="6">
        <v>186.9</v>
      </c>
      <c r="R159" s="6" t="e">
        <v>#N/A</v>
      </c>
      <c r="S159" s="6">
        <v>375</v>
      </c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8" x14ac:dyDescent="0.25">
      <c r="A160" s="6">
        <v>3014</v>
      </c>
      <c r="B160" s="6" t="s">
        <v>25</v>
      </c>
      <c r="C160" s="6">
        <v>2311</v>
      </c>
      <c r="D160" s="6" t="s">
        <v>37</v>
      </c>
      <c r="E160" s="6" t="s">
        <v>23</v>
      </c>
      <c r="F160" s="6" t="s">
        <v>21</v>
      </c>
      <c r="G160" s="6" t="s">
        <v>24</v>
      </c>
      <c r="H160" s="6">
        <v>181</v>
      </c>
      <c r="I160" s="6">
        <v>294</v>
      </c>
      <c r="J160" s="6">
        <v>631</v>
      </c>
      <c r="K160" s="6">
        <v>631</v>
      </c>
      <c r="L160" s="6">
        <v>1.87</v>
      </c>
      <c r="M160" s="6">
        <v>1.865896534</v>
      </c>
      <c r="N160" s="6">
        <v>606.10909089999996</v>
      </c>
      <c r="O160" s="6">
        <v>0.63519999999999999</v>
      </c>
      <c r="P160" s="6">
        <v>0.98899999999999999</v>
      </c>
      <c r="Q160" s="6">
        <v>186.9</v>
      </c>
      <c r="R160" s="6">
        <v>385.45454549999999</v>
      </c>
      <c r="S160" s="6">
        <v>338</v>
      </c>
      <c r="T160" s="6">
        <v>5</v>
      </c>
      <c r="U160" s="6" t="s">
        <v>177</v>
      </c>
      <c r="V160" s="6">
        <v>4.0999999999999996</v>
      </c>
      <c r="W160" s="6">
        <v>85.419184000000001</v>
      </c>
      <c r="X160" s="6">
        <v>481</v>
      </c>
      <c r="Y160" s="6">
        <v>2.2000000000000002</v>
      </c>
      <c r="Z160" s="6">
        <v>33.927701140000003</v>
      </c>
      <c r="AA160" s="6">
        <v>539.54818179999995</v>
      </c>
      <c r="AB160" s="6">
        <v>510.68368529999998</v>
      </c>
      <c r="AC160" s="6">
        <v>116.32334250715</v>
      </c>
      <c r="AD160" s="6">
        <v>567.31819280000002</v>
      </c>
      <c r="AE160" s="6">
        <v>0.68928041100000004</v>
      </c>
      <c r="AF160" s="6">
        <v>8.7329464659999996</v>
      </c>
      <c r="AG160" s="6">
        <v>8.7951974740000001</v>
      </c>
      <c r="AH160" s="6">
        <v>6.6471891980000004</v>
      </c>
      <c r="AI160" s="6">
        <v>4.1486780540000003</v>
      </c>
      <c r="AJ160" s="6">
        <v>4.5842684120000001</v>
      </c>
      <c r="AK160" s="6">
        <v>6.6471891980000004</v>
      </c>
      <c r="AL160" s="6">
        <v>1.0243600799999999</v>
      </c>
      <c r="AM160" s="6">
        <v>607.13345100000004</v>
      </c>
      <c r="AN160" s="6">
        <v>359.56725669999997</v>
      </c>
      <c r="AO160" s="6">
        <v>63.380173810000002</v>
      </c>
      <c r="AP160" s="6">
        <v>384.15299529999999</v>
      </c>
      <c r="AQ160" s="6">
        <v>0.97928823600000003</v>
      </c>
      <c r="AR160" s="6">
        <v>0.68089644900000001</v>
      </c>
      <c r="AS160" s="6">
        <v>1580.6633099999999</v>
      </c>
      <c r="AT160" s="6">
        <v>0.21366173999999999</v>
      </c>
      <c r="AU160">
        <v>436.7283104</v>
      </c>
      <c r="AV160">
        <v>1.293139008</v>
      </c>
    </row>
    <row r="161" spans="1:48" x14ac:dyDescent="0.25">
      <c r="A161" s="6">
        <v>3017</v>
      </c>
      <c r="B161" s="6" t="s">
        <v>25</v>
      </c>
      <c r="C161" s="6">
        <v>2311</v>
      </c>
      <c r="D161" s="6" t="s">
        <v>37</v>
      </c>
      <c r="E161" s="6" t="s">
        <v>23</v>
      </c>
      <c r="F161" s="6" t="s">
        <v>21</v>
      </c>
      <c r="G161" s="6" t="s">
        <v>24</v>
      </c>
      <c r="H161" s="6">
        <v>213</v>
      </c>
      <c r="I161" s="6">
        <v>300</v>
      </c>
      <c r="J161" s="6">
        <v>682</v>
      </c>
      <c r="K161" s="6">
        <v>682</v>
      </c>
      <c r="L161" s="6">
        <v>1.79</v>
      </c>
      <c r="M161" s="6">
        <v>1.7925736240000001</v>
      </c>
      <c r="N161" s="6">
        <v>654.54545450000001</v>
      </c>
      <c r="O161" s="6">
        <v>0.63560000000000005</v>
      </c>
      <c r="P161" s="6">
        <v>0.98899999999999999</v>
      </c>
      <c r="Q161" s="6">
        <v>186.9</v>
      </c>
      <c r="R161" s="6">
        <v>420.90909090000002</v>
      </c>
      <c r="S161" s="6">
        <v>382</v>
      </c>
      <c r="T161" s="6">
        <v>5</v>
      </c>
      <c r="U161" s="6" t="s">
        <v>177</v>
      </c>
      <c r="V161" s="6">
        <v>4.0999999999999996</v>
      </c>
      <c r="W161" s="6">
        <v>87.999824000000004</v>
      </c>
      <c r="X161" s="6">
        <v>486</v>
      </c>
      <c r="Y161" s="6">
        <v>2.1</v>
      </c>
      <c r="Z161" s="6">
        <v>33.848455280000003</v>
      </c>
      <c r="AA161" s="6">
        <v>586.20636360000003</v>
      </c>
      <c r="AB161" s="6">
        <v>564.31805980000001</v>
      </c>
      <c r="AC161" s="6">
        <v>147.45171767333301</v>
      </c>
      <c r="AD161" s="6">
        <v>554.42621729999996</v>
      </c>
      <c r="AE161" s="6">
        <v>0.717664309</v>
      </c>
      <c r="AF161" s="6">
        <v>9.6322549770000006</v>
      </c>
      <c r="AG161" s="6">
        <v>9.3172415530000006</v>
      </c>
      <c r="AH161" s="6">
        <v>7.5941280879999997</v>
      </c>
      <c r="AI161" s="6">
        <v>4.394925261</v>
      </c>
      <c r="AJ161" s="6">
        <v>5.2373297159999996</v>
      </c>
      <c r="AK161" s="6">
        <v>7.5941280879999997</v>
      </c>
      <c r="AL161" s="6">
        <v>1.1749106010000001</v>
      </c>
      <c r="AM161" s="6">
        <v>655.72036509999998</v>
      </c>
      <c r="AN161" s="6">
        <v>350.83872309999998</v>
      </c>
      <c r="AO161" s="6">
        <v>63.279605500000002</v>
      </c>
      <c r="AP161" s="6">
        <v>414.1937815</v>
      </c>
      <c r="AQ161" s="6">
        <v>1.1232145339999999</v>
      </c>
      <c r="AR161" s="6">
        <v>0.67761117199999998</v>
      </c>
      <c r="AS161" s="6">
        <v>2051.67031</v>
      </c>
      <c r="AT161" s="6">
        <v>0.186101139</v>
      </c>
      <c r="AU161">
        <v>566.86487390000002</v>
      </c>
      <c r="AV161">
        <v>1.484646098</v>
      </c>
    </row>
    <row r="162" spans="1:48" x14ac:dyDescent="0.25">
      <c r="A162" s="6">
        <v>3021</v>
      </c>
      <c r="B162" s="6" t="s">
        <v>25</v>
      </c>
      <c r="C162" s="6">
        <v>2311</v>
      </c>
      <c r="D162" s="6" t="s">
        <v>37</v>
      </c>
      <c r="E162" s="6" t="s">
        <v>23</v>
      </c>
      <c r="F162" s="6" t="s">
        <v>21</v>
      </c>
      <c r="G162" s="6" t="s">
        <v>24</v>
      </c>
      <c r="H162" s="6">
        <v>213</v>
      </c>
      <c r="I162" s="6">
        <v>223</v>
      </c>
      <c r="J162" s="6">
        <v>596</v>
      </c>
      <c r="K162" s="6">
        <v>596</v>
      </c>
      <c r="L162" s="6">
        <v>1.75</v>
      </c>
      <c r="M162" s="6">
        <v>1.749893299</v>
      </c>
      <c r="N162" s="6">
        <v>572.0727273</v>
      </c>
      <c r="O162" s="6">
        <v>0.63560000000000005</v>
      </c>
      <c r="P162" s="6">
        <v>0.98899999999999999</v>
      </c>
      <c r="Q162" s="6">
        <v>186.9</v>
      </c>
      <c r="R162" s="6">
        <v>344.09090909999998</v>
      </c>
      <c r="S162" s="6">
        <v>373</v>
      </c>
      <c r="T162" s="6">
        <v>8</v>
      </c>
      <c r="U162" s="6" t="s">
        <v>176</v>
      </c>
      <c r="V162" s="6">
        <v>2.9</v>
      </c>
      <c r="W162" s="6">
        <v>84.515960000000007</v>
      </c>
      <c r="X162" s="6">
        <v>754</v>
      </c>
      <c r="Y162" s="6">
        <v>1.3</v>
      </c>
      <c r="Z162" s="6">
        <v>31.24023364</v>
      </c>
      <c r="AA162" s="6">
        <v>485.11363640000002</v>
      </c>
      <c r="AB162" s="6">
        <v>492.60146420000001</v>
      </c>
      <c r="AC162" s="6">
        <v>153.963470887109</v>
      </c>
      <c r="AD162" s="6">
        <v>555.11561270000004</v>
      </c>
      <c r="AE162" s="6">
        <v>0.716177697</v>
      </c>
      <c r="AF162" s="6">
        <v>8.6888237620000002</v>
      </c>
      <c r="AG162" s="6">
        <v>8.422110387</v>
      </c>
      <c r="AH162" s="6">
        <v>6.8383887650000004</v>
      </c>
      <c r="AI162" s="6">
        <v>3.972693579</v>
      </c>
      <c r="AJ162" s="6">
        <v>4.7161301829999998</v>
      </c>
      <c r="AK162" s="6">
        <v>6.8383887650000004</v>
      </c>
      <c r="AL162" s="6">
        <v>1.066930285</v>
      </c>
      <c r="AM162" s="6">
        <v>573.13965759999996</v>
      </c>
      <c r="AN162" s="6">
        <v>351.30547940000002</v>
      </c>
      <c r="AO162" s="6">
        <v>63.285101589999996</v>
      </c>
      <c r="AP162" s="6">
        <v>362.03680659999998</v>
      </c>
      <c r="AQ162" s="6">
        <v>1.019985352</v>
      </c>
      <c r="AR162" s="6">
        <v>0.670641076</v>
      </c>
      <c r="AS162" s="6">
        <v>1850.7194609999999</v>
      </c>
      <c r="AT162" s="6">
        <v>0.201395879</v>
      </c>
      <c r="AU162">
        <v>511.3432937</v>
      </c>
      <c r="AV162">
        <v>1.3718966420000001</v>
      </c>
    </row>
    <row r="163" spans="1:48" x14ac:dyDescent="0.25">
      <c r="A163" s="6">
        <v>3023</v>
      </c>
      <c r="B163" s="6" t="s">
        <v>68</v>
      </c>
      <c r="C163" s="6">
        <v>2311</v>
      </c>
      <c r="D163" s="6" t="s">
        <v>37</v>
      </c>
      <c r="E163" s="6" t="s">
        <v>23</v>
      </c>
      <c r="F163" s="6" t="s">
        <v>21</v>
      </c>
      <c r="G163" s="6" t="s">
        <v>24</v>
      </c>
      <c r="H163" s="6">
        <v>213</v>
      </c>
      <c r="I163" s="6">
        <v>265</v>
      </c>
      <c r="J163" s="6">
        <v>723</v>
      </c>
      <c r="K163" s="6">
        <v>723</v>
      </c>
      <c r="L163" s="6">
        <v>2.15</v>
      </c>
      <c r="M163" s="6">
        <v>2.1468203159999999</v>
      </c>
      <c r="N163" s="6">
        <v>693.81818180000005</v>
      </c>
      <c r="O163" s="6">
        <v>0.63500000000000001</v>
      </c>
      <c r="P163" s="6">
        <v>0.98899999999999999</v>
      </c>
      <c r="Q163" s="6">
        <v>186.9</v>
      </c>
      <c r="R163" s="6">
        <v>445.90909090000002</v>
      </c>
      <c r="S163" s="6">
        <v>457</v>
      </c>
      <c r="T163" s="6">
        <v>6</v>
      </c>
      <c r="U163" s="6" t="s">
        <v>178</v>
      </c>
      <c r="V163" s="6">
        <v>4.4000000000000004</v>
      </c>
      <c r="W163" s="6">
        <v>85.161119999999997</v>
      </c>
      <c r="X163" s="6">
        <v>570</v>
      </c>
      <c r="Y163" s="6">
        <v>2.1</v>
      </c>
      <c r="Z163" s="6">
        <v>35.226073280000001</v>
      </c>
      <c r="AA163" s="6">
        <v>619.10636360000001</v>
      </c>
      <c r="AB163" s="6">
        <v>579.19479079999996</v>
      </c>
      <c r="AC163" s="6">
        <v>146.14182802234001</v>
      </c>
      <c r="AD163" s="6">
        <v>572.59681220000004</v>
      </c>
      <c r="AE163" s="6">
        <v>0.677302776</v>
      </c>
      <c r="AF163" s="6">
        <v>9.4966159809999997</v>
      </c>
      <c r="AG163" s="6">
        <v>9.7334489140000002</v>
      </c>
      <c r="AH163" s="6">
        <v>7.1127814159999998</v>
      </c>
      <c r="AI163" s="6">
        <v>4.5912494879999999</v>
      </c>
      <c r="AJ163" s="6">
        <v>4.9053664929999998</v>
      </c>
      <c r="AK163" s="6">
        <v>7.1127814159999998</v>
      </c>
      <c r="AL163" s="6">
        <v>1.0826921629999999</v>
      </c>
      <c r="AM163" s="6">
        <v>694.90087400000004</v>
      </c>
      <c r="AN163" s="6">
        <v>363.14115479999998</v>
      </c>
      <c r="AO163" s="6">
        <v>63.420044789999999</v>
      </c>
      <c r="AP163" s="6">
        <v>440.01980170000002</v>
      </c>
      <c r="AQ163" s="6">
        <v>1.035053708</v>
      </c>
      <c r="AR163" s="6">
        <v>0.69124320500000003</v>
      </c>
      <c r="AS163" s="6">
        <v>2022.7792039999999</v>
      </c>
      <c r="AT163" s="6">
        <v>0.226061612</v>
      </c>
      <c r="AU163">
        <v>558.88242509999998</v>
      </c>
      <c r="AV163">
        <v>1.2222080870000001</v>
      </c>
    </row>
    <row r="164" spans="1:48" x14ac:dyDescent="0.25">
      <c r="A164" s="6">
        <v>3114</v>
      </c>
      <c r="B164" s="6" t="s">
        <v>46</v>
      </c>
      <c r="C164" s="6">
        <v>2311</v>
      </c>
      <c r="D164" s="6" t="s">
        <v>37</v>
      </c>
      <c r="E164" s="6" t="s">
        <v>23</v>
      </c>
      <c r="F164" s="6" t="s">
        <v>21</v>
      </c>
      <c r="G164" s="6" t="s">
        <v>24</v>
      </c>
      <c r="H164" s="6">
        <v>213</v>
      </c>
      <c r="I164" s="6">
        <v>300</v>
      </c>
      <c r="J164" s="6">
        <v>641</v>
      </c>
      <c r="K164" s="6">
        <v>641</v>
      </c>
      <c r="L164" s="6">
        <v>1.6</v>
      </c>
      <c r="M164" s="6">
        <v>1.60264618</v>
      </c>
      <c r="N164" s="6">
        <v>615.70909089999998</v>
      </c>
      <c r="O164" s="6">
        <v>0.63519999999999999</v>
      </c>
      <c r="P164" s="6">
        <v>0.98899999999999999</v>
      </c>
      <c r="Q164" s="6">
        <v>186.9</v>
      </c>
      <c r="R164" s="6">
        <v>385.45454549999999</v>
      </c>
      <c r="S164" s="6">
        <v>341</v>
      </c>
      <c r="T164" s="6">
        <v>6</v>
      </c>
      <c r="U164" s="6" t="s">
        <v>178</v>
      </c>
      <c r="V164" s="6">
        <v>3</v>
      </c>
      <c r="W164" s="6">
        <v>97.612707999999998</v>
      </c>
      <c r="X164" s="6">
        <v>603</v>
      </c>
      <c r="Y164" s="6">
        <v>1.7</v>
      </c>
      <c r="Z164" s="6">
        <v>31.663447229999999</v>
      </c>
      <c r="AA164" s="6">
        <v>539.54818179999995</v>
      </c>
      <c r="AB164" s="6">
        <v>546.92191270000001</v>
      </c>
      <c r="AC164" s="6">
        <v>154.071382569165</v>
      </c>
      <c r="AD164" s="6">
        <v>538.11876719999998</v>
      </c>
      <c r="AE164" s="6">
        <v>0.75180137700000005</v>
      </c>
      <c r="AF164" s="6">
        <v>9.6379918569999994</v>
      </c>
      <c r="AG164" s="6">
        <v>8.8994705639999996</v>
      </c>
      <c r="AH164" s="6">
        <v>7.8881861559999997</v>
      </c>
      <c r="AI164" s="6">
        <v>4.197863474</v>
      </c>
      <c r="AJ164" s="6">
        <v>5.4401283840000003</v>
      </c>
      <c r="AK164" s="6">
        <v>7.8881861559999997</v>
      </c>
      <c r="AL164" s="6">
        <v>1.2413953600000001</v>
      </c>
      <c r="AM164" s="6">
        <v>616.95048629999997</v>
      </c>
      <c r="AN164" s="6">
        <v>339.7977368</v>
      </c>
      <c r="AO164" s="6">
        <v>63.145490819999999</v>
      </c>
      <c r="AP164" s="6">
        <v>388.79252750000001</v>
      </c>
      <c r="AQ164" s="6">
        <v>1.1867739639999999</v>
      </c>
      <c r="AR164" s="6">
        <v>0.66354986800000004</v>
      </c>
      <c r="AS164" s="6">
        <v>2052.8922659999998</v>
      </c>
      <c r="AT164" s="6">
        <v>0.166284243</v>
      </c>
      <c r="AU164">
        <v>567.20249330000001</v>
      </c>
      <c r="AV164">
        <v>1.661578542</v>
      </c>
    </row>
    <row r="165" spans="1:48" x14ac:dyDescent="0.25">
      <c r="A165" s="6">
        <v>3116</v>
      </c>
      <c r="B165" s="6" t="s">
        <v>25</v>
      </c>
      <c r="C165" s="6">
        <v>2311</v>
      </c>
      <c r="D165" s="6" t="s">
        <v>37</v>
      </c>
      <c r="E165" s="6" t="s">
        <v>23</v>
      </c>
      <c r="F165" s="6" t="s">
        <v>21</v>
      </c>
      <c r="G165" s="6" t="s">
        <v>24</v>
      </c>
      <c r="H165" s="6">
        <v>213</v>
      </c>
      <c r="I165" s="6">
        <v>279</v>
      </c>
      <c r="J165" s="6">
        <v>711</v>
      </c>
      <c r="K165" s="6">
        <v>711</v>
      </c>
      <c r="L165" s="6">
        <v>2.0299999999999998</v>
      </c>
      <c r="M165" s="6">
        <v>2.0294494240000001</v>
      </c>
      <c r="N165" s="6">
        <v>682.90909090000002</v>
      </c>
      <c r="O165" s="6">
        <v>0.63529999999999998</v>
      </c>
      <c r="P165" s="6">
        <v>0.98899999999999999</v>
      </c>
      <c r="Q165" s="6">
        <v>186.9</v>
      </c>
      <c r="R165" s="6">
        <v>441.81818179999999</v>
      </c>
      <c r="S165" s="6">
        <v>432</v>
      </c>
      <c r="T165" s="6">
        <v>7</v>
      </c>
      <c r="U165" s="6" t="s">
        <v>179</v>
      </c>
      <c r="V165" s="6">
        <v>3.5</v>
      </c>
      <c r="W165" s="6">
        <v>90.967560000000006</v>
      </c>
      <c r="X165" s="6">
        <v>714</v>
      </c>
      <c r="Y165" s="6">
        <v>1.4</v>
      </c>
      <c r="Z165" s="6">
        <v>32.600186440000002</v>
      </c>
      <c r="AA165" s="6">
        <v>613.72272729999997</v>
      </c>
      <c r="AB165" s="6">
        <v>615.17852819999996</v>
      </c>
      <c r="AC165" s="6">
        <v>165.605318933934</v>
      </c>
      <c r="AD165" s="6">
        <v>530.62733909999997</v>
      </c>
      <c r="AE165" s="6">
        <v>0.766822051</v>
      </c>
      <c r="AF165" s="6">
        <v>10.624745280000001</v>
      </c>
      <c r="AG165" s="6">
        <v>9.6184405940000008</v>
      </c>
      <c r="AH165" s="6">
        <v>8.8272302549999999</v>
      </c>
      <c r="AI165" s="6">
        <v>4.53700028</v>
      </c>
      <c r="AJ165" s="6">
        <v>6.0877450030000002</v>
      </c>
      <c r="AK165" s="6">
        <v>8.8272302549999999</v>
      </c>
      <c r="AL165" s="6">
        <v>1.3886795460000001</v>
      </c>
      <c r="AM165" s="6">
        <v>684.29777049999996</v>
      </c>
      <c r="AN165" s="6">
        <v>334.72565279999998</v>
      </c>
      <c r="AO165" s="6">
        <v>63.081117040000002</v>
      </c>
      <c r="AP165" s="6">
        <v>430.78668290000002</v>
      </c>
      <c r="AQ165" s="6">
        <v>1.3275776459999999</v>
      </c>
      <c r="AR165" s="6">
        <v>0.66384242500000001</v>
      </c>
      <c r="AS165" s="6">
        <v>2263.070745</v>
      </c>
      <c r="AT165" s="6">
        <v>0.19101158400000001</v>
      </c>
      <c r="AU165">
        <v>625.27361550000001</v>
      </c>
      <c r="AV165">
        <v>1.446479447</v>
      </c>
    </row>
    <row r="166" spans="1:48" x14ac:dyDescent="0.25">
      <c r="A166" s="6">
        <v>3137</v>
      </c>
      <c r="B166" s="6" t="s">
        <v>46</v>
      </c>
      <c r="C166" s="6">
        <v>2311</v>
      </c>
      <c r="D166" s="6" t="s">
        <v>37</v>
      </c>
      <c r="E166" s="6" t="s">
        <v>23</v>
      </c>
      <c r="F166" s="6" t="s">
        <v>21</v>
      </c>
      <c r="G166" s="6" t="s">
        <v>24</v>
      </c>
      <c r="H166" s="6">
        <v>213</v>
      </c>
      <c r="I166" s="6">
        <v>266</v>
      </c>
      <c r="J166" s="6">
        <v>608</v>
      </c>
      <c r="K166" s="6">
        <v>608</v>
      </c>
      <c r="L166" s="6">
        <v>1.6</v>
      </c>
      <c r="M166" s="6">
        <v>1.60264618</v>
      </c>
      <c r="N166" s="6">
        <v>583.41818179999996</v>
      </c>
      <c r="O166" s="6">
        <v>0.63519999999999999</v>
      </c>
      <c r="P166" s="6">
        <v>0.98899999999999999</v>
      </c>
      <c r="Q166" s="6">
        <v>186.9</v>
      </c>
      <c r="R166" s="6">
        <v>364.09090909999998</v>
      </c>
      <c r="S166" s="6">
        <v>341</v>
      </c>
      <c r="T166" s="6">
        <v>5</v>
      </c>
      <c r="U166" s="6" t="s">
        <v>177</v>
      </c>
      <c r="V166" s="6">
        <v>3.1</v>
      </c>
      <c r="W166" s="6">
        <v>88.322404000000006</v>
      </c>
      <c r="X166" s="6">
        <v>475</v>
      </c>
      <c r="Y166" s="6">
        <v>1.5</v>
      </c>
      <c r="Z166" s="6">
        <v>29.867760959999998</v>
      </c>
      <c r="AA166" s="6">
        <v>511.43363640000001</v>
      </c>
      <c r="AB166" s="6">
        <v>544.10703149999995</v>
      </c>
      <c r="AC166" s="6">
        <v>173.30300261974301</v>
      </c>
      <c r="AD166" s="6">
        <v>512.53498809999996</v>
      </c>
      <c r="AE166" s="6">
        <v>0.80138083400000004</v>
      </c>
      <c r="AF166" s="6">
        <v>9.8667854449999997</v>
      </c>
      <c r="AG166" s="6">
        <v>8.547074039</v>
      </c>
      <c r="AH166" s="6">
        <v>8.4609627829999994</v>
      </c>
      <c r="AI166" s="6">
        <v>4.0316386980000001</v>
      </c>
      <c r="AJ166" s="6">
        <v>5.8351467469999996</v>
      </c>
      <c r="AK166" s="6">
        <v>8.4609627829999994</v>
      </c>
      <c r="AL166" s="6">
        <v>1.368122662</v>
      </c>
      <c r="AM166" s="6">
        <v>584.78630450000003</v>
      </c>
      <c r="AN166" s="6">
        <v>322.47619630000003</v>
      </c>
      <c r="AO166" s="6">
        <v>62.917889279999997</v>
      </c>
      <c r="AP166" s="6">
        <v>367.0744057</v>
      </c>
      <c r="AQ166" s="6">
        <v>1.3079252649999999</v>
      </c>
      <c r="AR166" s="6">
        <v>0.64168645899999999</v>
      </c>
      <c r="AS166" s="6">
        <v>2101.6253000000002</v>
      </c>
      <c r="AT166" s="6">
        <v>0.162428401</v>
      </c>
      <c r="AU166">
        <v>580.66715429999999</v>
      </c>
      <c r="AV166">
        <v>1.701022289</v>
      </c>
    </row>
    <row r="167" spans="1:48" x14ac:dyDescent="0.25">
      <c r="A167" s="6">
        <v>3144</v>
      </c>
      <c r="B167" s="6" t="s">
        <v>46</v>
      </c>
      <c r="C167" s="6">
        <v>2311</v>
      </c>
      <c r="D167" s="6" t="s">
        <v>37</v>
      </c>
      <c r="E167" s="6" t="s">
        <v>23</v>
      </c>
      <c r="F167" s="6" t="s">
        <v>21</v>
      </c>
      <c r="G167" s="6" t="s">
        <v>24</v>
      </c>
      <c r="H167" s="6">
        <v>181</v>
      </c>
      <c r="I167" s="6">
        <v>315</v>
      </c>
      <c r="J167" s="6">
        <v>671</v>
      </c>
      <c r="K167" s="6">
        <v>671</v>
      </c>
      <c r="L167" s="6">
        <v>1.97</v>
      </c>
      <c r="M167" s="6">
        <v>1.9650929180000001</v>
      </c>
      <c r="N167" s="6">
        <v>644.29090910000002</v>
      </c>
      <c r="O167" s="6">
        <v>0.63549999999999995</v>
      </c>
      <c r="P167" s="6">
        <v>0.98899999999999999</v>
      </c>
      <c r="Q167" s="6">
        <v>186.9</v>
      </c>
      <c r="R167" s="6">
        <v>408.18181820000001</v>
      </c>
      <c r="S167" s="6">
        <v>356</v>
      </c>
      <c r="T167" s="6">
        <v>6</v>
      </c>
      <c r="U167" s="6" t="s">
        <v>178</v>
      </c>
      <c r="V167" s="6">
        <v>3</v>
      </c>
      <c r="W167" s="6">
        <v>96.386904000000001</v>
      </c>
      <c r="X167" s="6">
        <v>597</v>
      </c>
      <c r="Y167" s="6">
        <v>1.5</v>
      </c>
      <c r="Z167" s="6">
        <v>30.99920281</v>
      </c>
      <c r="AA167" s="6">
        <v>569.45727269999998</v>
      </c>
      <c r="AB167" s="6">
        <v>591.12080879999996</v>
      </c>
      <c r="AC167" s="6">
        <v>140.281541293092</v>
      </c>
      <c r="AD167" s="6">
        <v>520.99511629999995</v>
      </c>
      <c r="AE167" s="6">
        <v>0.78552319699999995</v>
      </c>
      <c r="AF167" s="6">
        <v>10.418909859999999</v>
      </c>
      <c r="AG167" s="6">
        <v>9.2075481589999999</v>
      </c>
      <c r="AH167" s="6">
        <v>8.8098038160000005</v>
      </c>
      <c r="AI167" s="6">
        <v>4.3431830939999996</v>
      </c>
      <c r="AJ167" s="6">
        <v>6.0757267700000002</v>
      </c>
      <c r="AK167" s="6">
        <v>8.8098038160000005</v>
      </c>
      <c r="AL167" s="6">
        <v>1.403651143</v>
      </c>
      <c r="AM167" s="6">
        <v>645.69456019999996</v>
      </c>
      <c r="AN167" s="6">
        <v>328.20414030000001</v>
      </c>
      <c r="AO167" s="6">
        <v>62.995627030000001</v>
      </c>
      <c r="AP167" s="6">
        <v>405.8750981</v>
      </c>
      <c r="AQ167" s="6">
        <v>1.341890493</v>
      </c>
      <c r="AR167" s="6">
        <v>0.65352183200000002</v>
      </c>
      <c r="AS167" s="6">
        <v>1885.8226850000001</v>
      </c>
      <c r="AT167" s="6">
        <v>0.188608304</v>
      </c>
      <c r="AU167">
        <v>521.04211550000002</v>
      </c>
      <c r="AV167">
        <v>1.4649107400000001</v>
      </c>
    </row>
    <row r="168" spans="1:48" x14ac:dyDescent="0.25">
      <c r="A168" s="6">
        <v>3216</v>
      </c>
      <c r="B168" s="6" t="s">
        <v>25</v>
      </c>
      <c r="C168" s="6">
        <v>2311</v>
      </c>
      <c r="D168" s="6" t="s">
        <v>37</v>
      </c>
      <c r="E168" s="6" t="s">
        <v>23</v>
      </c>
      <c r="F168" s="6" t="s">
        <v>21</v>
      </c>
      <c r="G168" s="6" t="s">
        <v>24</v>
      </c>
      <c r="H168" s="6">
        <v>181</v>
      </c>
      <c r="I168" s="6">
        <v>321</v>
      </c>
      <c r="J168" s="6">
        <v>656</v>
      </c>
      <c r="K168" s="6">
        <v>656</v>
      </c>
      <c r="L168" s="6">
        <v>1.85</v>
      </c>
      <c r="M168" s="6">
        <v>1.85334003</v>
      </c>
      <c r="N168" s="6">
        <v>630.10909089999996</v>
      </c>
      <c r="O168" s="6">
        <v>0.63560000000000005</v>
      </c>
      <c r="P168" s="6">
        <v>0.98899999999999999</v>
      </c>
      <c r="Q168" s="6">
        <v>186.9</v>
      </c>
      <c r="R168" s="6">
        <v>412.27272729999999</v>
      </c>
      <c r="S168" s="6">
        <v>335</v>
      </c>
      <c r="T168" s="6">
        <v>7</v>
      </c>
      <c r="U168" s="6" t="s">
        <v>179</v>
      </c>
      <c r="V168" s="6">
        <v>3.2</v>
      </c>
      <c r="W168" s="6">
        <v>77.677263999999994</v>
      </c>
      <c r="X168" s="6">
        <v>652</v>
      </c>
      <c r="Y168" s="6">
        <v>0.6</v>
      </c>
      <c r="Z168" s="6">
        <v>28.88027963</v>
      </c>
      <c r="AA168" s="6">
        <v>574.84090909999998</v>
      </c>
      <c r="AB168" s="6">
        <v>631.07533279999996</v>
      </c>
      <c r="AC168" s="6">
        <v>167.355281211609</v>
      </c>
      <c r="AD168" s="6">
        <v>477.26813229999999</v>
      </c>
      <c r="AE168" s="6">
        <v>0.86176367099999995</v>
      </c>
      <c r="AF168" s="6">
        <v>11.24091735</v>
      </c>
      <c r="AG168" s="6">
        <v>9.055121991</v>
      </c>
      <c r="AH168" s="6">
        <v>10.105968409999999</v>
      </c>
      <c r="AI168" s="6">
        <v>4.2712839579999997</v>
      </c>
      <c r="AJ168" s="6">
        <v>6.969633387</v>
      </c>
      <c r="AK168" s="6">
        <v>10.105968409999999</v>
      </c>
      <c r="AL168" s="6">
        <v>1.6890033019999999</v>
      </c>
      <c r="AM168" s="6">
        <v>631.79809420000004</v>
      </c>
      <c r="AN168" s="6">
        <v>298.59871270000002</v>
      </c>
      <c r="AO168" s="6">
        <v>62.564142140000001</v>
      </c>
      <c r="AP168" s="6">
        <v>394.22234730000002</v>
      </c>
      <c r="AQ168" s="6">
        <v>1.6146871570000001</v>
      </c>
      <c r="AR168" s="6">
        <v>0.61582969099999996</v>
      </c>
      <c r="AS168" s="6">
        <v>2034.606039</v>
      </c>
      <c r="AT168" s="6">
        <v>0.16487444700000001</v>
      </c>
      <c r="AU168">
        <v>562.15011270000002</v>
      </c>
      <c r="AV168">
        <v>1.675786244</v>
      </c>
    </row>
    <row r="169" spans="1:48" x14ac:dyDescent="0.25">
      <c r="A169" s="6">
        <v>3225</v>
      </c>
      <c r="B169" s="6" t="s">
        <v>32</v>
      </c>
      <c r="C169" s="6">
        <v>2311</v>
      </c>
      <c r="D169" s="6" t="s">
        <v>37</v>
      </c>
      <c r="E169" s="6" t="s">
        <v>23</v>
      </c>
      <c r="F169" s="6" t="s">
        <v>21</v>
      </c>
      <c r="G169" s="6" t="s">
        <v>24</v>
      </c>
      <c r="H169" s="6">
        <v>181</v>
      </c>
      <c r="I169" s="6">
        <v>285</v>
      </c>
      <c r="J169" s="6">
        <v>641</v>
      </c>
      <c r="K169" s="6">
        <v>641</v>
      </c>
      <c r="L169" s="6">
        <v>1.97</v>
      </c>
      <c r="M169" s="6">
        <v>1.966348569</v>
      </c>
      <c r="N169" s="6">
        <v>615.70909089999998</v>
      </c>
      <c r="O169" s="6">
        <v>0.63580000000000003</v>
      </c>
      <c r="P169" s="6">
        <v>0.98899999999999999</v>
      </c>
      <c r="Q169" s="6">
        <v>186.9</v>
      </c>
      <c r="R169" s="6">
        <v>386.36363640000002</v>
      </c>
      <c r="S169" s="6">
        <v>356</v>
      </c>
      <c r="T169" s="6">
        <v>8</v>
      </c>
      <c r="U169" s="6" t="s">
        <v>176</v>
      </c>
      <c r="V169" s="6">
        <v>4.0999999999999996</v>
      </c>
      <c r="W169" s="6">
        <v>87.354664</v>
      </c>
      <c r="X169" s="6">
        <v>775</v>
      </c>
      <c r="Y169" s="6">
        <v>2.2000000000000002</v>
      </c>
      <c r="Z169" s="6">
        <v>36.151402570000002</v>
      </c>
      <c r="AA169" s="6">
        <v>540.74454549999996</v>
      </c>
      <c r="AB169" s="6">
        <v>476.43719959999999</v>
      </c>
      <c r="AC169" s="6">
        <v>97.125533681064994</v>
      </c>
      <c r="AD169" s="6">
        <v>617.72872840000002</v>
      </c>
      <c r="AE169" s="6">
        <v>0.56645392699999997</v>
      </c>
      <c r="AF169" s="6">
        <v>7.2618626390000003</v>
      </c>
      <c r="AG169" s="6">
        <v>8.8994705639999996</v>
      </c>
      <c r="AH169" s="6">
        <v>4.4427987900000003</v>
      </c>
      <c r="AI169" s="6">
        <v>4.197863474</v>
      </c>
      <c r="AJ169" s="6">
        <v>3.0639991659999999</v>
      </c>
      <c r="AK169" s="6">
        <v>4.4427987900000003</v>
      </c>
      <c r="AL169" s="6">
        <v>0.66936418600000003</v>
      </c>
      <c r="AM169" s="6">
        <v>616.3784551</v>
      </c>
      <c r="AN169" s="6">
        <v>393.69779410000001</v>
      </c>
      <c r="AO169" s="6">
        <v>63.733120380000003</v>
      </c>
      <c r="AP169" s="6">
        <v>392.41061610000003</v>
      </c>
      <c r="AQ169" s="6">
        <v>0.63991216200000001</v>
      </c>
      <c r="AR169" s="6">
        <v>0.699967597</v>
      </c>
      <c r="AS169" s="6">
        <v>1314.397138</v>
      </c>
      <c r="AT169" s="6">
        <v>0.27077743900000001</v>
      </c>
      <c r="AU169">
        <v>363.16047659999998</v>
      </c>
      <c r="AV169">
        <v>1.020374264</v>
      </c>
    </row>
    <row r="170" spans="1:48" x14ac:dyDescent="0.25">
      <c r="A170" s="6">
        <v>3501</v>
      </c>
      <c r="B170" s="6" t="s">
        <v>13</v>
      </c>
      <c r="C170" s="6">
        <v>2404</v>
      </c>
      <c r="D170" s="6" t="s">
        <v>16</v>
      </c>
      <c r="E170" s="6" t="s">
        <v>14</v>
      </c>
      <c r="F170" s="6" t="s">
        <v>15</v>
      </c>
      <c r="G170" s="6" t="s">
        <v>15</v>
      </c>
      <c r="H170" s="6">
        <v>254</v>
      </c>
      <c r="I170" s="6">
        <v>289</v>
      </c>
      <c r="J170" s="6">
        <v>704</v>
      </c>
      <c r="K170" s="6">
        <v>665</v>
      </c>
      <c r="L170" s="6">
        <v>1.63</v>
      </c>
      <c r="M170" s="6">
        <v>1.4817465999999999</v>
      </c>
      <c r="N170" s="6">
        <v>675.49090909999995</v>
      </c>
      <c r="O170" s="6">
        <v>0.64870000000000005</v>
      </c>
      <c r="P170" s="6">
        <v>0.98899999999999999</v>
      </c>
      <c r="Q170" s="6">
        <v>205.02</v>
      </c>
      <c r="R170" s="6">
        <v>431</v>
      </c>
      <c r="S170" s="6">
        <v>415</v>
      </c>
      <c r="T170" s="6">
        <v>4</v>
      </c>
      <c r="U170" s="6" t="s">
        <v>175</v>
      </c>
      <c r="V170" s="6">
        <v>4.04</v>
      </c>
      <c r="W170" s="6">
        <v>93.554000000000002</v>
      </c>
      <c r="X170" s="6">
        <v>441</v>
      </c>
      <c r="Y170" s="6">
        <v>2.1844000000000001</v>
      </c>
      <c r="Z170" s="6">
        <v>33.333749419999997</v>
      </c>
      <c r="AA170" s="6">
        <v>599.96454549999999</v>
      </c>
      <c r="AB170" s="6">
        <v>587.99694590000001</v>
      </c>
      <c r="AC170" s="6">
        <v>202.032238365122</v>
      </c>
      <c r="AD170" s="6">
        <v>549.12641429999996</v>
      </c>
      <c r="AE170" s="6">
        <v>0.72897504400000002</v>
      </c>
      <c r="AF170" s="6">
        <v>10.01795452</v>
      </c>
      <c r="AG170" s="6">
        <v>9.5399726109999996</v>
      </c>
      <c r="AH170" s="6">
        <v>8.0010527840000005</v>
      </c>
      <c r="AI170" s="6">
        <v>4.4999870810000004</v>
      </c>
      <c r="AJ170" s="6">
        <v>5.5179674370000003</v>
      </c>
      <c r="AK170" s="6">
        <v>8.0010527840000005</v>
      </c>
      <c r="AL170" s="6">
        <v>1.2402866910000001</v>
      </c>
      <c r="AM170" s="6">
        <v>676.73119580000002</v>
      </c>
      <c r="AN170" s="6">
        <v>347.25048270000002</v>
      </c>
      <c r="AO170" s="6">
        <v>63.236892920000003</v>
      </c>
      <c r="AP170" s="6">
        <v>427.15946289999999</v>
      </c>
      <c r="AQ170" s="6">
        <v>1.185714076</v>
      </c>
      <c r="AR170" s="6">
        <v>0.67598887500000004</v>
      </c>
      <c r="AS170" s="6">
        <v>2544.5604469999998</v>
      </c>
      <c r="AT170" s="6">
        <v>0.14790909599999999</v>
      </c>
      <c r="AU170">
        <v>703.04762419999997</v>
      </c>
      <c r="AV170">
        <v>1.6940906609999999</v>
      </c>
    </row>
    <row r="171" spans="1:48" x14ac:dyDescent="0.25">
      <c r="A171" s="6">
        <v>3503</v>
      </c>
      <c r="B171" s="6" t="s">
        <v>18</v>
      </c>
      <c r="C171" s="6">
        <v>2404</v>
      </c>
      <c r="D171" s="6" t="s">
        <v>16</v>
      </c>
      <c r="E171" s="6" t="s">
        <v>14</v>
      </c>
      <c r="F171" s="6" t="s">
        <v>15</v>
      </c>
      <c r="G171" s="6" t="s">
        <v>15</v>
      </c>
      <c r="H171" s="6">
        <v>211</v>
      </c>
      <c r="I171" s="6">
        <v>317</v>
      </c>
      <c r="J171" s="6">
        <v>685</v>
      </c>
      <c r="K171" s="6">
        <v>665</v>
      </c>
      <c r="L171" s="6">
        <v>1.75</v>
      </c>
      <c r="M171" s="6">
        <v>1.6533821630000001</v>
      </c>
      <c r="N171" s="6">
        <v>657.81818180000005</v>
      </c>
      <c r="O171" s="6">
        <v>0.63800000000000001</v>
      </c>
      <c r="P171" s="6">
        <v>0.98899999999999999</v>
      </c>
      <c r="Q171" s="6">
        <v>185.46</v>
      </c>
      <c r="R171" s="6">
        <v>424.54545450000001</v>
      </c>
      <c r="S171" s="6">
        <v>369</v>
      </c>
      <c r="T171" s="6">
        <v>7</v>
      </c>
      <c r="U171" s="6" t="s">
        <v>179</v>
      </c>
      <c r="V171" s="6">
        <v>5.14</v>
      </c>
      <c r="W171" s="6">
        <v>71.488159999999993</v>
      </c>
      <c r="X171" s="6">
        <v>712</v>
      </c>
      <c r="Y171" s="6">
        <v>2.2606000000000002</v>
      </c>
      <c r="Z171" s="6">
        <v>37.503836819999997</v>
      </c>
      <c r="AA171" s="6">
        <v>590.99181820000001</v>
      </c>
      <c r="AB171" s="6">
        <v>511.18642560000001</v>
      </c>
      <c r="AC171" s="6">
        <v>117.695425077869</v>
      </c>
      <c r="AD171" s="6">
        <v>615.11236450000001</v>
      </c>
      <c r="AE171" s="6">
        <v>0.57329268499999997</v>
      </c>
      <c r="AF171" s="6">
        <v>7.7233829390000004</v>
      </c>
      <c r="AG171" s="6">
        <v>9.3521594169999993</v>
      </c>
      <c r="AH171" s="6">
        <v>4.8023811319999998</v>
      </c>
      <c r="AI171" s="6">
        <v>4.4113959510000003</v>
      </c>
      <c r="AJ171" s="6">
        <v>3.3119869880000001</v>
      </c>
      <c r="AK171" s="6">
        <v>4.8023811319999998</v>
      </c>
      <c r="AL171" s="6">
        <v>0.720667316</v>
      </c>
      <c r="AM171" s="6">
        <v>658.53884909999999</v>
      </c>
      <c r="AN171" s="6">
        <v>391.92638049999999</v>
      </c>
      <c r="AO171" s="6">
        <v>63.716225379999997</v>
      </c>
      <c r="AP171" s="6">
        <v>419.1369153</v>
      </c>
      <c r="AQ171" s="6">
        <v>0.68895795400000004</v>
      </c>
      <c r="AR171" s="6">
        <v>0.70337144900000004</v>
      </c>
      <c r="AS171" s="6">
        <v>1629.6338000000001</v>
      </c>
      <c r="AT171" s="6">
        <v>0.214074865</v>
      </c>
      <c r="AU171">
        <v>450.25857910000002</v>
      </c>
      <c r="AV171">
        <v>1.221416614</v>
      </c>
    </row>
    <row r="172" spans="1:48" x14ac:dyDescent="0.25">
      <c r="A172" s="6">
        <v>3507</v>
      </c>
      <c r="B172" s="6" t="s">
        <v>13</v>
      </c>
      <c r="C172" s="6">
        <v>2404</v>
      </c>
      <c r="D172" s="6" t="s">
        <v>16</v>
      </c>
      <c r="E172" s="6" t="s">
        <v>14</v>
      </c>
      <c r="F172" s="6" t="s">
        <v>15</v>
      </c>
      <c r="G172" s="6" t="s">
        <v>15</v>
      </c>
      <c r="H172" s="6">
        <v>211</v>
      </c>
      <c r="I172" s="6">
        <v>342</v>
      </c>
      <c r="J172" s="6">
        <v>685</v>
      </c>
      <c r="K172" s="6">
        <v>650</v>
      </c>
      <c r="L172" s="6">
        <v>1.63</v>
      </c>
      <c r="M172" s="6">
        <v>1.459500215</v>
      </c>
      <c r="N172" s="6">
        <v>657.6</v>
      </c>
      <c r="O172" s="6">
        <v>0.63780000000000003</v>
      </c>
      <c r="P172" s="6">
        <v>0.98899999999999999</v>
      </c>
      <c r="Q172" s="6">
        <v>185.46</v>
      </c>
      <c r="R172" s="6">
        <v>414.54545450000001</v>
      </c>
      <c r="S172" s="6">
        <v>343</v>
      </c>
      <c r="T172" s="6">
        <v>7</v>
      </c>
      <c r="U172" s="6" t="s">
        <v>179</v>
      </c>
      <c r="V172" s="6">
        <v>3.43</v>
      </c>
      <c r="W172" s="6">
        <v>88.973079999999996</v>
      </c>
      <c r="X172" s="6">
        <v>689</v>
      </c>
      <c r="Y172" s="6">
        <v>1.4732000000000001</v>
      </c>
      <c r="Z172" s="6">
        <v>32.442255209999999</v>
      </c>
      <c r="AA172" s="6">
        <v>577.83181820000004</v>
      </c>
      <c r="AB172" s="6">
        <v>577.424533</v>
      </c>
      <c r="AC172" s="6">
        <v>161.27375379731399</v>
      </c>
      <c r="AD172" s="6">
        <v>544.37035849999995</v>
      </c>
      <c r="AE172" s="6">
        <v>0.73894788899999997</v>
      </c>
      <c r="AF172" s="6">
        <v>9.9526087049999994</v>
      </c>
      <c r="AG172" s="6">
        <v>9.3498329130000002</v>
      </c>
      <c r="AH172" s="6">
        <v>8.0363497339999999</v>
      </c>
      <c r="AI172" s="6">
        <v>4.4102985439999998</v>
      </c>
      <c r="AJ172" s="6">
        <v>5.5423101619999997</v>
      </c>
      <c r="AK172" s="6">
        <v>8.0363497339999999</v>
      </c>
      <c r="AL172" s="6">
        <v>1.252701823</v>
      </c>
      <c r="AM172" s="6">
        <v>658.85270179999998</v>
      </c>
      <c r="AN172" s="6">
        <v>344.03038709999998</v>
      </c>
      <c r="AO172" s="6">
        <v>63.197854499999998</v>
      </c>
      <c r="AP172" s="6">
        <v>415.58909119999998</v>
      </c>
      <c r="AQ172" s="6">
        <v>1.197582943</v>
      </c>
      <c r="AR172" s="6">
        <v>0.67138835699999999</v>
      </c>
      <c r="AS172" s="6">
        <v>2100.0004370000001</v>
      </c>
      <c r="AT172" s="6">
        <v>0.146644991</v>
      </c>
      <c r="AU172">
        <v>580.21821390000002</v>
      </c>
      <c r="AV172">
        <v>1.691822492</v>
      </c>
    </row>
    <row r="173" spans="1:48" x14ac:dyDescent="0.25">
      <c r="A173" s="6">
        <v>3508</v>
      </c>
      <c r="B173" s="6" t="s">
        <v>13</v>
      </c>
      <c r="C173" s="6">
        <v>2404</v>
      </c>
      <c r="D173" s="6" t="s">
        <v>16</v>
      </c>
      <c r="E173" s="6" t="s">
        <v>14</v>
      </c>
      <c r="F173" s="6" t="s">
        <v>15</v>
      </c>
      <c r="G173" s="6" t="s">
        <v>15</v>
      </c>
      <c r="H173" s="6">
        <v>254</v>
      </c>
      <c r="I173" s="6">
        <v>274</v>
      </c>
      <c r="J173" s="6">
        <v>714</v>
      </c>
      <c r="K173" s="6">
        <v>661</v>
      </c>
      <c r="L173" s="6">
        <v>1.73</v>
      </c>
      <c r="M173" s="6">
        <v>1.5229062280000001</v>
      </c>
      <c r="N173" s="6">
        <v>685.09090909999998</v>
      </c>
      <c r="O173" s="6">
        <v>0.64859999999999995</v>
      </c>
      <c r="P173" s="6">
        <v>0.98899999999999999</v>
      </c>
      <c r="Q173" s="6">
        <v>205.02</v>
      </c>
      <c r="R173" s="6">
        <v>429</v>
      </c>
      <c r="S173" s="6">
        <v>440</v>
      </c>
      <c r="T173" s="6">
        <v>8</v>
      </c>
      <c r="U173" s="6" t="s">
        <v>176</v>
      </c>
      <c r="V173" s="6">
        <v>5.34</v>
      </c>
      <c r="W173" s="6">
        <v>80.650000000000006</v>
      </c>
      <c r="X173" s="6">
        <v>802</v>
      </c>
      <c r="Y173" s="6">
        <v>2.8193999999999999</v>
      </c>
      <c r="Z173" s="6">
        <v>40.399141819999997</v>
      </c>
      <c r="AA173" s="6">
        <v>596.37545450000005</v>
      </c>
      <c r="AB173" s="6">
        <v>470.89078810000001</v>
      </c>
      <c r="AC173" s="6">
        <v>129.22652453670599</v>
      </c>
      <c r="AD173" s="6">
        <v>695.43397919999995</v>
      </c>
      <c r="AE173" s="6">
        <v>0.34018916300000002</v>
      </c>
      <c r="AF173" s="6">
        <v>4.7247995869999997</v>
      </c>
      <c r="AG173" s="6">
        <v>9.6414787830000002</v>
      </c>
      <c r="AH173" s="6">
        <v>0.256551743</v>
      </c>
      <c r="AI173" s="6">
        <v>4.5478673509999998</v>
      </c>
      <c r="AJ173" s="6">
        <v>0.17693223699999999</v>
      </c>
      <c r="AK173" s="6">
        <v>0.256551743</v>
      </c>
      <c r="AL173" s="6">
        <v>4.5864923000000002E-2</v>
      </c>
      <c r="AM173" s="6">
        <v>685.13677399999995</v>
      </c>
      <c r="AN173" s="6">
        <v>446.30826409999997</v>
      </c>
      <c r="AO173" s="6">
        <v>64.176942370000006</v>
      </c>
      <c r="AP173" s="6">
        <v>439.67039790000001</v>
      </c>
      <c r="AQ173" s="6">
        <v>4.3846865999999998E-2</v>
      </c>
      <c r="AR173" s="6">
        <v>0.565683457</v>
      </c>
      <c r="AS173" s="6">
        <v>1200.099095</v>
      </c>
      <c r="AT173" s="6">
        <v>0.32232186800000001</v>
      </c>
      <c r="AU173">
        <v>331.58057550000001</v>
      </c>
      <c r="AV173">
        <v>0.75437152699999999</v>
      </c>
    </row>
    <row r="174" spans="1:48" x14ac:dyDescent="0.25">
      <c r="A174" s="6">
        <v>3511</v>
      </c>
      <c r="B174" s="6" t="s">
        <v>17</v>
      </c>
      <c r="C174" s="6">
        <v>2404</v>
      </c>
      <c r="D174" s="6" t="s">
        <v>16</v>
      </c>
      <c r="E174" s="6" t="s">
        <v>14</v>
      </c>
      <c r="F174" s="6" t="s">
        <v>15</v>
      </c>
      <c r="G174" s="6" t="s">
        <v>15</v>
      </c>
      <c r="H174" s="6">
        <v>211</v>
      </c>
      <c r="I174" s="6">
        <v>349</v>
      </c>
      <c r="J174" s="6">
        <v>743</v>
      </c>
      <c r="K174" s="6">
        <v>691</v>
      </c>
      <c r="L174" s="6">
        <v>1.87</v>
      </c>
      <c r="M174" s="6">
        <v>1.6242998710000001</v>
      </c>
      <c r="N174" s="6">
        <v>713.67272730000002</v>
      </c>
      <c r="O174" s="6">
        <v>0.63770000000000004</v>
      </c>
      <c r="P174" s="6">
        <v>0.98899999999999999</v>
      </c>
      <c r="Q174" s="6">
        <v>185.46</v>
      </c>
      <c r="R174" s="6">
        <v>440.90909090000002</v>
      </c>
      <c r="S174" s="6">
        <v>395</v>
      </c>
      <c r="T174" s="6">
        <v>7</v>
      </c>
      <c r="U174" s="6" t="s">
        <v>179</v>
      </c>
      <c r="V174" s="6">
        <v>4.8899999999999997</v>
      </c>
      <c r="W174" s="6">
        <v>83.101759999999999</v>
      </c>
      <c r="X174" s="6">
        <v>692</v>
      </c>
      <c r="Y174" s="6">
        <v>2.4129999999999998</v>
      </c>
      <c r="Z174" s="6">
        <v>37.751175410000002</v>
      </c>
      <c r="AA174" s="6">
        <v>612.52636359999997</v>
      </c>
      <c r="AB174" s="6">
        <v>531.39686010000003</v>
      </c>
      <c r="AC174" s="6">
        <v>112.516475389902</v>
      </c>
      <c r="AD174" s="6">
        <v>641.96006650000004</v>
      </c>
      <c r="AE174" s="6">
        <v>0.50070351300000004</v>
      </c>
      <c r="AF174" s="6">
        <v>7.1706203229999996</v>
      </c>
      <c r="AG174" s="6">
        <v>9.9416122839999996</v>
      </c>
      <c r="AH174" s="6">
        <v>3.5977118209999999</v>
      </c>
      <c r="AI174" s="6">
        <v>4.6894397569999997</v>
      </c>
      <c r="AJ174" s="6">
        <v>2.4811805659999999</v>
      </c>
      <c r="AK174" s="6">
        <v>3.5977118209999999</v>
      </c>
      <c r="AL174" s="6">
        <v>0.53790742999999996</v>
      </c>
      <c r="AM174" s="6">
        <v>714.21063470000001</v>
      </c>
      <c r="AN174" s="6">
        <v>410.10366210000001</v>
      </c>
      <c r="AO174" s="6">
        <v>63.883048719999998</v>
      </c>
      <c r="AP174" s="6">
        <v>455.9158961</v>
      </c>
      <c r="AQ174" s="6">
        <v>0.51423950299999999</v>
      </c>
      <c r="AR174" s="6">
        <v>0.70653006699999998</v>
      </c>
      <c r="AS174" s="6">
        <v>1513.000888</v>
      </c>
      <c r="AT174" s="6">
        <v>0.226521528</v>
      </c>
      <c r="AU174">
        <v>418.03356680000002</v>
      </c>
      <c r="AV174">
        <v>1.0589221040000001</v>
      </c>
    </row>
    <row r="175" spans="1:48" x14ac:dyDescent="0.25">
      <c r="A175" s="6">
        <v>3514</v>
      </c>
      <c r="B175" s="6" t="s">
        <v>13</v>
      </c>
      <c r="C175" s="6">
        <v>2404</v>
      </c>
      <c r="D175" s="6" t="s">
        <v>16</v>
      </c>
      <c r="E175" s="6" t="s">
        <v>14</v>
      </c>
      <c r="F175" s="6" t="s">
        <v>15</v>
      </c>
      <c r="G175" s="6" t="s">
        <v>15</v>
      </c>
      <c r="H175" s="6">
        <v>211</v>
      </c>
      <c r="I175" s="6">
        <v>289</v>
      </c>
      <c r="J175" s="6">
        <v>672</v>
      </c>
      <c r="K175" s="6">
        <v>653</v>
      </c>
      <c r="L175" s="6">
        <v>1.81</v>
      </c>
      <c r="M175" s="6">
        <v>1.7244722100000001</v>
      </c>
      <c r="N175" s="6">
        <v>645.16363639999997</v>
      </c>
      <c r="O175" s="6">
        <v>0.63739999999999997</v>
      </c>
      <c r="P175" s="6">
        <v>0.98899999999999999</v>
      </c>
      <c r="Q175" s="6">
        <v>185.46</v>
      </c>
      <c r="R175" s="6">
        <v>416.36363640000002</v>
      </c>
      <c r="S175" s="6">
        <v>383</v>
      </c>
      <c r="T175" s="6">
        <v>5</v>
      </c>
      <c r="U175" s="6" t="s">
        <v>177</v>
      </c>
      <c r="V175" s="6">
        <v>3.43</v>
      </c>
      <c r="W175" s="6">
        <v>92.39264</v>
      </c>
      <c r="X175" s="6">
        <v>459</v>
      </c>
      <c r="Y175" s="6">
        <v>1.6763999999999999</v>
      </c>
      <c r="Z175" s="6">
        <v>31.560826309999999</v>
      </c>
      <c r="AA175" s="6">
        <v>580.22454549999998</v>
      </c>
      <c r="AB175" s="6">
        <v>594.21679270000004</v>
      </c>
      <c r="AC175" s="6">
        <v>176.80691463140201</v>
      </c>
      <c r="AD175" s="6">
        <v>518.98267090000002</v>
      </c>
      <c r="AE175" s="6">
        <v>0.78934345800000005</v>
      </c>
      <c r="AF175" s="6">
        <v>10.4802149</v>
      </c>
      <c r="AG175" s="6">
        <v>9.2169006719999995</v>
      </c>
      <c r="AH175" s="6">
        <v>8.8922993550000005</v>
      </c>
      <c r="AI175" s="6">
        <v>4.3475946570000001</v>
      </c>
      <c r="AJ175" s="6">
        <v>6.1326202439999999</v>
      </c>
      <c r="AK175" s="6">
        <v>8.8922993550000005</v>
      </c>
      <c r="AL175" s="6">
        <v>1.4193789240000001</v>
      </c>
      <c r="AM175" s="6">
        <v>646.58301530000006</v>
      </c>
      <c r="AN175" s="6">
        <v>326.84161080000001</v>
      </c>
      <c r="AO175" s="6">
        <v>62.977364969999996</v>
      </c>
      <c r="AP175" s="6">
        <v>406.30705790000002</v>
      </c>
      <c r="AQ175" s="6">
        <v>1.356926251</v>
      </c>
      <c r="AR175" s="6">
        <v>0.65205177999999997</v>
      </c>
      <c r="AS175" s="6">
        <v>2211.3253439999999</v>
      </c>
      <c r="AT175" s="6">
        <v>0.16454550100000001</v>
      </c>
      <c r="AU175">
        <v>610.97665459999996</v>
      </c>
      <c r="AV175">
        <v>1.5963760570000001</v>
      </c>
    </row>
    <row r="176" spans="1:48" x14ac:dyDescent="0.25">
      <c r="A176" s="6">
        <v>3521</v>
      </c>
      <c r="B176" s="6" t="s">
        <v>17</v>
      </c>
      <c r="C176" s="6">
        <v>2404</v>
      </c>
      <c r="D176" s="6" t="s">
        <v>16</v>
      </c>
      <c r="E176" s="6" t="s">
        <v>14</v>
      </c>
      <c r="F176" s="6" t="s">
        <v>15</v>
      </c>
      <c r="G176" s="6" t="s">
        <v>15</v>
      </c>
      <c r="H176" s="6">
        <v>211</v>
      </c>
      <c r="I176" s="6">
        <v>280</v>
      </c>
      <c r="J176" s="6">
        <v>742</v>
      </c>
      <c r="K176" s="6">
        <v>700</v>
      </c>
      <c r="L176" s="6">
        <v>2.19</v>
      </c>
      <c r="M176" s="6">
        <v>1.986212839</v>
      </c>
      <c r="N176" s="6">
        <v>712.36363640000002</v>
      </c>
      <c r="O176" s="6">
        <v>0.63739999999999997</v>
      </c>
      <c r="P176" s="6">
        <v>0.98899999999999999</v>
      </c>
      <c r="Q176" s="6">
        <v>185.46</v>
      </c>
      <c r="R176" s="6">
        <v>445.90909090000002</v>
      </c>
      <c r="S176" s="6">
        <v>462</v>
      </c>
      <c r="T176" s="6">
        <v>6</v>
      </c>
      <c r="U176" s="6" t="s">
        <v>178</v>
      </c>
      <c r="V176" s="6">
        <v>4.72</v>
      </c>
      <c r="W176" s="6">
        <v>93.812079999999995</v>
      </c>
      <c r="X176" s="6">
        <v>625</v>
      </c>
      <c r="Y176" s="6">
        <v>2.7431999999999999</v>
      </c>
      <c r="Z176" s="6">
        <v>37.852305280000003</v>
      </c>
      <c r="AA176" s="6">
        <v>619.10636360000001</v>
      </c>
      <c r="AB176" s="6">
        <v>537.16328880000003</v>
      </c>
      <c r="AC176" s="6">
        <v>129.24533479434299</v>
      </c>
      <c r="AD176" s="6">
        <v>633.90374069999996</v>
      </c>
      <c r="AE176" s="6">
        <v>0.52304736799999996</v>
      </c>
      <c r="AF176" s="6">
        <v>7.4803012989999997</v>
      </c>
      <c r="AG176" s="6">
        <v>9.9279322099999998</v>
      </c>
      <c r="AH176" s="6">
        <v>4.0561058909999996</v>
      </c>
      <c r="AI176" s="6">
        <v>4.6829868919999997</v>
      </c>
      <c r="AJ176" s="6">
        <v>2.7973144080000001</v>
      </c>
      <c r="AK176" s="6">
        <v>4.0561058909999996</v>
      </c>
      <c r="AL176" s="6">
        <v>0.60525197200000003</v>
      </c>
      <c r="AM176" s="6">
        <v>712.9688883</v>
      </c>
      <c r="AN176" s="6">
        <v>404.64911319999999</v>
      </c>
      <c r="AO176" s="6">
        <v>63.834473160000002</v>
      </c>
      <c r="AP176" s="6">
        <v>454.73357420000002</v>
      </c>
      <c r="AQ176" s="6">
        <v>0.57862088599999995</v>
      </c>
      <c r="AR176" s="6">
        <v>0.70822436300000002</v>
      </c>
      <c r="AS176" s="6">
        <v>1578.343574</v>
      </c>
      <c r="AT176" s="6">
        <v>0.26552577999999999</v>
      </c>
      <c r="AU176">
        <v>436.08738049999999</v>
      </c>
      <c r="AV176">
        <v>0.944748633</v>
      </c>
    </row>
    <row r="177" spans="1:48" x14ac:dyDescent="0.25">
      <c r="A177" s="6">
        <v>3522</v>
      </c>
      <c r="B177" s="6" t="s">
        <v>17</v>
      </c>
      <c r="C177" s="6">
        <v>2404</v>
      </c>
      <c r="D177" s="6" t="s">
        <v>16</v>
      </c>
      <c r="E177" s="6" t="s">
        <v>14</v>
      </c>
      <c r="F177" s="6" t="s">
        <v>15</v>
      </c>
      <c r="G177" s="6" t="s">
        <v>15</v>
      </c>
      <c r="H177" s="6">
        <v>211</v>
      </c>
      <c r="I177" s="6">
        <v>353</v>
      </c>
      <c r="J177" s="6">
        <v>695</v>
      </c>
      <c r="K177" s="6">
        <v>690</v>
      </c>
      <c r="L177" s="6">
        <v>1.62</v>
      </c>
      <c r="M177" s="6">
        <v>1.598448944</v>
      </c>
      <c r="N177" s="6">
        <v>666.7636364</v>
      </c>
      <c r="O177" s="6">
        <v>0.63770000000000004</v>
      </c>
      <c r="P177" s="6">
        <v>0.98899999999999999</v>
      </c>
      <c r="Q177" s="6">
        <v>185.46</v>
      </c>
      <c r="R177" s="6">
        <v>440</v>
      </c>
      <c r="S177" s="6">
        <v>342</v>
      </c>
      <c r="T177" s="6">
        <v>7</v>
      </c>
      <c r="U177" s="6" t="s">
        <v>179</v>
      </c>
      <c r="V177" s="6">
        <v>4.1500000000000004</v>
      </c>
      <c r="W177" s="6">
        <v>99.360799999999998</v>
      </c>
      <c r="X177" s="6">
        <v>690</v>
      </c>
      <c r="Y177" s="6">
        <v>2.5146000000000002</v>
      </c>
      <c r="Z177" s="6">
        <v>37.110990299999997</v>
      </c>
      <c r="AA177" s="6">
        <v>611.33000000000004</v>
      </c>
      <c r="AB177" s="6">
        <v>540.2999757</v>
      </c>
      <c r="AC177" s="6">
        <v>117.346696369312</v>
      </c>
      <c r="AD177" s="6">
        <v>589.88160749999997</v>
      </c>
      <c r="AE177" s="6">
        <v>0.63663519700000004</v>
      </c>
      <c r="AF177" s="6">
        <v>8.6640577610000005</v>
      </c>
      <c r="AG177" s="6">
        <v>9.447380914</v>
      </c>
      <c r="AH177" s="6">
        <v>6.1012317129999998</v>
      </c>
      <c r="AI177" s="6">
        <v>4.4563117520000004</v>
      </c>
      <c r="AJ177" s="6">
        <v>4.2077460090000001</v>
      </c>
      <c r="AK177" s="6">
        <v>6.1012317129999998</v>
      </c>
      <c r="AL177" s="6">
        <v>0.92244782000000003</v>
      </c>
      <c r="AM177" s="6">
        <v>667.68608419999998</v>
      </c>
      <c r="AN177" s="6">
        <v>374.84385429999998</v>
      </c>
      <c r="AO177" s="6">
        <v>63.545608059999999</v>
      </c>
      <c r="AP177" s="6">
        <v>423.69900699999999</v>
      </c>
      <c r="AQ177" s="6">
        <v>0.88186011600000003</v>
      </c>
      <c r="AR177" s="6">
        <v>0.69698700700000005</v>
      </c>
      <c r="AS177" s="6">
        <v>1828.116188</v>
      </c>
      <c r="AT177" s="6">
        <v>0.18449195400000001</v>
      </c>
      <c r="AU177">
        <v>505.09813730000002</v>
      </c>
      <c r="AV177">
        <v>1.477680721</v>
      </c>
    </row>
    <row r="178" spans="1:48" x14ac:dyDescent="0.25">
      <c r="A178" s="6">
        <v>3538</v>
      </c>
      <c r="B178" s="6" t="s">
        <v>13</v>
      </c>
      <c r="C178" s="6">
        <v>2404</v>
      </c>
      <c r="D178" s="6" t="s">
        <v>16</v>
      </c>
      <c r="E178" s="6" t="s">
        <v>14</v>
      </c>
      <c r="F178" s="6" t="s">
        <v>15</v>
      </c>
      <c r="G178" s="6" t="s">
        <v>15</v>
      </c>
      <c r="H178" s="6">
        <v>211</v>
      </c>
      <c r="I178" s="6">
        <v>295</v>
      </c>
      <c r="J178" s="6">
        <v>720</v>
      </c>
      <c r="K178" s="6">
        <v>674</v>
      </c>
      <c r="L178" s="6">
        <v>2.02</v>
      </c>
      <c r="M178" s="6">
        <v>1.794485136</v>
      </c>
      <c r="N178" s="6">
        <v>691.41818179999996</v>
      </c>
      <c r="O178" s="6">
        <v>0.63770000000000004</v>
      </c>
      <c r="P178" s="6">
        <v>0.98899999999999999</v>
      </c>
      <c r="Q178" s="6">
        <v>185.46</v>
      </c>
      <c r="R178" s="6">
        <v>429.54545450000001</v>
      </c>
      <c r="S178" s="6">
        <v>425</v>
      </c>
      <c r="T178" s="6">
        <v>4</v>
      </c>
      <c r="U178" s="6" t="s">
        <v>175</v>
      </c>
      <c r="V178" s="6">
        <v>4.1100000000000003</v>
      </c>
      <c r="W178" s="6">
        <v>85.940640000000002</v>
      </c>
      <c r="X178" s="6">
        <v>420</v>
      </c>
      <c r="Y178" s="6">
        <v>1.8795999999999999</v>
      </c>
      <c r="Z178" s="6">
        <v>32.385695300000002</v>
      </c>
      <c r="AA178" s="6">
        <v>597.57181820000005</v>
      </c>
      <c r="AB178" s="6">
        <v>600.48462770000003</v>
      </c>
      <c r="AC178" s="6">
        <v>170.23525109036899</v>
      </c>
      <c r="AD178" s="6">
        <v>550.385265</v>
      </c>
      <c r="AE178" s="6">
        <v>0.72630730200000004</v>
      </c>
      <c r="AF178" s="6">
        <v>10.157288100000001</v>
      </c>
      <c r="AG178" s="6">
        <v>9.7081861079999996</v>
      </c>
      <c r="AH178" s="6">
        <v>8.0880347940000004</v>
      </c>
      <c r="AI178" s="6">
        <v>4.5793330699999997</v>
      </c>
      <c r="AJ178" s="6">
        <v>5.57795503</v>
      </c>
      <c r="AK178" s="6">
        <v>8.0880347940000004</v>
      </c>
      <c r="AL178" s="6">
        <v>1.250612971</v>
      </c>
      <c r="AM178" s="6">
        <v>692.6687948</v>
      </c>
      <c r="AN178" s="6">
        <v>348.10278959999999</v>
      </c>
      <c r="AO178" s="6">
        <v>63.24711284</v>
      </c>
      <c r="AP178" s="6">
        <v>437.30203760000001</v>
      </c>
      <c r="AQ178" s="6">
        <v>1.195586</v>
      </c>
      <c r="AR178" s="6">
        <v>0.67808425000000006</v>
      </c>
      <c r="AS178" s="6">
        <v>2143.1877890000001</v>
      </c>
      <c r="AT178" s="6">
        <v>0.17666970900000001</v>
      </c>
      <c r="AU178">
        <v>592.15063439999994</v>
      </c>
      <c r="AV178">
        <v>1.3925509309999999</v>
      </c>
    </row>
    <row r="179" spans="1:48" x14ac:dyDescent="0.25">
      <c r="A179" s="6">
        <v>3542</v>
      </c>
      <c r="B179" s="6" t="s">
        <v>17</v>
      </c>
      <c r="C179" s="6">
        <v>2404</v>
      </c>
      <c r="D179" s="6" t="s">
        <v>16</v>
      </c>
      <c r="E179" s="6" t="s">
        <v>14</v>
      </c>
      <c r="F179" s="6" t="s">
        <v>15</v>
      </c>
      <c r="G179" s="6" t="s">
        <v>15</v>
      </c>
      <c r="H179" s="6">
        <v>211</v>
      </c>
      <c r="I179" s="6">
        <v>311</v>
      </c>
      <c r="J179" s="6">
        <v>656</v>
      </c>
      <c r="K179" s="6">
        <v>622</v>
      </c>
      <c r="L179" s="6">
        <v>1.63</v>
      </c>
      <c r="M179" s="6">
        <v>1.473502801</v>
      </c>
      <c r="N179" s="6">
        <v>629.45454549999999</v>
      </c>
      <c r="O179" s="6">
        <v>0.63739999999999997</v>
      </c>
      <c r="P179" s="6">
        <v>0.98899999999999999</v>
      </c>
      <c r="Q179" s="6">
        <v>185.46</v>
      </c>
      <c r="R179" s="6">
        <v>396.36363640000002</v>
      </c>
      <c r="S179" s="6">
        <v>345</v>
      </c>
      <c r="T179" s="6">
        <v>6</v>
      </c>
      <c r="U179" s="6" t="s">
        <v>178</v>
      </c>
      <c r="V179" s="6">
        <v>3.56</v>
      </c>
      <c r="W179" s="6">
        <v>91.037719999999993</v>
      </c>
      <c r="X179" s="6">
        <v>602</v>
      </c>
      <c r="Y179" s="6">
        <v>1.8542000000000001</v>
      </c>
      <c r="Z179" s="6">
        <v>32.914244080000003</v>
      </c>
      <c r="AA179" s="6">
        <v>553.90454550000004</v>
      </c>
      <c r="AB179" s="6">
        <v>543.0161895</v>
      </c>
      <c r="AC179" s="6">
        <v>157.52063620287399</v>
      </c>
      <c r="AD179" s="6">
        <v>554.0889545</v>
      </c>
      <c r="AE179" s="6">
        <v>0.71839029799999998</v>
      </c>
      <c r="AF179" s="6">
        <v>9.3634415210000004</v>
      </c>
      <c r="AG179" s="6">
        <v>9.0480663569999997</v>
      </c>
      <c r="AH179" s="6">
        <v>7.3884542529999999</v>
      </c>
      <c r="AI179" s="6">
        <v>4.2679558289999999</v>
      </c>
      <c r="AJ179" s="6">
        <v>5.0954856919999996</v>
      </c>
      <c r="AK179" s="6">
        <v>7.3884542529999999</v>
      </c>
      <c r="AL179" s="6">
        <v>1.146344845</v>
      </c>
      <c r="AM179" s="6">
        <v>630.60089029999995</v>
      </c>
      <c r="AN179" s="6">
        <v>350.61037879999998</v>
      </c>
      <c r="AO179" s="6">
        <v>63.276911749999996</v>
      </c>
      <c r="AP179" s="6">
        <v>398.29939719999999</v>
      </c>
      <c r="AQ179" s="6">
        <v>1.0959056709999999</v>
      </c>
      <c r="AR179" s="6">
        <v>0.675250087</v>
      </c>
      <c r="AS179" s="6">
        <v>1975.6861610000001</v>
      </c>
      <c r="AT179" s="6">
        <v>0.157367651</v>
      </c>
      <c r="AU179">
        <v>545.87088429999994</v>
      </c>
      <c r="AV179">
        <v>1.5832774489999999</v>
      </c>
    </row>
    <row r="180" spans="1:48" x14ac:dyDescent="0.25">
      <c r="A180" s="6">
        <v>3558</v>
      </c>
      <c r="B180" s="6" t="s">
        <v>17</v>
      </c>
      <c r="C180" s="6">
        <v>2404</v>
      </c>
      <c r="D180" s="6" t="s">
        <v>16</v>
      </c>
      <c r="E180" s="6" t="s">
        <v>14</v>
      </c>
      <c r="F180" s="6" t="s">
        <v>15</v>
      </c>
      <c r="G180" s="6" t="s">
        <v>15</v>
      </c>
      <c r="H180" s="6">
        <v>254</v>
      </c>
      <c r="I180" s="6">
        <v>292</v>
      </c>
      <c r="J180" s="6">
        <v>726</v>
      </c>
      <c r="K180" s="6">
        <v>677</v>
      </c>
      <c r="L180" s="6">
        <v>1.71</v>
      </c>
      <c r="M180" s="6">
        <v>1.515748031</v>
      </c>
      <c r="N180" s="6">
        <v>697.3090909</v>
      </c>
      <c r="O180" s="6">
        <v>0.64939999999999998</v>
      </c>
      <c r="P180" s="6">
        <v>0.98899999999999999</v>
      </c>
      <c r="Q180" s="6">
        <v>205.02</v>
      </c>
      <c r="R180" s="6">
        <v>440</v>
      </c>
      <c r="S180" s="6">
        <v>435</v>
      </c>
      <c r="T180" s="6">
        <v>5</v>
      </c>
      <c r="U180" s="6" t="s">
        <v>177</v>
      </c>
      <c r="V180" s="6">
        <v>4.8600000000000003</v>
      </c>
      <c r="W180" s="6">
        <v>80.391919999999999</v>
      </c>
      <c r="X180" s="6">
        <v>526</v>
      </c>
      <c r="Y180" s="6">
        <v>2.286</v>
      </c>
      <c r="Z180" s="6">
        <v>35.67603493</v>
      </c>
      <c r="AA180" s="6">
        <v>610.73181820000002</v>
      </c>
      <c r="AB180" s="6">
        <v>562.59434350000004</v>
      </c>
      <c r="AC180" s="6">
        <v>178.64193521197899</v>
      </c>
      <c r="AD180" s="6">
        <v>592.4584016</v>
      </c>
      <c r="AE180" s="6">
        <v>0.63038265400000004</v>
      </c>
      <c r="AF180" s="6">
        <v>8.8720710989999994</v>
      </c>
      <c r="AG180" s="6">
        <v>9.7701558580000007</v>
      </c>
      <c r="AH180" s="6">
        <v>6.1820851719999999</v>
      </c>
      <c r="AI180" s="6">
        <v>4.6085640840000002</v>
      </c>
      <c r="AJ180" s="6">
        <v>4.2635070150000001</v>
      </c>
      <c r="AK180" s="6">
        <v>6.1820851719999999</v>
      </c>
      <c r="AL180" s="6">
        <v>0.93080691500000001</v>
      </c>
      <c r="AM180" s="6">
        <v>698.23989779999999</v>
      </c>
      <c r="AN180" s="6">
        <v>376.58847700000001</v>
      </c>
      <c r="AO180" s="6">
        <v>63.563699329999999</v>
      </c>
      <c r="AP180" s="6">
        <v>443.235454</v>
      </c>
      <c r="AQ180" s="6">
        <v>0.88985141099999998</v>
      </c>
      <c r="AR180" s="6">
        <v>0.70052072899999995</v>
      </c>
      <c r="AS180" s="6">
        <v>2253.5060589999998</v>
      </c>
      <c r="AT180" s="6">
        <v>0.170844892</v>
      </c>
      <c r="AU180">
        <v>622.63094699999999</v>
      </c>
      <c r="AV180">
        <v>1.432832723</v>
      </c>
    </row>
    <row r="181" spans="1:48" x14ac:dyDescent="0.25">
      <c r="A181" s="6">
        <v>3591</v>
      </c>
      <c r="B181" s="6" t="s">
        <v>13</v>
      </c>
      <c r="C181" s="6">
        <v>2404</v>
      </c>
      <c r="D181" s="6" t="s">
        <v>16</v>
      </c>
      <c r="E181" s="6" t="s">
        <v>14</v>
      </c>
      <c r="F181" s="6" t="s">
        <v>15</v>
      </c>
      <c r="G181" s="6" t="s">
        <v>15</v>
      </c>
      <c r="H181" s="6">
        <v>254</v>
      </c>
      <c r="I181" s="6">
        <v>278</v>
      </c>
      <c r="J181" s="6">
        <v>725</v>
      </c>
      <c r="K181" s="6">
        <v>693</v>
      </c>
      <c r="L181" s="6">
        <v>1.76</v>
      </c>
      <c r="M181" s="6">
        <v>1.633858268</v>
      </c>
      <c r="N181" s="6">
        <v>696</v>
      </c>
      <c r="O181" s="6">
        <v>0.6492</v>
      </c>
      <c r="P181" s="6">
        <v>0.98899999999999999</v>
      </c>
      <c r="Q181" s="6">
        <v>205.02</v>
      </c>
      <c r="R181" s="6">
        <v>450</v>
      </c>
      <c r="S181" s="6">
        <v>447</v>
      </c>
      <c r="T181" s="6">
        <v>7</v>
      </c>
      <c r="U181" s="6" t="s">
        <v>179</v>
      </c>
      <c r="V181" s="6">
        <v>3.14</v>
      </c>
      <c r="W181" s="6">
        <v>109.49044000000001</v>
      </c>
      <c r="X181" s="6">
        <v>682</v>
      </c>
      <c r="Y181" s="6">
        <v>1.905</v>
      </c>
      <c r="Z181" s="6">
        <v>33.767540779999997</v>
      </c>
      <c r="AA181" s="6">
        <v>624.49</v>
      </c>
      <c r="AB181" s="6">
        <v>608.58009930000003</v>
      </c>
      <c r="AC181" s="6">
        <v>202.219670830165</v>
      </c>
      <c r="AD181" s="6">
        <v>546.66263389999995</v>
      </c>
      <c r="AE181" s="6">
        <v>0.734162231</v>
      </c>
      <c r="AF181" s="6">
        <v>10.318123740000001</v>
      </c>
      <c r="AG181" s="6">
        <v>9.7563961500000005</v>
      </c>
      <c r="AH181" s="6">
        <v>8.2882726259999995</v>
      </c>
      <c r="AI181" s="6">
        <v>4.602073656</v>
      </c>
      <c r="AJ181" s="6">
        <v>5.7160500870000002</v>
      </c>
      <c r="AK181" s="6">
        <v>8.2882726259999995</v>
      </c>
      <c r="AL181" s="6">
        <v>1.284754629</v>
      </c>
      <c r="AM181" s="6">
        <v>697.28475460000004</v>
      </c>
      <c r="AN181" s="6">
        <v>345.58237600000001</v>
      </c>
      <c r="AO181" s="6">
        <v>63.216754639999998</v>
      </c>
      <c r="AP181" s="6">
        <v>439.9886123</v>
      </c>
      <c r="AQ181" s="6">
        <v>1.228225425</v>
      </c>
      <c r="AR181" s="6">
        <v>0.67602477500000002</v>
      </c>
      <c r="AS181" s="6">
        <v>2620.8034309999998</v>
      </c>
      <c r="AT181" s="6">
        <v>0.15834838900000001</v>
      </c>
      <c r="AU181">
        <v>724.11312810000004</v>
      </c>
      <c r="AV181">
        <v>1.620599066</v>
      </c>
    </row>
    <row r="182" spans="1:48" x14ac:dyDescent="0.25">
      <c r="A182" s="6">
        <v>3639</v>
      </c>
      <c r="B182" s="6" t="s">
        <v>34</v>
      </c>
      <c r="C182" s="6">
        <v>2404</v>
      </c>
      <c r="D182" s="6" t="s">
        <v>16</v>
      </c>
      <c r="E182" s="6" t="s">
        <v>14</v>
      </c>
      <c r="F182" s="6" t="s">
        <v>15</v>
      </c>
      <c r="G182" s="6" t="s">
        <v>15</v>
      </c>
      <c r="H182" s="6">
        <v>211</v>
      </c>
      <c r="I182" s="6">
        <v>286</v>
      </c>
      <c r="J182" s="6">
        <v>698</v>
      </c>
      <c r="K182" s="6">
        <v>671</v>
      </c>
      <c r="L182" s="6">
        <v>1.95</v>
      </c>
      <c r="M182" s="6">
        <v>1.827875916</v>
      </c>
      <c r="N182" s="6">
        <v>670.25454549999995</v>
      </c>
      <c r="O182" s="6">
        <v>0.63780000000000003</v>
      </c>
      <c r="P182" s="6">
        <v>0.98899999999999999</v>
      </c>
      <c r="Q182" s="6">
        <v>185.46</v>
      </c>
      <c r="R182" s="6">
        <v>428.18181820000001</v>
      </c>
      <c r="S182" s="6">
        <v>413</v>
      </c>
      <c r="T182" s="6">
        <v>5</v>
      </c>
      <c r="U182" s="6" t="s">
        <v>177</v>
      </c>
      <c r="V182" s="6">
        <v>3.03</v>
      </c>
      <c r="W182" s="6">
        <v>96.521919999999994</v>
      </c>
      <c r="X182" s="6">
        <v>464</v>
      </c>
      <c r="Y182" s="6">
        <v>1.3715999999999999</v>
      </c>
      <c r="Z182" s="6">
        <v>30.084901559999999</v>
      </c>
      <c r="AA182" s="6">
        <v>595.77727270000003</v>
      </c>
      <c r="AB182" s="6">
        <v>635.29357630000004</v>
      </c>
      <c r="AC182" s="6">
        <v>191.26668017237199</v>
      </c>
      <c r="AD182" s="6">
        <v>504.30491460000002</v>
      </c>
      <c r="AE182" s="6">
        <v>0.81629764500000002</v>
      </c>
      <c r="AF182" s="6">
        <v>11.15270289</v>
      </c>
      <c r="AG182" s="6">
        <v>9.4844537340000006</v>
      </c>
      <c r="AH182" s="6">
        <v>9.6844107469999994</v>
      </c>
      <c r="AI182" s="6">
        <v>4.4737989310000001</v>
      </c>
      <c r="AJ182" s="6">
        <v>6.6789039629999998</v>
      </c>
      <c r="AK182" s="6">
        <v>9.6844107469999994</v>
      </c>
      <c r="AL182" s="6">
        <v>1.5645884459999999</v>
      </c>
      <c r="AM182" s="6">
        <v>671.8191339</v>
      </c>
      <c r="AN182" s="6">
        <v>316.90401129999998</v>
      </c>
      <c r="AO182" s="6">
        <v>62.839762639999996</v>
      </c>
      <c r="AP182" s="6">
        <v>421.18636550000002</v>
      </c>
      <c r="AQ182" s="6">
        <v>1.495746555</v>
      </c>
      <c r="AR182" s="6">
        <v>0.64237991999999999</v>
      </c>
      <c r="AS182" s="6">
        <v>2353.220311</v>
      </c>
      <c r="AT182" s="6">
        <v>0.16389532900000001</v>
      </c>
      <c r="AU182">
        <v>650.18142929999999</v>
      </c>
      <c r="AV182">
        <v>1.576197404</v>
      </c>
    </row>
    <row r="183" spans="1:48" x14ac:dyDescent="0.25">
      <c r="A183" s="6">
        <v>3545</v>
      </c>
      <c r="B183" s="6" t="s">
        <v>29</v>
      </c>
      <c r="C183" s="6">
        <v>2404</v>
      </c>
      <c r="D183" s="6" t="s">
        <v>16</v>
      </c>
      <c r="E183" s="6" t="s">
        <v>27</v>
      </c>
      <c r="F183" s="6" t="s">
        <v>15</v>
      </c>
      <c r="G183" s="6" t="s">
        <v>24</v>
      </c>
      <c r="H183" s="6">
        <v>211</v>
      </c>
      <c r="I183" s="6">
        <v>329</v>
      </c>
      <c r="J183" s="6">
        <v>748</v>
      </c>
      <c r="K183" s="6">
        <v>725</v>
      </c>
      <c r="L183" s="6">
        <v>1.99</v>
      </c>
      <c r="M183" s="6">
        <v>1.88065489</v>
      </c>
      <c r="N183" s="6">
        <v>718.03636359999996</v>
      </c>
      <c r="O183" s="6">
        <v>0.63719999999999999</v>
      </c>
      <c r="P183" s="6">
        <v>0.98899999999999999</v>
      </c>
      <c r="Q183" s="6">
        <v>185.46</v>
      </c>
      <c r="R183" s="6">
        <v>462.27272729999999</v>
      </c>
      <c r="S183" s="6">
        <v>419</v>
      </c>
      <c r="T183" s="6">
        <v>7</v>
      </c>
      <c r="U183" s="6" t="s">
        <v>179</v>
      </c>
      <c r="V183" s="6">
        <v>3.08</v>
      </c>
      <c r="W183" s="6">
        <v>101.48996</v>
      </c>
      <c r="X183" s="6">
        <v>669</v>
      </c>
      <c r="Y183" s="6">
        <v>1.4224000000000001</v>
      </c>
      <c r="Z183" s="6">
        <v>32.28734446</v>
      </c>
      <c r="AA183" s="6">
        <v>640.64090910000004</v>
      </c>
      <c r="AB183" s="6">
        <v>650.39660739999999</v>
      </c>
      <c r="AC183" s="6">
        <v>171.089467512753</v>
      </c>
      <c r="AD183" s="6">
        <v>527.71090430000004</v>
      </c>
      <c r="AE183" s="6">
        <v>0.77255702999999998</v>
      </c>
      <c r="AF183" s="6">
        <v>11.114556589999999</v>
      </c>
      <c r="AG183" s="6">
        <v>9.9871673130000005</v>
      </c>
      <c r="AH183" s="6">
        <v>9.2852614879999997</v>
      </c>
      <c r="AI183" s="6">
        <v>4.710927978</v>
      </c>
      <c r="AJ183" s="6">
        <v>6.4036286130000004</v>
      </c>
      <c r="AK183" s="6">
        <v>9.2852614879999997</v>
      </c>
      <c r="AL183" s="6">
        <v>1.459708292</v>
      </c>
      <c r="AM183" s="6">
        <v>719.49607189999995</v>
      </c>
      <c r="AN183" s="6">
        <v>332.75107580000002</v>
      </c>
      <c r="AO183" s="6">
        <v>63.055561879999999</v>
      </c>
      <c r="AP183" s="6">
        <v>452.76186360000003</v>
      </c>
      <c r="AQ183" s="6">
        <v>1.395481127</v>
      </c>
      <c r="AR183" s="6">
        <v>0.66441820799999995</v>
      </c>
      <c r="AS183" s="6">
        <v>2345.171441</v>
      </c>
      <c r="AT183" s="6">
        <v>0.16920647</v>
      </c>
      <c r="AU183">
        <v>647.95757209999999</v>
      </c>
      <c r="AV183">
        <v>1.545264671</v>
      </c>
    </row>
    <row r="184" spans="1:48" x14ac:dyDescent="0.25">
      <c r="A184" s="6">
        <v>3568</v>
      </c>
      <c r="B184" s="6" t="s">
        <v>29</v>
      </c>
      <c r="C184" s="6">
        <v>2404</v>
      </c>
      <c r="D184" s="6" t="s">
        <v>16</v>
      </c>
      <c r="E184" s="6" t="s">
        <v>27</v>
      </c>
      <c r="F184" s="6" t="s">
        <v>15</v>
      </c>
      <c r="G184" s="6" t="s">
        <v>24</v>
      </c>
      <c r="H184" s="6">
        <v>211</v>
      </c>
      <c r="I184" s="6">
        <v>308</v>
      </c>
      <c r="J184" s="6">
        <v>700</v>
      </c>
      <c r="K184" s="6">
        <v>657</v>
      </c>
      <c r="L184" s="6">
        <v>1.86</v>
      </c>
      <c r="M184" s="6">
        <v>1.655536407</v>
      </c>
      <c r="N184" s="6">
        <v>671.78181819999998</v>
      </c>
      <c r="O184" s="6">
        <v>0.63759999999999994</v>
      </c>
      <c r="P184" s="6">
        <v>0.98899999999999999</v>
      </c>
      <c r="Q184" s="6">
        <v>185.46</v>
      </c>
      <c r="R184" s="6">
        <v>419.09090909999998</v>
      </c>
      <c r="S184" s="6">
        <v>392</v>
      </c>
      <c r="T184" s="6">
        <v>5</v>
      </c>
      <c r="U184" s="6" t="s">
        <v>177</v>
      </c>
      <c r="V184" s="6">
        <v>4</v>
      </c>
      <c r="W184" s="6">
        <v>93.618520000000004</v>
      </c>
      <c r="X184" s="6">
        <v>475</v>
      </c>
      <c r="Y184" s="6">
        <v>2.2351999999999999</v>
      </c>
      <c r="Z184" s="6">
        <v>34.147053329999999</v>
      </c>
      <c r="AA184" s="6">
        <v>583.81363639999995</v>
      </c>
      <c r="AB184" s="6">
        <v>556.85371039999995</v>
      </c>
      <c r="AC184" s="6">
        <v>150.34351640670201</v>
      </c>
      <c r="AD184" s="6">
        <v>576.65362210000001</v>
      </c>
      <c r="AE184" s="6">
        <v>0.66795702599999995</v>
      </c>
      <c r="AF184" s="6">
        <v>9.1415843270000003</v>
      </c>
      <c r="AG184" s="6">
        <v>9.5006579050000006</v>
      </c>
      <c r="AH184" s="6">
        <v>6.7572057819999998</v>
      </c>
      <c r="AI184" s="6">
        <v>4.4814424080000004</v>
      </c>
      <c r="AJ184" s="6">
        <v>4.660141919</v>
      </c>
      <c r="AK184" s="6">
        <v>6.7572057819999998</v>
      </c>
      <c r="AL184" s="6">
        <v>1.0282654819999999</v>
      </c>
      <c r="AM184" s="6">
        <v>672.81008369999995</v>
      </c>
      <c r="AN184" s="6">
        <v>365.88782470000001</v>
      </c>
      <c r="AO184" s="6">
        <v>63.450191009999998</v>
      </c>
      <c r="AP184" s="6">
        <v>426.24684680000001</v>
      </c>
      <c r="AQ184" s="6">
        <v>0.98302180100000003</v>
      </c>
      <c r="AR184" s="6">
        <v>0.69149123000000001</v>
      </c>
      <c r="AS184" s="6">
        <v>1928.8742930000001</v>
      </c>
      <c r="AT184" s="6">
        <v>0.18109950599999999</v>
      </c>
      <c r="AU184">
        <v>532.93703059999996</v>
      </c>
      <c r="AV184">
        <v>1.3601641149999999</v>
      </c>
    </row>
    <row r="185" spans="1:48" x14ac:dyDescent="0.25">
      <c r="A185" s="6">
        <v>3575</v>
      </c>
      <c r="B185" s="6" t="s">
        <v>29</v>
      </c>
      <c r="C185" s="6">
        <v>2404</v>
      </c>
      <c r="D185" s="6" t="s">
        <v>16</v>
      </c>
      <c r="E185" s="6" t="s">
        <v>27</v>
      </c>
      <c r="F185" s="6" t="s">
        <v>15</v>
      </c>
      <c r="G185" s="6" t="s">
        <v>24</v>
      </c>
      <c r="H185" s="6">
        <v>211</v>
      </c>
      <c r="I185" s="6">
        <v>287</v>
      </c>
      <c r="J185" s="6">
        <v>660</v>
      </c>
      <c r="K185" s="6">
        <v>633</v>
      </c>
      <c r="L185" s="6">
        <v>1.77</v>
      </c>
      <c r="M185" s="6">
        <v>1.639379578</v>
      </c>
      <c r="N185" s="6">
        <v>634.03636359999996</v>
      </c>
      <c r="O185" s="6">
        <v>0.63749999999999996</v>
      </c>
      <c r="P185" s="6">
        <v>0.98899999999999999</v>
      </c>
      <c r="Q185" s="6">
        <v>185.46</v>
      </c>
      <c r="R185" s="6">
        <v>403.63636359999998</v>
      </c>
      <c r="S185" s="6">
        <v>373</v>
      </c>
      <c r="T185" s="6">
        <v>5</v>
      </c>
      <c r="U185" s="6" t="s">
        <v>177</v>
      </c>
      <c r="V185" s="6">
        <v>5.49</v>
      </c>
      <c r="W185" s="6">
        <v>65.358760000000004</v>
      </c>
      <c r="X185" s="6">
        <v>455</v>
      </c>
      <c r="Y185" s="6">
        <v>2.4638</v>
      </c>
      <c r="Z185" s="6">
        <v>36.825299219999998</v>
      </c>
      <c r="AA185" s="6">
        <v>563.47545449999996</v>
      </c>
      <c r="AB185" s="6">
        <v>491.16351029999998</v>
      </c>
      <c r="AC185" s="6">
        <v>124.370698408639</v>
      </c>
      <c r="AD185" s="6">
        <v>617.04376539999998</v>
      </c>
      <c r="AE185" s="6">
        <v>0.56824921900000003</v>
      </c>
      <c r="AF185" s="6">
        <v>7.4469122419999998</v>
      </c>
      <c r="AG185" s="6">
        <v>9.0974174049999998</v>
      </c>
      <c r="AH185" s="6">
        <v>4.5757325440000001</v>
      </c>
      <c r="AI185" s="6">
        <v>4.2912346250000004</v>
      </c>
      <c r="AJ185" s="6">
        <v>3.1556776169999998</v>
      </c>
      <c r="AK185" s="6">
        <v>4.5757325440000001</v>
      </c>
      <c r="AL185" s="6">
        <v>0.68811973599999998</v>
      </c>
      <c r="AM185" s="6">
        <v>634.72448340000005</v>
      </c>
      <c r="AN185" s="6">
        <v>393.23403869999999</v>
      </c>
      <c r="AO185" s="6">
        <v>63.72871112</v>
      </c>
      <c r="AP185" s="6">
        <v>404.06320260000001</v>
      </c>
      <c r="AQ185" s="6">
        <v>0.65784246800000001</v>
      </c>
      <c r="AR185" s="6">
        <v>0.70154692900000004</v>
      </c>
      <c r="AS185" s="6">
        <v>1571.298483</v>
      </c>
      <c r="AT185" s="6">
        <v>0.22014219099999999</v>
      </c>
      <c r="AU185">
        <v>434.14086170000002</v>
      </c>
      <c r="AV185">
        <v>1.1633494470000001</v>
      </c>
    </row>
    <row r="186" spans="1:48" x14ac:dyDescent="0.25">
      <c r="A186" s="6">
        <v>3586</v>
      </c>
      <c r="B186" s="6" t="s">
        <v>29</v>
      </c>
      <c r="C186" s="6">
        <v>2404</v>
      </c>
      <c r="D186" s="6" t="s">
        <v>16</v>
      </c>
      <c r="E186" s="6" t="s">
        <v>27</v>
      </c>
      <c r="F186" s="6" t="s">
        <v>15</v>
      </c>
      <c r="G186" s="6" t="s">
        <v>24</v>
      </c>
      <c r="H186" s="6">
        <v>211</v>
      </c>
      <c r="I186" s="6">
        <v>339</v>
      </c>
      <c r="J186" s="6">
        <v>804</v>
      </c>
      <c r="K186" s="6">
        <v>753</v>
      </c>
      <c r="L186" s="6">
        <v>2.2000000000000002</v>
      </c>
      <c r="M186" s="6">
        <v>1.962516157</v>
      </c>
      <c r="N186" s="6">
        <v>771.49090909999995</v>
      </c>
      <c r="O186" s="6">
        <v>0.6371</v>
      </c>
      <c r="P186" s="6">
        <v>0.98899999999999999</v>
      </c>
      <c r="Q186" s="6">
        <v>185.46</v>
      </c>
      <c r="R186" s="6">
        <v>479.54545450000001</v>
      </c>
      <c r="S186" s="6">
        <v>465</v>
      </c>
      <c r="T186" s="6">
        <v>6</v>
      </c>
      <c r="U186" s="6" t="s">
        <v>178</v>
      </c>
      <c r="V186" s="6">
        <v>3.5</v>
      </c>
      <c r="W186" s="6">
        <v>106.458</v>
      </c>
      <c r="X186" s="6">
        <v>590</v>
      </c>
      <c r="Y186" s="6">
        <v>1.9303999999999999</v>
      </c>
      <c r="Z186" s="6">
        <v>33.847368940000003</v>
      </c>
      <c r="AA186" s="6">
        <v>663.37181820000001</v>
      </c>
      <c r="AB186" s="6">
        <v>650.94089459999998</v>
      </c>
      <c r="AC186" s="6">
        <v>159.13475662570701</v>
      </c>
      <c r="AD186" s="6">
        <v>566.52248699999996</v>
      </c>
      <c r="AE186" s="6">
        <v>0.69106800300000004</v>
      </c>
      <c r="AF186" s="6">
        <v>10.492298999999999</v>
      </c>
      <c r="AG186" s="6">
        <v>10.53975719</v>
      </c>
      <c r="AH186" s="6">
        <v>8.0050373520000004</v>
      </c>
      <c r="AI186" s="6">
        <v>4.9715835820000001</v>
      </c>
      <c r="AJ186" s="6">
        <v>5.5207154149999997</v>
      </c>
      <c r="AK186" s="6">
        <v>8.0050373520000004</v>
      </c>
      <c r="AL186" s="6">
        <v>1.2146708349999999</v>
      </c>
      <c r="AM186" s="6">
        <v>772.70557989999998</v>
      </c>
      <c r="AN186" s="6">
        <v>359.02852280000002</v>
      </c>
      <c r="AO186" s="6">
        <v>63.374099170000001</v>
      </c>
      <c r="AP186" s="6">
        <v>488.9254138</v>
      </c>
      <c r="AQ186" s="6">
        <v>1.1612253180000001</v>
      </c>
      <c r="AR186" s="6">
        <v>0.69391433599999996</v>
      </c>
      <c r="AS186" s="6">
        <v>2213.8750879999998</v>
      </c>
      <c r="AT186" s="6">
        <v>0.18704348400000001</v>
      </c>
      <c r="AU186">
        <v>611.68113440000002</v>
      </c>
      <c r="AV186">
        <v>1.3154433000000001</v>
      </c>
    </row>
    <row r="187" spans="1:48" x14ac:dyDescent="0.25">
      <c r="A187" s="6">
        <v>3587</v>
      </c>
      <c r="B187" s="6" t="s">
        <v>26</v>
      </c>
      <c r="C187" s="6">
        <v>2404</v>
      </c>
      <c r="D187" s="6" t="s">
        <v>16</v>
      </c>
      <c r="E187" s="6" t="s">
        <v>27</v>
      </c>
      <c r="F187" s="6" t="s">
        <v>15</v>
      </c>
      <c r="G187" s="6" t="s">
        <v>24</v>
      </c>
      <c r="H187" s="6">
        <v>211</v>
      </c>
      <c r="I187" s="6">
        <v>323</v>
      </c>
      <c r="J187" s="6">
        <v>703</v>
      </c>
      <c r="K187" s="6">
        <v>636</v>
      </c>
      <c r="L187" s="6">
        <v>1.8</v>
      </c>
      <c r="M187" s="6">
        <v>1.4864282639999999</v>
      </c>
      <c r="N187" s="6">
        <v>674.83636360000003</v>
      </c>
      <c r="O187" s="6">
        <v>0.6371</v>
      </c>
      <c r="P187" s="6">
        <v>0.98899999999999999</v>
      </c>
      <c r="Q187" s="6">
        <v>185.46</v>
      </c>
      <c r="R187" s="6">
        <v>405.45454549999999</v>
      </c>
      <c r="S187" s="6">
        <v>380</v>
      </c>
      <c r="T187" s="6">
        <v>5</v>
      </c>
      <c r="U187" s="6" t="s">
        <v>177</v>
      </c>
      <c r="V187" s="6">
        <v>4.08</v>
      </c>
      <c r="W187" s="6">
        <v>80.714519999999993</v>
      </c>
      <c r="X187" s="6">
        <v>519</v>
      </c>
      <c r="Y187" s="6">
        <v>1.778</v>
      </c>
      <c r="Z187" s="6">
        <v>32.613016989999998</v>
      </c>
      <c r="AA187" s="6">
        <v>565.8681818</v>
      </c>
      <c r="AB187" s="6">
        <v>561.26437659999999</v>
      </c>
      <c r="AC187" s="6">
        <v>160.47670090623501</v>
      </c>
      <c r="AD187" s="6">
        <v>574.72341960000006</v>
      </c>
      <c r="AE187" s="6">
        <v>0.67241889899999996</v>
      </c>
      <c r="AF187" s="6">
        <v>9.2340140730000009</v>
      </c>
      <c r="AG187" s="6">
        <v>9.533038651</v>
      </c>
      <c r="AH187" s="6">
        <v>6.8690817050000001</v>
      </c>
      <c r="AI187" s="6">
        <v>4.4967163450000003</v>
      </c>
      <c r="AJ187" s="6">
        <v>4.7372977279999997</v>
      </c>
      <c r="AK187" s="6">
        <v>6.8690817050000001</v>
      </c>
      <c r="AL187" s="6">
        <v>1.0461691820000001</v>
      </c>
      <c r="AM187" s="6">
        <v>675.88253280000004</v>
      </c>
      <c r="AN187" s="6">
        <v>364.58097780000003</v>
      </c>
      <c r="AO187" s="6">
        <v>63.435900719999999</v>
      </c>
      <c r="AP187" s="6">
        <v>428.08852560000003</v>
      </c>
      <c r="AQ187" s="6">
        <v>1.0001377380000001</v>
      </c>
      <c r="AR187" s="6">
        <v>0.69078069200000003</v>
      </c>
      <c r="AS187" s="6">
        <v>1948.3769689999999</v>
      </c>
      <c r="AT187" s="6">
        <v>0.16097314300000001</v>
      </c>
      <c r="AU187">
        <v>538.32550949999995</v>
      </c>
      <c r="AV187">
        <v>1.415799308</v>
      </c>
    </row>
    <row r="188" spans="1:48" x14ac:dyDescent="0.25">
      <c r="A188" s="6">
        <v>3588</v>
      </c>
      <c r="B188" s="6" t="s">
        <v>29</v>
      </c>
      <c r="C188" s="6">
        <v>2404</v>
      </c>
      <c r="D188" s="6" t="s">
        <v>16</v>
      </c>
      <c r="E188" s="6" t="s">
        <v>27</v>
      </c>
      <c r="F188" s="6" t="s">
        <v>15</v>
      </c>
      <c r="G188" s="6" t="s">
        <v>24</v>
      </c>
      <c r="H188" s="6">
        <v>211</v>
      </c>
      <c r="I188" s="6">
        <v>283</v>
      </c>
      <c r="J188" s="6">
        <v>654</v>
      </c>
      <c r="K188" s="6">
        <v>603</v>
      </c>
      <c r="L188" s="6">
        <v>1.76</v>
      </c>
      <c r="M188" s="6">
        <v>1.5176647999999999</v>
      </c>
      <c r="N188" s="6">
        <v>627.70909089999998</v>
      </c>
      <c r="O188" s="6">
        <v>0.63749999999999996</v>
      </c>
      <c r="P188" s="6">
        <v>0.98899999999999999</v>
      </c>
      <c r="Q188" s="6">
        <v>185.46</v>
      </c>
      <c r="R188" s="6">
        <v>384.54545450000001</v>
      </c>
      <c r="S188" s="6">
        <v>371</v>
      </c>
      <c r="T188" s="6">
        <v>4</v>
      </c>
      <c r="U188" s="6" t="s">
        <v>175</v>
      </c>
      <c r="V188" s="6">
        <v>3.68</v>
      </c>
      <c r="W188" s="6">
        <v>77.746600000000001</v>
      </c>
      <c r="X188" s="6">
        <v>410</v>
      </c>
      <c r="Y188" s="6">
        <v>1.4224000000000001</v>
      </c>
      <c r="Z188" s="6">
        <v>29.923525529999999</v>
      </c>
      <c r="AA188" s="6">
        <v>538.35181820000003</v>
      </c>
      <c r="AB188" s="6">
        <v>573.42575090000003</v>
      </c>
      <c r="AC188" s="6">
        <v>191.39351819571601</v>
      </c>
      <c r="AD188" s="6">
        <v>523.24986269999999</v>
      </c>
      <c r="AE188" s="6">
        <v>0.78120727700000003</v>
      </c>
      <c r="AF188" s="6">
        <v>10.1610095</v>
      </c>
      <c r="AG188" s="6">
        <v>9.0292423579999994</v>
      </c>
      <c r="AH188" s="6">
        <v>8.5578027300000006</v>
      </c>
      <c r="AI188" s="6">
        <v>4.2590765839999998</v>
      </c>
      <c r="AJ188" s="6">
        <v>5.9019329169999999</v>
      </c>
      <c r="AK188" s="6">
        <v>8.5578027300000006</v>
      </c>
      <c r="AL188" s="6">
        <v>1.3629726740000001</v>
      </c>
      <c r="AM188" s="6">
        <v>629.07206359999998</v>
      </c>
      <c r="AN188" s="6">
        <v>329.73072009999998</v>
      </c>
      <c r="AO188" s="6">
        <v>63.015920999999999</v>
      </c>
      <c r="AP188" s="6">
        <v>395.55666480000002</v>
      </c>
      <c r="AQ188" s="6">
        <v>1.303001877</v>
      </c>
      <c r="AR188" s="6">
        <v>0.65383439700000001</v>
      </c>
      <c r="AS188" s="6">
        <v>2143.9730049999998</v>
      </c>
      <c r="AT188" s="6">
        <v>0.149361616</v>
      </c>
      <c r="AU188">
        <v>592.36758510000004</v>
      </c>
      <c r="AV188">
        <v>1.5970694700000001</v>
      </c>
    </row>
    <row r="189" spans="1:48" x14ac:dyDescent="0.25">
      <c r="A189" s="6">
        <v>3598</v>
      </c>
      <c r="B189" s="6" t="s">
        <v>26</v>
      </c>
      <c r="C189" s="6">
        <v>2404</v>
      </c>
      <c r="D189" s="6" t="s">
        <v>16</v>
      </c>
      <c r="E189" s="6" t="s">
        <v>27</v>
      </c>
      <c r="F189" s="6" t="s">
        <v>15</v>
      </c>
      <c r="G189" s="6" t="s">
        <v>24</v>
      </c>
      <c r="H189" s="6">
        <v>211</v>
      </c>
      <c r="I189" s="6">
        <v>296</v>
      </c>
      <c r="J189" s="6">
        <v>705</v>
      </c>
      <c r="K189" s="6">
        <v>674</v>
      </c>
      <c r="L189" s="6">
        <v>1.94</v>
      </c>
      <c r="M189" s="6">
        <v>1.7901766480000001</v>
      </c>
      <c r="N189" s="6">
        <v>676.8</v>
      </c>
      <c r="O189" s="6">
        <v>0.63790000000000002</v>
      </c>
      <c r="P189" s="6">
        <v>0.98899999999999999</v>
      </c>
      <c r="Q189" s="6">
        <v>185.46</v>
      </c>
      <c r="R189" s="6">
        <v>430</v>
      </c>
      <c r="S189" s="6">
        <v>409</v>
      </c>
      <c r="T189" s="6">
        <v>6</v>
      </c>
      <c r="U189" s="6" t="s">
        <v>178</v>
      </c>
      <c r="V189" s="6">
        <v>4.13</v>
      </c>
      <c r="W189" s="6">
        <v>80.843559999999997</v>
      </c>
      <c r="X189" s="6">
        <v>642</v>
      </c>
      <c r="Y189" s="6">
        <v>1.7018</v>
      </c>
      <c r="Z189" s="6">
        <v>33.543536510000003</v>
      </c>
      <c r="AA189" s="6">
        <v>598.16999999999996</v>
      </c>
      <c r="AB189" s="6">
        <v>582.62533029999997</v>
      </c>
      <c r="AC189" s="6">
        <v>159.90695347176401</v>
      </c>
      <c r="AD189" s="6">
        <v>555.26319090000004</v>
      </c>
      <c r="AE189" s="6">
        <v>0.71585900099999999</v>
      </c>
      <c r="AF189" s="6">
        <v>9.8520025580000006</v>
      </c>
      <c r="AG189" s="6">
        <v>9.5538354939999994</v>
      </c>
      <c r="AH189" s="6">
        <v>7.7509407530000001</v>
      </c>
      <c r="AI189" s="6">
        <v>4.5065261760000004</v>
      </c>
      <c r="AJ189" s="6">
        <v>5.3454763810000001</v>
      </c>
      <c r="AK189" s="6">
        <v>7.7509407530000001</v>
      </c>
      <c r="AL189" s="6">
        <v>1.1957729619999999</v>
      </c>
      <c r="AM189" s="6">
        <v>677.99577299999999</v>
      </c>
      <c r="AN189" s="6">
        <v>351.40539749999999</v>
      </c>
      <c r="AO189" s="6">
        <v>63.286276350000001</v>
      </c>
      <c r="AP189" s="6">
        <v>428.3215184</v>
      </c>
      <c r="AQ189" s="6">
        <v>1.1431589520000001</v>
      </c>
      <c r="AR189" s="6">
        <v>0.67997476000000001</v>
      </c>
      <c r="AS189" s="6">
        <v>2078.7725399999999</v>
      </c>
      <c r="AT189" s="6">
        <v>0.18170687999999999</v>
      </c>
      <c r="AU189">
        <v>574.35306619999994</v>
      </c>
      <c r="AV189">
        <v>1.4055358680000001</v>
      </c>
    </row>
    <row r="190" spans="1:48" x14ac:dyDescent="0.25">
      <c r="A190" s="6">
        <v>3602</v>
      </c>
      <c r="B190" s="6" t="s">
        <v>26</v>
      </c>
      <c r="C190" s="6">
        <v>2404</v>
      </c>
      <c r="D190" s="6" t="s">
        <v>16</v>
      </c>
      <c r="E190" s="6" t="s">
        <v>27</v>
      </c>
      <c r="F190" s="6" t="s">
        <v>15</v>
      </c>
      <c r="G190" s="6" t="s">
        <v>24</v>
      </c>
      <c r="H190" s="6">
        <v>254</v>
      </c>
      <c r="I190" s="6">
        <v>279</v>
      </c>
      <c r="J190" s="6">
        <v>682</v>
      </c>
      <c r="K190" s="6">
        <v>640</v>
      </c>
      <c r="L190" s="6">
        <v>1.59</v>
      </c>
      <c r="M190" s="6">
        <v>1.4226914820000001</v>
      </c>
      <c r="N190" s="6">
        <v>654.54545450000001</v>
      </c>
      <c r="O190" s="6">
        <v>0.64910000000000001</v>
      </c>
      <c r="P190" s="6">
        <v>0.98899999999999999</v>
      </c>
      <c r="Q190" s="6">
        <v>205.02</v>
      </c>
      <c r="R190" s="6">
        <v>415</v>
      </c>
      <c r="S190" s="6">
        <v>403</v>
      </c>
      <c r="T190" s="6">
        <v>8</v>
      </c>
      <c r="U190" s="6" t="s">
        <v>176</v>
      </c>
      <c r="V190" s="6">
        <v>5.14</v>
      </c>
      <c r="W190" s="6">
        <v>76.133600000000001</v>
      </c>
      <c r="X190" s="6">
        <v>819</v>
      </c>
      <c r="Y190" s="6">
        <v>2.54</v>
      </c>
      <c r="Z190" s="6">
        <v>39.13980437</v>
      </c>
      <c r="AA190" s="6">
        <v>579.02818179999997</v>
      </c>
      <c r="AB190" s="6">
        <v>471.5763991</v>
      </c>
      <c r="AC190" s="6">
        <v>135.61621610151201</v>
      </c>
      <c r="AD190" s="6">
        <v>663.46137739999995</v>
      </c>
      <c r="AE190" s="6">
        <v>0.43871279200000002</v>
      </c>
      <c r="AF190" s="6">
        <v>5.8882592100000002</v>
      </c>
      <c r="AG190" s="6">
        <v>9.3172415530000006</v>
      </c>
      <c r="AH190" s="6">
        <v>2.1653342260000001</v>
      </c>
      <c r="AI190" s="6">
        <v>4.394925261</v>
      </c>
      <c r="AJ190" s="6">
        <v>1.4933339489999999</v>
      </c>
      <c r="AK190" s="6">
        <v>2.1653342260000001</v>
      </c>
      <c r="AL190" s="6">
        <v>0.33106731700000003</v>
      </c>
      <c r="AM190" s="6">
        <v>654.87652189999994</v>
      </c>
      <c r="AN190" s="6">
        <v>424.66116049999999</v>
      </c>
      <c r="AO190" s="6">
        <v>64.006915100000001</v>
      </c>
      <c r="AP190" s="6">
        <v>418.9543534</v>
      </c>
      <c r="AQ190" s="6">
        <v>0.31650035500000001</v>
      </c>
      <c r="AR190" s="6">
        <v>0.68750335399999996</v>
      </c>
      <c r="AS190" s="6">
        <v>1495.617839</v>
      </c>
      <c r="AT190" s="6">
        <v>0.24161495499999999</v>
      </c>
      <c r="AU190">
        <v>413.230729</v>
      </c>
      <c r="AV190">
        <v>1.0249240180000001</v>
      </c>
    </row>
    <row r="191" spans="1:48" x14ac:dyDescent="0.25">
      <c r="A191" s="6">
        <v>3629</v>
      </c>
      <c r="B191" s="6" t="s">
        <v>33</v>
      </c>
      <c r="C191" s="6">
        <v>2404</v>
      </c>
      <c r="D191" s="6" t="s">
        <v>16</v>
      </c>
      <c r="E191" s="6" t="s">
        <v>27</v>
      </c>
      <c r="F191" s="6" t="s">
        <v>15</v>
      </c>
      <c r="G191" s="6" t="s">
        <v>24</v>
      </c>
      <c r="H191" s="6">
        <v>254</v>
      </c>
      <c r="I191" s="6">
        <v>264</v>
      </c>
      <c r="J191" s="6">
        <v>725</v>
      </c>
      <c r="K191" s="6">
        <v>716</v>
      </c>
      <c r="L191" s="6">
        <v>1.82</v>
      </c>
      <c r="M191" s="6">
        <v>1.7797065139999999</v>
      </c>
      <c r="N191" s="6">
        <v>696</v>
      </c>
      <c r="O191" s="6">
        <v>0.64890000000000003</v>
      </c>
      <c r="P191" s="6">
        <v>0.98899999999999999</v>
      </c>
      <c r="Q191" s="6">
        <v>205.02</v>
      </c>
      <c r="R191" s="6">
        <v>465</v>
      </c>
      <c r="S191" s="6">
        <v>461</v>
      </c>
      <c r="T191" s="6">
        <v>5</v>
      </c>
      <c r="U191" s="6" t="s">
        <v>177</v>
      </c>
      <c r="V191" s="6">
        <v>5.2</v>
      </c>
      <c r="W191" s="6">
        <v>74.391559999999998</v>
      </c>
      <c r="X191" s="6">
        <v>534</v>
      </c>
      <c r="Y191" s="6">
        <v>2.1589999999999998</v>
      </c>
      <c r="Z191" s="6">
        <v>35.973008909999997</v>
      </c>
      <c r="AA191" s="6">
        <v>643.6318182</v>
      </c>
      <c r="AB191" s="6">
        <v>594.7662302</v>
      </c>
      <c r="AC191" s="6">
        <v>185.93098990423999</v>
      </c>
      <c r="AD191" s="6">
        <v>559.35926270000004</v>
      </c>
      <c r="AE191" s="6">
        <v>0.70694902400000004</v>
      </c>
      <c r="AF191" s="6">
        <v>9.9356616169999992</v>
      </c>
      <c r="AG191" s="6">
        <v>9.7563961500000005</v>
      </c>
      <c r="AH191" s="6">
        <v>7.7337025439999998</v>
      </c>
      <c r="AI191" s="6">
        <v>4.602073656</v>
      </c>
      <c r="AJ191" s="6">
        <v>5.3335879620000002</v>
      </c>
      <c r="AK191" s="6">
        <v>7.7337025439999998</v>
      </c>
      <c r="AL191" s="6">
        <v>1.1873668479999999</v>
      </c>
      <c r="AM191" s="6">
        <v>697.18736679999995</v>
      </c>
      <c r="AN191" s="6">
        <v>354.17864969999999</v>
      </c>
      <c r="AO191" s="6">
        <v>63.318634969999998</v>
      </c>
      <c r="AP191" s="6">
        <v>440.69769939999998</v>
      </c>
      <c r="AQ191" s="6">
        <v>1.1351227070000001</v>
      </c>
      <c r="AR191" s="6">
        <v>0.68401108700000002</v>
      </c>
      <c r="AS191" s="6">
        <v>2523.6580509999999</v>
      </c>
      <c r="AT191" s="6">
        <v>0.17912310000000001</v>
      </c>
      <c r="AU191">
        <v>697.27241049999998</v>
      </c>
      <c r="AV191">
        <v>1.512074227</v>
      </c>
    </row>
    <row r="192" spans="1:48" x14ac:dyDescent="0.25">
      <c r="A192" s="6">
        <v>3636</v>
      </c>
      <c r="B192" s="6" t="s">
        <v>26</v>
      </c>
      <c r="C192" s="6">
        <v>2404</v>
      </c>
      <c r="D192" s="6" t="s">
        <v>16</v>
      </c>
      <c r="E192" s="6" t="s">
        <v>27</v>
      </c>
      <c r="F192" s="6" t="s">
        <v>15</v>
      </c>
      <c r="G192" s="6" t="s">
        <v>24</v>
      </c>
      <c r="H192" s="6">
        <v>254</v>
      </c>
      <c r="I192" s="6">
        <v>265</v>
      </c>
      <c r="J192" s="6">
        <v>730</v>
      </c>
      <c r="K192" s="6">
        <v>691</v>
      </c>
      <c r="L192" s="6">
        <v>1.83</v>
      </c>
      <c r="M192" s="6">
        <v>1.6777022189999999</v>
      </c>
      <c r="N192" s="6">
        <v>700.8</v>
      </c>
      <c r="O192" s="6">
        <v>0.64890000000000003</v>
      </c>
      <c r="P192" s="6">
        <v>0.98899999999999999</v>
      </c>
      <c r="Q192" s="6">
        <v>205.02</v>
      </c>
      <c r="R192" s="6">
        <v>449</v>
      </c>
      <c r="S192" s="6">
        <v>465</v>
      </c>
      <c r="T192" s="6">
        <v>6</v>
      </c>
      <c r="U192" s="6" t="s">
        <v>178</v>
      </c>
      <c r="V192" s="6">
        <v>4.2300000000000004</v>
      </c>
      <c r="W192" s="6">
        <v>104.13527999999999</v>
      </c>
      <c r="X192" s="6">
        <v>597</v>
      </c>
      <c r="Y192" s="6">
        <v>2.7178</v>
      </c>
      <c r="Z192" s="6">
        <v>37.089213739999998</v>
      </c>
      <c r="AA192" s="6">
        <v>622.69545449999998</v>
      </c>
      <c r="AB192" s="6">
        <v>553.40433970000004</v>
      </c>
      <c r="AC192" s="6">
        <v>171.76890134300501</v>
      </c>
      <c r="AD192" s="6">
        <v>605.31220299999995</v>
      </c>
      <c r="AE192" s="6">
        <v>0.59845729599999997</v>
      </c>
      <c r="AF192" s="6">
        <v>8.4543553740000004</v>
      </c>
      <c r="AG192" s="6">
        <v>9.8068168890000003</v>
      </c>
      <c r="AH192" s="6">
        <v>5.5513226080000004</v>
      </c>
      <c r="AI192" s="6">
        <v>4.625857023</v>
      </c>
      <c r="AJ192" s="6">
        <v>3.8284983509999999</v>
      </c>
      <c r="AK192" s="6">
        <v>5.5513226080000004</v>
      </c>
      <c r="AL192" s="6">
        <v>0.83153323700000004</v>
      </c>
      <c r="AM192" s="6">
        <v>701.63153320000004</v>
      </c>
      <c r="AN192" s="6">
        <v>385.29116479999999</v>
      </c>
      <c r="AO192" s="6">
        <v>63.651643380000003</v>
      </c>
      <c r="AP192" s="6">
        <v>446.07071680000001</v>
      </c>
      <c r="AQ192" s="6">
        <v>0.79494577499999997</v>
      </c>
      <c r="AR192" s="6">
        <v>0.70494246199999999</v>
      </c>
      <c r="AS192" s="6">
        <v>2147.4062650000001</v>
      </c>
      <c r="AT192" s="6">
        <v>0.19844235800000001</v>
      </c>
      <c r="AU192">
        <v>593.31617540000002</v>
      </c>
      <c r="AV192">
        <v>1.2765727</v>
      </c>
    </row>
    <row r="193" spans="1:48" x14ac:dyDescent="0.25">
      <c r="A193" s="6">
        <v>3642</v>
      </c>
      <c r="B193" s="6" t="s">
        <v>29</v>
      </c>
      <c r="C193" s="6">
        <v>2404</v>
      </c>
      <c r="D193" s="6" t="s">
        <v>16</v>
      </c>
      <c r="E193" s="6" t="s">
        <v>27</v>
      </c>
      <c r="F193" s="6" t="s">
        <v>15</v>
      </c>
      <c r="G193" s="6" t="s">
        <v>24</v>
      </c>
      <c r="H193" s="6">
        <v>254</v>
      </c>
      <c r="I193" s="6">
        <v>246</v>
      </c>
      <c r="J193" s="6">
        <v>702</v>
      </c>
      <c r="K193" s="6">
        <v>673</v>
      </c>
      <c r="L193" s="6">
        <v>1.79</v>
      </c>
      <c r="M193" s="6">
        <v>1.6785969940000001</v>
      </c>
      <c r="N193" s="6">
        <v>673.74545450000005</v>
      </c>
      <c r="O193" s="6">
        <v>0.64859999999999995</v>
      </c>
      <c r="P193" s="6">
        <v>0.98899999999999999</v>
      </c>
      <c r="Q193" s="6">
        <v>205.02</v>
      </c>
      <c r="R193" s="6">
        <v>436</v>
      </c>
      <c r="S193" s="6">
        <v>455</v>
      </c>
      <c r="T193" s="6">
        <v>8</v>
      </c>
      <c r="U193" s="6" t="s">
        <v>176</v>
      </c>
      <c r="V193" s="6">
        <v>4.75</v>
      </c>
      <c r="W193" s="6">
        <v>81.553280000000001</v>
      </c>
      <c r="X193" s="6">
        <v>849</v>
      </c>
      <c r="Y193" s="6">
        <v>2.2606000000000002</v>
      </c>
      <c r="Z193" s="6">
        <v>37.872452250000002</v>
      </c>
      <c r="AA193" s="6">
        <v>606.54454550000003</v>
      </c>
      <c r="AB193" s="6">
        <v>522.74228549999998</v>
      </c>
      <c r="AC193" s="6">
        <v>164.64860250294899</v>
      </c>
      <c r="AD193" s="6">
        <v>616.07858439999995</v>
      </c>
      <c r="AE193" s="6">
        <v>0.57077305499999997</v>
      </c>
      <c r="AF193" s="6">
        <v>7.8286542429999999</v>
      </c>
      <c r="AG193" s="6">
        <v>9.5214783139999994</v>
      </c>
      <c r="AH193" s="6">
        <v>4.8392167859999997</v>
      </c>
      <c r="AI193" s="6">
        <v>4.4912633560000002</v>
      </c>
      <c r="AJ193" s="6">
        <v>3.3373908870000002</v>
      </c>
      <c r="AK193" s="6">
        <v>4.8392167859999997</v>
      </c>
      <c r="AL193" s="6">
        <v>0.72492634199999995</v>
      </c>
      <c r="AM193" s="6">
        <v>674.47038090000001</v>
      </c>
      <c r="AN193" s="6">
        <v>392.5805613</v>
      </c>
      <c r="AO193" s="6">
        <v>63.722481389999999</v>
      </c>
      <c r="AP193" s="6">
        <v>429.32732190000002</v>
      </c>
      <c r="AQ193" s="6">
        <v>0.69302958299999995</v>
      </c>
      <c r="AR193" s="6">
        <v>0.70487194399999997</v>
      </c>
      <c r="AS193" s="6">
        <v>1988.4781780000001</v>
      </c>
      <c r="AT193" s="6">
        <v>0.21441705599999999</v>
      </c>
      <c r="AU193">
        <v>549.40524600000003</v>
      </c>
      <c r="AV193">
        <v>1.206278983</v>
      </c>
    </row>
    <row r="194" spans="1:48" x14ac:dyDescent="0.25">
      <c r="A194" s="6">
        <v>3677</v>
      </c>
      <c r="B194" s="6" t="s">
        <v>33</v>
      </c>
      <c r="C194" s="6">
        <v>2404</v>
      </c>
      <c r="D194" s="6" t="s">
        <v>16</v>
      </c>
      <c r="E194" s="6" t="s">
        <v>27</v>
      </c>
      <c r="F194" s="6" t="s">
        <v>15</v>
      </c>
      <c r="G194" s="6" t="s">
        <v>24</v>
      </c>
      <c r="H194" s="6">
        <v>254</v>
      </c>
      <c r="I194" s="6">
        <v>218</v>
      </c>
      <c r="J194" s="6">
        <v>610</v>
      </c>
      <c r="K194" s="6">
        <v>578</v>
      </c>
      <c r="L194" s="6">
        <v>1.54</v>
      </c>
      <c r="M194" s="6">
        <v>1.4146385109999999</v>
      </c>
      <c r="N194" s="6">
        <v>585.6</v>
      </c>
      <c r="O194" s="6">
        <v>0.64910000000000001</v>
      </c>
      <c r="P194" s="6">
        <v>0.98899999999999999</v>
      </c>
      <c r="Q194" s="6">
        <v>205.02</v>
      </c>
      <c r="R194" s="6">
        <v>375</v>
      </c>
      <c r="S194" s="6">
        <v>392</v>
      </c>
      <c r="T194" s="6">
        <v>6</v>
      </c>
      <c r="U194" s="6" t="s">
        <v>178</v>
      </c>
      <c r="V194" s="6">
        <v>4.05</v>
      </c>
      <c r="W194" s="6">
        <v>88.134320000000002</v>
      </c>
      <c r="X194" s="6">
        <v>643</v>
      </c>
      <c r="Y194" s="6">
        <v>2.3113999999999999</v>
      </c>
      <c r="Z194" s="6">
        <v>34.835162220000001</v>
      </c>
      <c r="AA194" s="6">
        <v>525.79</v>
      </c>
      <c r="AB194" s="6">
        <v>480.71895269999999</v>
      </c>
      <c r="AC194" s="6">
        <v>185.42536463109599</v>
      </c>
      <c r="AD194" s="6">
        <v>582.28783880000003</v>
      </c>
      <c r="AE194" s="6">
        <v>0.65477480200000004</v>
      </c>
      <c r="AF194" s="6">
        <v>8.0843391130000004</v>
      </c>
      <c r="AG194" s="6">
        <v>8.5710355709999995</v>
      </c>
      <c r="AH194" s="6">
        <v>5.8600268189999998</v>
      </c>
      <c r="AI194" s="6">
        <v>4.0429413070000004</v>
      </c>
      <c r="AJ194" s="6">
        <v>4.041397806</v>
      </c>
      <c r="AK194" s="6">
        <v>5.8600268189999998</v>
      </c>
      <c r="AL194" s="6">
        <v>0.89705640099999995</v>
      </c>
      <c r="AM194" s="6">
        <v>586.49705640000002</v>
      </c>
      <c r="AN194" s="6">
        <v>369.70248049999998</v>
      </c>
      <c r="AO194" s="6">
        <v>63.491362160000001</v>
      </c>
      <c r="AP194" s="6">
        <v>371.80541679999999</v>
      </c>
      <c r="AQ194" s="6">
        <v>0.85758592</v>
      </c>
      <c r="AR194" s="6">
        <v>0.68647939999999996</v>
      </c>
      <c r="AS194" s="6">
        <v>2053.4221349999998</v>
      </c>
      <c r="AT194" s="6">
        <v>0.174985053</v>
      </c>
      <c r="AU194">
        <v>567.34889310000005</v>
      </c>
      <c r="AV194">
        <v>1.448830603</v>
      </c>
    </row>
    <row r="195" spans="1:48" x14ac:dyDescent="0.25">
      <c r="A195" s="6">
        <v>3683</v>
      </c>
      <c r="B195" s="6" t="s">
        <v>33</v>
      </c>
      <c r="C195" s="6">
        <v>2404</v>
      </c>
      <c r="D195" s="6" t="s">
        <v>16</v>
      </c>
      <c r="E195" s="6" t="s">
        <v>27</v>
      </c>
      <c r="F195" s="6" t="s">
        <v>15</v>
      </c>
      <c r="G195" s="6" t="s">
        <v>24</v>
      </c>
      <c r="H195" s="6">
        <v>211</v>
      </c>
      <c r="I195" s="6">
        <v>273</v>
      </c>
      <c r="J195" s="6">
        <v>716</v>
      </c>
      <c r="K195" s="6">
        <v>685</v>
      </c>
      <c r="L195" s="6">
        <v>2.1</v>
      </c>
      <c r="M195" s="6">
        <v>1.9528220590000001</v>
      </c>
      <c r="N195" s="6">
        <v>687.05454550000002</v>
      </c>
      <c r="O195" s="6">
        <v>0.63790000000000002</v>
      </c>
      <c r="P195" s="6">
        <v>0.98899999999999999</v>
      </c>
      <c r="Q195" s="6">
        <v>185.46</v>
      </c>
      <c r="R195" s="6">
        <v>437.27272729999999</v>
      </c>
      <c r="S195" s="6">
        <v>442</v>
      </c>
      <c r="T195" s="6">
        <v>6</v>
      </c>
      <c r="U195" s="6" t="s">
        <v>178</v>
      </c>
      <c r="V195" s="6">
        <v>3.65</v>
      </c>
      <c r="W195" s="6">
        <v>90.134439999999998</v>
      </c>
      <c r="X195" s="6">
        <v>621</v>
      </c>
      <c r="Y195" s="6">
        <v>1.6255999999999999</v>
      </c>
      <c r="Z195" s="6">
        <v>32.700760819999999</v>
      </c>
      <c r="AA195" s="6">
        <v>607.74090909999995</v>
      </c>
      <c r="AB195" s="6">
        <v>606.85528599999998</v>
      </c>
      <c r="AC195" s="6">
        <v>170.75093629072401</v>
      </c>
      <c r="AD195" s="6">
        <v>541.17032559999996</v>
      </c>
      <c r="AE195" s="6">
        <v>0.74556349600000005</v>
      </c>
      <c r="AF195" s="6">
        <v>10.37719105</v>
      </c>
      <c r="AG195" s="6">
        <v>9.6621974749999993</v>
      </c>
      <c r="AH195" s="6">
        <v>8.438348564</v>
      </c>
      <c r="AI195" s="6">
        <v>4.5576403189999999</v>
      </c>
      <c r="AJ195" s="6">
        <v>5.8195507339999999</v>
      </c>
      <c r="AK195" s="6">
        <v>8.438348564</v>
      </c>
      <c r="AL195" s="6">
        <v>1.3149916429999999</v>
      </c>
      <c r="AM195" s="6">
        <v>688.3695371</v>
      </c>
      <c r="AN195" s="6">
        <v>341.86379950000003</v>
      </c>
      <c r="AO195" s="6">
        <v>63.17120199</v>
      </c>
      <c r="AP195" s="6">
        <v>434.02061470000001</v>
      </c>
      <c r="AQ195" s="6">
        <v>1.2571320109999999</v>
      </c>
      <c r="AR195" s="6">
        <v>0.67162281800000001</v>
      </c>
      <c r="AS195" s="6">
        <v>2189.5873120000001</v>
      </c>
      <c r="AT195" s="6">
        <v>0.18818407100000001</v>
      </c>
      <c r="AU195">
        <v>604.97055950000004</v>
      </c>
      <c r="AV195">
        <v>1.367867658</v>
      </c>
    </row>
    <row r="196" spans="1:48" x14ac:dyDescent="0.25">
      <c r="A196" s="6">
        <v>3504</v>
      </c>
      <c r="B196" s="6" t="s">
        <v>31</v>
      </c>
      <c r="C196" s="6">
        <v>2404</v>
      </c>
      <c r="D196" s="6" t="s">
        <v>16</v>
      </c>
      <c r="E196" s="6" t="s">
        <v>20</v>
      </c>
      <c r="F196" s="6" t="s">
        <v>21</v>
      </c>
      <c r="G196" s="6" t="s">
        <v>15</v>
      </c>
      <c r="H196" s="6">
        <v>254</v>
      </c>
      <c r="I196" s="6">
        <v>232</v>
      </c>
      <c r="J196" s="6">
        <v>610</v>
      </c>
      <c r="K196" s="6">
        <v>610</v>
      </c>
      <c r="L196" s="6">
        <v>1.49</v>
      </c>
      <c r="M196" s="6">
        <v>1.4889047959999999</v>
      </c>
      <c r="N196" s="6">
        <v>586.03636359999996</v>
      </c>
      <c r="O196" s="6">
        <v>0.64900000000000002</v>
      </c>
      <c r="P196" s="6">
        <v>0.98899999999999999</v>
      </c>
      <c r="Q196" s="6">
        <v>205.02</v>
      </c>
      <c r="R196" s="6">
        <v>396</v>
      </c>
      <c r="S196" s="6">
        <v>379</v>
      </c>
      <c r="T196" s="6">
        <v>8</v>
      </c>
      <c r="U196" s="6" t="s">
        <v>176</v>
      </c>
      <c r="V196" s="6">
        <v>5.21</v>
      </c>
      <c r="W196" s="6">
        <v>85.811599999999999</v>
      </c>
      <c r="X196" s="6">
        <v>803</v>
      </c>
      <c r="Y196" s="6">
        <v>3.1496</v>
      </c>
      <c r="Z196" s="6">
        <v>40.959786790000003</v>
      </c>
      <c r="AA196" s="6">
        <v>553.30636360000005</v>
      </c>
      <c r="AB196" s="6">
        <v>413.58002699999997</v>
      </c>
      <c r="AC196" s="6">
        <v>122.077546986629</v>
      </c>
      <c r="AD196" s="6">
        <v>677.31844750000005</v>
      </c>
      <c r="AE196" s="6">
        <v>0.39694352100000002</v>
      </c>
      <c r="AF196" s="6">
        <v>4.903700132</v>
      </c>
      <c r="AG196" s="6">
        <v>8.5758251970000003</v>
      </c>
      <c r="AH196" s="6">
        <v>1.2448243720000001</v>
      </c>
      <c r="AI196" s="6">
        <v>4.0452005639999999</v>
      </c>
      <c r="AJ196" s="6">
        <v>0.85849956699999996</v>
      </c>
      <c r="AK196" s="6">
        <v>1.2448243720000001</v>
      </c>
      <c r="AL196" s="6">
        <v>0.19706729200000001</v>
      </c>
      <c r="AM196" s="6">
        <v>586.23343090000003</v>
      </c>
      <c r="AN196" s="6">
        <v>434.04311300000001</v>
      </c>
      <c r="AO196" s="6">
        <v>64.082576610000004</v>
      </c>
      <c r="AP196" s="6">
        <v>375.54720170000002</v>
      </c>
      <c r="AQ196" s="6">
        <v>0.188396332</v>
      </c>
      <c r="AR196" s="6">
        <v>0.65871963499999997</v>
      </c>
      <c r="AS196" s="6">
        <v>1245.539833</v>
      </c>
      <c r="AT196" s="6">
        <v>0.30362884299999998</v>
      </c>
      <c r="AU196">
        <v>344.1355939</v>
      </c>
      <c r="AV196">
        <v>0.90888152</v>
      </c>
    </row>
    <row r="197" spans="1:48" x14ac:dyDescent="0.25">
      <c r="A197" s="6">
        <v>3505</v>
      </c>
      <c r="B197" s="6" t="s">
        <v>30</v>
      </c>
      <c r="C197" s="6">
        <v>2404</v>
      </c>
      <c r="D197" s="6" t="s">
        <v>16</v>
      </c>
      <c r="E197" s="6" t="s">
        <v>20</v>
      </c>
      <c r="F197" s="6" t="s">
        <v>21</v>
      </c>
      <c r="G197" s="6" t="s">
        <v>15</v>
      </c>
      <c r="H197" s="6">
        <v>254</v>
      </c>
      <c r="I197" s="6">
        <v>253</v>
      </c>
      <c r="J197" s="6">
        <v>630</v>
      </c>
      <c r="K197" s="6">
        <v>609</v>
      </c>
      <c r="L197" s="6">
        <v>1.49</v>
      </c>
      <c r="M197" s="6">
        <v>1.4021116680000001</v>
      </c>
      <c r="N197" s="6">
        <v>605.2363636</v>
      </c>
      <c r="O197" s="6">
        <v>0.64900000000000002</v>
      </c>
      <c r="P197" s="6">
        <v>0.98899999999999999</v>
      </c>
      <c r="Q197" s="6">
        <v>205.02</v>
      </c>
      <c r="R197" s="6">
        <v>395</v>
      </c>
      <c r="S197" s="6">
        <v>378</v>
      </c>
      <c r="T197" s="6">
        <v>7</v>
      </c>
      <c r="U197" s="6" t="s">
        <v>179</v>
      </c>
      <c r="V197" s="6">
        <v>4.29</v>
      </c>
      <c r="W197" s="6">
        <v>89.295680000000004</v>
      </c>
      <c r="X197" s="6">
        <v>657</v>
      </c>
      <c r="Y197" s="6">
        <v>2.4891999999999999</v>
      </c>
      <c r="Z197" s="6">
        <v>36.796630440000001</v>
      </c>
      <c r="AA197" s="6">
        <v>552.11</v>
      </c>
      <c r="AB197" s="6">
        <v>478.86649829999999</v>
      </c>
      <c r="AC197" s="6">
        <v>161.446840129186</v>
      </c>
      <c r="AD197" s="6">
        <v>604.14120190000006</v>
      </c>
      <c r="AE197" s="6">
        <v>0.60141650000000002</v>
      </c>
      <c r="AF197" s="6">
        <v>7.6115107030000004</v>
      </c>
      <c r="AG197" s="6">
        <v>8.7856977100000009</v>
      </c>
      <c r="AH197" s="6">
        <v>5.0276048209999997</v>
      </c>
      <c r="AI197" s="6">
        <v>4.1441970330000002</v>
      </c>
      <c r="AJ197" s="6">
        <v>3.4673136699999998</v>
      </c>
      <c r="AK197" s="6">
        <v>5.0276048209999997</v>
      </c>
      <c r="AL197" s="6">
        <v>0.76071779900000003</v>
      </c>
      <c r="AM197" s="6">
        <v>605.99708139999996</v>
      </c>
      <c r="AN197" s="6">
        <v>384.49833649999999</v>
      </c>
      <c r="AO197" s="6">
        <v>63.643786470000002</v>
      </c>
      <c r="AP197" s="6">
        <v>385.19533890000002</v>
      </c>
      <c r="AQ197" s="6">
        <v>0.72724621599999995</v>
      </c>
      <c r="AR197" s="6">
        <v>0.69632466199999998</v>
      </c>
      <c r="AS197" s="6">
        <v>1933.323719</v>
      </c>
      <c r="AT197" s="6">
        <v>0.18420938000000001</v>
      </c>
      <c r="AU197">
        <v>534.16638160000002</v>
      </c>
      <c r="AV197">
        <v>1.413308526</v>
      </c>
    </row>
    <row r="198" spans="1:48" x14ac:dyDescent="0.25">
      <c r="A198" s="6">
        <v>3509</v>
      </c>
      <c r="B198" s="6" t="s">
        <v>31</v>
      </c>
      <c r="C198" s="6">
        <v>2404</v>
      </c>
      <c r="D198" s="6" t="s">
        <v>16</v>
      </c>
      <c r="E198" s="6" t="s">
        <v>20</v>
      </c>
      <c r="F198" s="6" t="s">
        <v>21</v>
      </c>
      <c r="G198" s="6" t="s">
        <v>15</v>
      </c>
      <c r="H198" s="6">
        <v>254</v>
      </c>
      <c r="I198" s="6">
        <v>261</v>
      </c>
      <c r="J198" s="6">
        <v>720</v>
      </c>
      <c r="K198" s="6">
        <v>698</v>
      </c>
      <c r="L198" s="6">
        <v>1.81</v>
      </c>
      <c r="M198" s="6">
        <v>1.7215461700000001</v>
      </c>
      <c r="N198" s="6">
        <v>690.7636364</v>
      </c>
      <c r="O198" s="6">
        <v>0.64910000000000001</v>
      </c>
      <c r="P198" s="6">
        <v>0.98899999999999999</v>
      </c>
      <c r="Q198" s="6">
        <v>205.02</v>
      </c>
      <c r="R198" s="6">
        <v>453</v>
      </c>
      <c r="S198" s="6">
        <v>459</v>
      </c>
      <c r="T198" s="6">
        <v>7</v>
      </c>
      <c r="U198" s="6" t="s">
        <v>179</v>
      </c>
      <c r="V198" s="6">
        <v>4.84</v>
      </c>
      <c r="W198" s="6">
        <v>88.456919999999997</v>
      </c>
      <c r="X198" s="6">
        <v>684</v>
      </c>
      <c r="Y198" s="6">
        <v>2.54</v>
      </c>
      <c r="Z198" s="6">
        <v>38.222732790000002</v>
      </c>
      <c r="AA198" s="6">
        <v>628.6772727</v>
      </c>
      <c r="AB198" s="6">
        <v>541.97654680000005</v>
      </c>
      <c r="AC198" s="6">
        <v>163.264547135583</v>
      </c>
      <c r="AD198" s="6">
        <v>609.22381259999997</v>
      </c>
      <c r="AE198" s="6">
        <v>0.58849861699999995</v>
      </c>
      <c r="AF198" s="6">
        <v>8.2242122549999994</v>
      </c>
      <c r="AG198" s="6">
        <v>9.7012924490000003</v>
      </c>
      <c r="AH198" s="6">
        <v>5.2897898210000003</v>
      </c>
      <c r="AI198" s="6">
        <v>4.5760813440000003</v>
      </c>
      <c r="AJ198" s="6">
        <v>3.648130911</v>
      </c>
      <c r="AK198" s="6">
        <v>5.2897898210000003</v>
      </c>
      <c r="AL198" s="6">
        <v>0.79224889899999995</v>
      </c>
      <c r="AM198" s="6">
        <v>691.5558853</v>
      </c>
      <c r="AN198" s="6">
        <v>387.93952660000002</v>
      </c>
      <c r="AO198" s="6">
        <v>63.677669620000003</v>
      </c>
      <c r="AP198" s="6">
        <v>439.8621862</v>
      </c>
      <c r="AQ198" s="6">
        <v>0.75738994800000004</v>
      </c>
      <c r="AR198" s="6">
        <v>0.70506097700000003</v>
      </c>
      <c r="AS198" s="6">
        <v>2088.9499129999999</v>
      </c>
      <c r="AT198" s="6">
        <v>0.20932657299999999</v>
      </c>
      <c r="AU198">
        <v>577.16501670000002</v>
      </c>
      <c r="AV198">
        <v>1.2584371029999999</v>
      </c>
    </row>
    <row r="199" spans="1:48" x14ac:dyDescent="0.25">
      <c r="A199" s="6">
        <v>3517</v>
      </c>
      <c r="B199" s="6" t="s">
        <v>30</v>
      </c>
      <c r="C199" s="6">
        <v>2404</v>
      </c>
      <c r="D199" s="6" t="s">
        <v>16</v>
      </c>
      <c r="E199" s="6" t="s">
        <v>20</v>
      </c>
      <c r="F199" s="6" t="s">
        <v>21</v>
      </c>
      <c r="G199" s="6" t="s">
        <v>15</v>
      </c>
      <c r="H199" s="6">
        <v>254</v>
      </c>
      <c r="I199" s="6">
        <v>276</v>
      </c>
      <c r="J199" s="6">
        <v>661</v>
      </c>
      <c r="K199" s="6">
        <v>625</v>
      </c>
      <c r="L199" s="6">
        <v>1.52</v>
      </c>
      <c r="M199" s="6">
        <v>1.373478883</v>
      </c>
      <c r="N199" s="6">
        <v>634.47272729999997</v>
      </c>
      <c r="O199" s="6">
        <v>0.6492</v>
      </c>
      <c r="P199" s="6">
        <v>0.98899999999999999</v>
      </c>
      <c r="Q199" s="6">
        <v>205.02</v>
      </c>
      <c r="R199" s="6">
        <v>405</v>
      </c>
      <c r="S199" s="6">
        <v>385</v>
      </c>
      <c r="T199" s="6">
        <v>7</v>
      </c>
      <c r="U199" s="6" t="s">
        <v>179</v>
      </c>
      <c r="V199" s="6">
        <v>5.24</v>
      </c>
      <c r="W199" s="6">
        <v>86.456800000000001</v>
      </c>
      <c r="X199" s="6">
        <v>673</v>
      </c>
      <c r="Y199" s="6">
        <v>3.2004000000000001</v>
      </c>
      <c r="Z199" s="6">
        <v>40.521135209999997</v>
      </c>
      <c r="AA199" s="6">
        <v>565.8681818</v>
      </c>
      <c r="AB199" s="6">
        <v>434.69898289999998</v>
      </c>
      <c r="AC199" s="6">
        <v>115.77692724838801</v>
      </c>
      <c r="AD199" s="6">
        <v>697.67350639999995</v>
      </c>
      <c r="AE199" s="6">
        <v>0.33300380000000002</v>
      </c>
      <c r="AF199" s="6">
        <v>4.3662708410000004</v>
      </c>
      <c r="AG199" s="6">
        <v>9.1021128460000007</v>
      </c>
      <c r="AH199" s="6">
        <v>0.105591009</v>
      </c>
      <c r="AI199" s="6">
        <v>4.2934494560000003</v>
      </c>
      <c r="AJ199" s="6">
        <v>7.2821386000000002E-2</v>
      </c>
      <c r="AK199" s="6">
        <v>0.105591009</v>
      </c>
      <c r="AL199" s="6">
        <v>2.0373255E-2</v>
      </c>
      <c r="AM199" s="6">
        <v>634.49310049999997</v>
      </c>
      <c r="AN199" s="6">
        <v>447.82453959999998</v>
      </c>
      <c r="AO199" s="6">
        <v>64.188267940000003</v>
      </c>
      <c r="AP199" s="6">
        <v>407.25705420000003</v>
      </c>
      <c r="AQ199" s="6">
        <v>1.9476831999999999E-2</v>
      </c>
      <c r="AR199" s="6">
        <v>0.51282786800000002</v>
      </c>
      <c r="AS199" s="6">
        <v>1109.032794</v>
      </c>
      <c r="AT199" s="6">
        <v>0.314565663</v>
      </c>
      <c r="AU199">
        <v>306.41947279999999</v>
      </c>
      <c r="AV199">
        <v>0.79542517999999995</v>
      </c>
    </row>
    <row r="200" spans="1:48" x14ac:dyDescent="0.25">
      <c r="A200" s="6">
        <v>3523</v>
      </c>
      <c r="B200" s="6" t="s">
        <v>42</v>
      </c>
      <c r="C200" s="6">
        <v>2404</v>
      </c>
      <c r="D200" s="6" t="s">
        <v>16</v>
      </c>
      <c r="E200" s="6" t="s">
        <v>20</v>
      </c>
      <c r="F200" s="6" t="s">
        <v>21</v>
      </c>
      <c r="G200" s="6" t="s">
        <v>15</v>
      </c>
      <c r="H200" s="6">
        <v>211</v>
      </c>
      <c r="I200" s="6">
        <v>324</v>
      </c>
      <c r="J200" s="6">
        <v>700</v>
      </c>
      <c r="K200" s="6">
        <v>680</v>
      </c>
      <c r="L200" s="6">
        <v>1.78</v>
      </c>
      <c r="M200" s="6">
        <v>1.688927187</v>
      </c>
      <c r="N200" s="6">
        <v>671.56363639999995</v>
      </c>
      <c r="O200" s="6">
        <v>0.63700000000000001</v>
      </c>
      <c r="P200" s="6">
        <v>0.98899999999999999</v>
      </c>
      <c r="Q200" s="6">
        <v>185.46</v>
      </c>
      <c r="R200" s="6">
        <v>433.18181820000001</v>
      </c>
      <c r="S200" s="6">
        <v>376</v>
      </c>
      <c r="T200" s="6">
        <v>4</v>
      </c>
      <c r="U200" s="6" t="s">
        <v>175</v>
      </c>
      <c r="V200" s="6">
        <v>3.79</v>
      </c>
      <c r="W200" s="6">
        <v>91.2958</v>
      </c>
      <c r="X200" s="6">
        <v>406</v>
      </c>
      <c r="Y200" s="6">
        <v>1.905</v>
      </c>
      <c r="Z200" s="6">
        <v>32.213643130000001</v>
      </c>
      <c r="AA200" s="6">
        <v>602.35727269999995</v>
      </c>
      <c r="AB200" s="6">
        <v>608.60911520000002</v>
      </c>
      <c r="AC200" s="6">
        <v>168.73003991055401</v>
      </c>
      <c r="AD200" s="6">
        <v>527.44431550000002</v>
      </c>
      <c r="AE200" s="6">
        <v>0.77307811100000001</v>
      </c>
      <c r="AF200" s="6">
        <v>10.577682319999999</v>
      </c>
      <c r="AG200" s="6">
        <v>9.4983435879999991</v>
      </c>
      <c r="AH200" s="6">
        <v>8.8411307709999996</v>
      </c>
      <c r="AI200" s="6">
        <v>4.4803507490000003</v>
      </c>
      <c r="AJ200" s="6">
        <v>6.0973315660000003</v>
      </c>
      <c r="AK200" s="6">
        <v>8.8411307709999996</v>
      </c>
      <c r="AL200" s="6">
        <v>1.3964053409999999</v>
      </c>
      <c r="AM200" s="6">
        <v>672.96004170000003</v>
      </c>
      <c r="AN200" s="6">
        <v>332.57058139999998</v>
      </c>
      <c r="AO200" s="6">
        <v>63.0532118</v>
      </c>
      <c r="AP200" s="6">
        <v>423.44244200000003</v>
      </c>
      <c r="AQ200" s="6">
        <v>1.334963506</v>
      </c>
      <c r="AR200" s="6">
        <v>0.66059836199999999</v>
      </c>
      <c r="AS200" s="6">
        <v>2231.890969</v>
      </c>
      <c r="AT200" s="6">
        <v>0.15966892699999999</v>
      </c>
      <c r="AU200">
        <v>616.65881999999999</v>
      </c>
      <c r="AV200">
        <v>1.6404466799999999</v>
      </c>
    </row>
    <row r="201" spans="1:48" x14ac:dyDescent="0.25">
      <c r="A201" s="6">
        <v>3534</v>
      </c>
      <c r="B201" s="6" t="s">
        <v>42</v>
      </c>
      <c r="C201" s="6">
        <v>2404</v>
      </c>
      <c r="D201" s="6" t="s">
        <v>16</v>
      </c>
      <c r="E201" s="6" t="s">
        <v>20</v>
      </c>
      <c r="F201" s="6" t="s">
        <v>21</v>
      </c>
      <c r="G201" s="6" t="s">
        <v>15</v>
      </c>
      <c r="H201" s="6">
        <v>254</v>
      </c>
      <c r="I201" s="6">
        <v>296</v>
      </c>
      <c r="J201" s="6">
        <v>703</v>
      </c>
      <c r="K201" s="6">
        <v>671</v>
      </c>
      <c r="L201" s="6">
        <v>1.6</v>
      </c>
      <c r="M201" s="6">
        <v>1.475483178</v>
      </c>
      <c r="N201" s="6">
        <v>674.6181818</v>
      </c>
      <c r="O201" s="6">
        <v>0.64910000000000001</v>
      </c>
      <c r="P201" s="6">
        <v>0.98899999999999999</v>
      </c>
      <c r="Q201" s="6">
        <v>205.02</v>
      </c>
      <c r="R201" s="6">
        <v>435</v>
      </c>
      <c r="S201" s="6">
        <v>407</v>
      </c>
      <c r="T201" s="6">
        <v>5</v>
      </c>
      <c r="U201" s="6" t="s">
        <v>177</v>
      </c>
      <c r="V201" s="6">
        <v>3.37</v>
      </c>
      <c r="W201" s="6">
        <v>104.58692000000001</v>
      </c>
      <c r="X201" s="6">
        <v>483</v>
      </c>
      <c r="Y201" s="6">
        <v>2.032</v>
      </c>
      <c r="Z201" s="6">
        <v>32.773255769999999</v>
      </c>
      <c r="AA201" s="6">
        <v>605.34818180000002</v>
      </c>
      <c r="AB201" s="6">
        <v>603.00960099999998</v>
      </c>
      <c r="AC201" s="6">
        <v>207.981522192574</v>
      </c>
      <c r="AD201" s="6">
        <v>534.7634438</v>
      </c>
      <c r="AE201" s="6">
        <v>0.75858044899999999</v>
      </c>
      <c r="AF201" s="6">
        <v>10.414704220000001</v>
      </c>
      <c r="AG201" s="6">
        <v>9.5307269580000007</v>
      </c>
      <c r="AH201" s="6">
        <v>8.5826635299999996</v>
      </c>
      <c r="AI201" s="6">
        <v>4.4956259230000004</v>
      </c>
      <c r="AJ201" s="6">
        <v>5.9190782970000004</v>
      </c>
      <c r="AK201" s="6">
        <v>8.5826635299999996</v>
      </c>
      <c r="AL201" s="6">
        <v>1.346396154</v>
      </c>
      <c r="AM201" s="6">
        <v>675.96457799999996</v>
      </c>
      <c r="AN201" s="6">
        <v>337.52600949999999</v>
      </c>
      <c r="AO201" s="6">
        <v>63.116881560000003</v>
      </c>
      <c r="AP201" s="6">
        <v>425.7979588</v>
      </c>
      <c r="AQ201" s="6">
        <v>1.287154723</v>
      </c>
      <c r="AR201" s="6">
        <v>0.66615595699999997</v>
      </c>
      <c r="AS201" s="6">
        <v>2645.3348719999999</v>
      </c>
      <c r="AT201" s="6">
        <v>0.14167307600000001</v>
      </c>
      <c r="AU201">
        <v>730.89102630000002</v>
      </c>
      <c r="AV201">
        <v>1.7976078900000001</v>
      </c>
    </row>
    <row r="202" spans="1:48" x14ac:dyDescent="0.25">
      <c r="A202" s="6">
        <v>3554</v>
      </c>
      <c r="B202" s="6" t="s">
        <v>30</v>
      </c>
      <c r="C202" s="6">
        <v>2404</v>
      </c>
      <c r="D202" s="6" t="s">
        <v>16</v>
      </c>
      <c r="E202" s="6" t="s">
        <v>20</v>
      </c>
      <c r="F202" s="6" t="s">
        <v>21</v>
      </c>
      <c r="G202" s="6" t="s">
        <v>15</v>
      </c>
      <c r="H202" s="6">
        <v>211</v>
      </c>
      <c r="I202" s="6">
        <v>281</v>
      </c>
      <c r="J202" s="6">
        <v>676</v>
      </c>
      <c r="K202" s="6">
        <v>658</v>
      </c>
      <c r="L202" s="6">
        <v>1.87</v>
      </c>
      <c r="M202" s="6">
        <v>1.7880224039999999</v>
      </c>
      <c r="N202" s="6">
        <v>648.87272729999995</v>
      </c>
      <c r="O202" s="6">
        <v>0.63739999999999997</v>
      </c>
      <c r="P202" s="6">
        <v>0.98899999999999999</v>
      </c>
      <c r="Q202" s="6">
        <v>185.46</v>
      </c>
      <c r="R202" s="6">
        <v>419.54545450000001</v>
      </c>
      <c r="S202" s="6">
        <v>395</v>
      </c>
      <c r="T202" s="6">
        <v>5</v>
      </c>
      <c r="U202" s="6" t="s">
        <v>177</v>
      </c>
      <c r="V202" s="6">
        <v>3.66</v>
      </c>
      <c r="W202" s="6">
        <v>85.553520000000006</v>
      </c>
      <c r="X202" s="6">
        <v>505</v>
      </c>
      <c r="Y202" s="6">
        <v>1.524</v>
      </c>
      <c r="Z202" s="6">
        <v>31.371178430000001</v>
      </c>
      <c r="AA202" s="6">
        <v>584.41181819999997</v>
      </c>
      <c r="AB202" s="6">
        <v>601.95153059999996</v>
      </c>
      <c r="AC202" s="6">
        <v>179.55168735726801</v>
      </c>
      <c r="AD202" s="6">
        <v>515.25936539999998</v>
      </c>
      <c r="AE202" s="6">
        <v>0.79633224400000002</v>
      </c>
      <c r="AF202" s="6">
        <v>10.618561939999999</v>
      </c>
      <c r="AG202" s="6">
        <v>9.2566136360000009</v>
      </c>
      <c r="AH202" s="6">
        <v>9.0657403960000007</v>
      </c>
      <c r="AI202" s="6">
        <v>4.3663271870000004</v>
      </c>
      <c r="AJ202" s="6">
        <v>6.252234756</v>
      </c>
      <c r="AK202" s="6">
        <v>9.0657403960000007</v>
      </c>
      <c r="AL202" s="6">
        <v>1.4517233249999999</v>
      </c>
      <c r="AM202" s="6">
        <v>650.32445059999998</v>
      </c>
      <c r="AN202" s="6">
        <v>324.3207405</v>
      </c>
      <c r="AO202" s="6">
        <v>62.94320149</v>
      </c>
      <c r="AP202" s="6">
        <v>408.42126810000002</v>
      </c>
      <c r="AQ202" s="6">
        <v>1.387847499</v>
      </c>
      <c r="AR202" s="6">
        <v>0.64946440800000005</v>
      </c>
      <c r="AS202" s="6">
        <v>2240.5165699999998</v>
      </c>
      <c r="AT202" s="6">
        <v>0.168386493</v>
      </c>
      <c r="AU202">
        <v>619.04202469999996</v>
      </c>
      <c r="AV202">
        <v>1.567194999</v>
      </c>
    </row>
    <row r="203" spans="1:48" x14ac:dyDescent="0.25">
      <c r="A203" s="6">
        <v>3559</v>
      </c>
      <c r="B203" s="6" t="s">
        <v>31</v>
      </c>
      <c r="C203" s="6">
        <v>2404</v>
      </c>
      <c r="D203" s="6" t="s">
        <v>16</v>
      </c>
      <c r="E203" s="6" t="s">
        <v>20</v>
      </c>
      <c r="F203" s="6" t="s">
        <v>21</v>
      </c>
      <c r="G203" s="6" t="s">
        <v>15</v>
      </c>
      <c r="H203" s="6">
        <v>254</v>
      </c>
      <c r="I203" s="6">
        <v>272</v>
      </c>
      <c r="J203" s="6">
        <v>708</v>
      </c>
      <c r="K203" s="6">
        <v>692</v>
      </c>
      <c r="L203" s="6">
        <v>1.72</v>
      </c>
      <c r="M203" s="6">
        <v>1.6562276309999999</v>
      </c>
      <c r="N203" s="6">
        <v>679.41818179999996</v>
      </c>
      <c r="O203" s="6">
        <v>0.64870000000000005</v>
      </c>
      <c r="P203" s="6">
        <v>0.98899999999999999</v>
      </c>
      <c r="Q203" s="6">
        <v>205.02</v>
      </c>
      <c r="R203" s="6">
        <v>449</v>
      </c>
      <c r="S203" s="6">
        <v>436</v>
      </c>
      <c r="T203" s="6">
        <v>5</v>
      </c>
      <c r="U203" s="6" t="s">
        <v>177</v>
      </c>
      <c r="V203" s="6">
        <v>4.9400000000000004</v>
      </c>
      <c r="W203" s="6">
        <v>86.005160000000004</v>
      </c>
      <c r="X203" s="6">
        <v>524</v>
      </c>
      <c r="Y203" s="6">
        <v>2.54</v>
      </c>
      <c r="Z203" s="6">
        <v>36.671656480000003</v>
      </c>
      <c r="AA203" s="6">
        <v>623.29363639999997</v>
      </c>
      <c r="AB203" s="6">
        <v>560.75849049999999</v>
      </c>
      <c r="AC203" s="6">
        <v>174.59410533149199</v>
      </c>
      <c r="AD203" s="6">
        <v>579.14752329999999</v>
      </c>
      <c r="AE203" s="6">
        <v>0.66215116799999996</v>
      </c>
      <c r="AF203" s="6">
        <v>9.1392758710000006</v>
      </c>
      <c r="AG203" s="6">
        <v>9.5815411699999995</v>
      </c>
      <c r="AH203" s="6">
        <v>6.6985374200000001</v>
      </c>
      <c r="AI203" s="6">
        <v>4.5195948919999998</v>
      </c>
      <c r="AJ203" s="6">
        <v>4.61968098</v>
      </c>
      <c r="AK203" s="6">
        <v>6.6985374200000001</v>
      </c>
      <c r="AL203" s="6">
        <v>1.0171183939999999</v>
      </c>
      <c r="AM203" s="6">
        <v>680.43530020000003</v>
      </c>
      <c r="AN203" s="6">
        <v>367.57632460000002</v>
      </c>
      <c r="AO203" s="6">
        <v>63.468513610000002</v>
      </c>
      <c r="AP203" s="6">
        <v>431.21662120000002</v>
      </c>
      <c r="AQ203" s="6">
        <v>0.97236518500000002</v>
      </c>
      <c r="AR203" s="6">
        <v>0.69333607799999997</v>
      </c>
      <c r="AS203" s="6">
        <v>2321.3760710000001</v>
      </c>
      <c r="AT203" s="6">
        <v>0.181220882</v>
      </c>
      <c r="AU203">
        <v>641.38304649999998</v>
      </c>
      <c r="AV203">
        <v>1.4706020870000001</v>
      </c>
    </row>
    <row r="204" spans="1:48" x14ac:dyDescent="0.25">
      <c r="A204" s="6">
        <v>3571</v>
      </c>
      <c r="B204" s="6" t="s">
        <v>31</v>
      </c>
      <c r="C204" s="6">
        <v>2404</v>
      </c>
      <c r="D204" s="6" t="s">
        <v>16</v>
      </c>
      <c r="E204" s="6" t="s">
        <v>20</v>
      </c>
      <c r="F204" s="6" t="s">
        <v>21</v>
      </c>
      <c r="G204" s="6" t="s">
        <v>15</v>
      </c>
      <c r="H204" s="6">
        <v>211</v>
      </c>
      <c r="I204" s="6">
        <v>269</v>
      </c>
      <c r="J204" s="6">
        <v>669</v>
      </c>
      <c r="K204" s="6">
        <v>640</v>
      </c>
      <c r="L204" s="6">
        <v>1.89</v>
      </c>
      <c r="M204" s="6">
        <v>1.7546316239999999</v>
      </c>
      <c r="N204" s="6">
        <v>642.32727269999998</v>
      </c>
      <c r="O204" s="6">
        <v>0.63749999999999996</v>
      </c>
      <c r="P204" s="6">
        <v>0.98899999999999999</v>
      </c>
      <c r="Q204" s="6">
        <v>185.46</v>
      </c>
      <c r="R204" s="6">
        <v>407.72727270000001</v>
      </c>
      <c r="S204" s="6">
        <v>400</v>
      </c>
      <c r="T204" s="6">
        <v>5</v>
      </c>
      <c r="U204" s="6" t="s">
        <v>177</v>
      </c>
      <c r="V204" s="6">
        <v>3.23</v>
      </c>
      <c r="W204" s="6">
        <v>90.005399999999995</v>
      </c>
      <c r="X204" s="6">
        <v>507</v>
      </c>
      <c r="Y204" s="6">
        <v>1.4224000000000001</v>
      </c>
      <c r="Z204" s="6">
        <v>30.36500255</v>
      </c>
      <c r="AA204" s="6">
        <v>568.85909089999996</v>
      </c>
      <c r="AB204" s="6">
        <v>600.5995001</v>
      </c>
      <c r="AC204" s="6">
        <v>188.80391399592099</v>
      </c>
      <c r="AD204" s="6">
        <v>511.2099432</v>
      </c>
      <c r="AE204" s="6">
        <v>0.80381639000000005</v>
      </c>
      <c r="AF204" s="6">
        <v>10.63716492</v>
      </c>
      <c r="AG204" s="6">
        <v>9.1864934159999994</v>
      </c>
      <c r="AH204" s="6">
        <v>9.1406742960000003</v>
      </c>
      <c r="AI204" s="6">
        <v>4.3332516109999997</v>
      </c>
      <c r="AJ204" s="6">
        <v>6.3039133070000002</v>
      </c>
      <c r="AK204" s="6">
        <v>9.1406742960000003</v>
      </c>
      <c r="AL204" s="6">
        <v>1.4705694920000001</v>
      </c>
      <c r="AM204" s="6">
        <v>643.79784219999999</v>
      </c>
      <c r="AN204" s="6">
        <v>321.5790725</v>
      </c>
      <c r="AO204" s="6">
        <v>62.905480760000003</v>
      </c>
      <c r="AP204" s="6">
        <v>404.05905899999999</v>
      </c>
      <c r="AQ204" s="6">
        <v>1.405864435</v>
      </c>
      <c r="AR204" s="6">
        <v>0.64572357999999996</v>
      </c>
      <c r="AS204" s="6">
        <v>2244.4417979999998</v>
      </c>
      <c r="AT204" s="6">
        <v>0.16495293999999999</v>
      </c>
      <c r="AU204">
        <v>620.1265429</v>
      </c>
      <c r="AV204">
        <v>1.55119772</v>
      </c>
    </row>
    <row r="205" spans="1:48" x14ac:dyDescent="0.25">
      <c r="A205" s="6">
        <v>3579</v>
      </c>
      <c r="B205" s="6" t="s">
        <v>35</v>
      </c>
      <c r="C205" s="6">
        <v>2404</v>
      </c>
      <c r="D205" s="6" t="s">
        <v>16</v>
      </c>
      <c r="E205" s="6" t="s">
        <v>20</v>
      </c>
      <c r="F205" s="6" t="s">
        <v>21</v>
      </c>
      <c r="G205" s="6" t="s">
        <v>15</v>
      </c>
      <c r="H205" s="6">
        <v>254</v>
      </c>
      <c r="I205" s="6">
        <v>311</v>
      </c>
      <c r="J205" s="6">
        <v>676</v>
      </c>
      <c r="K205" s="6">
        <v>622</v>
      </c>
      <c r="L205" s="6">
        <v>1.44</v>
      </c>
      <c r="M205" s="6">
        <v>1.224051539</v>
      </c>
      <c r="N205" s="6">
        <v>648.87272729999995</v>
      </c>
      <c r="O205" s="6">
        <v>0.64859999999999995</v>
      </c>
      <c r="P205" s="6">
        <v>0.98899999999999999</v>
      </c>
      <c r="Q205" s="6">
        <v>205.02</v>
      </c>
      <c r="R205" s="6">
        <v>404</v>
      </c>
      <c r="S205" s="6">
        <v>365</v>
      </c>
      <c r="T205" s="6">
        <v>6</v>
      </c>
      <c r="U205" s="6" t="s">
        <v>178</v>
      </c>
      <c r="V205" s="6">
        <v>4.17</v>
      </c>
      <c r="W205" s="6">
        <v>78.585359999999994</v>
      </c>
      <c r="X205" s="6">
        <v>582</v>
      </c>
      <c r="Y205" s="6">
        <v>1.7272000000000001</v>
      </c>
      <c r="Z205" s="6">
        <v>33.302190680000002</v>
      </c>
      <c r="AA205" s="6">
        <v>563.47545449999996</v>
      </c>
      <c r="AB205" s="6">
        <v>547.54906329999994</v>
      </c>
      <c r="AC205" s="6">
        <v>192.95382541162701</v>
      </c>
      <c r="AD205" s="6">
        <v>566.45364670000004</v>
      </c>
      <c r="AE205" s="6">
        <v>0.69122243500000002</v>
      </c>
      <c r="AF205" s="6">
        <v>9.2169924059999992</v>
      </c>
      <c r="AG205" s="6">
        <v>9.2566136360000009</v>
      </c>
      <c r="AH205" s="6">
        <v>7.0334645680000003</v>
      </c>
      <c r="AI205" s="6">
        <v>4.3663271870000004</v>
      </c>
      <c r="AJ205" s="6">
        <v>4.8506652189999997</v>
      </c>
      <c r="AK205" s="6">
        <v>7.0334645680000003</v>
      </c>
      <c r="AL205" s="6">
        <v>1.0796131929999999</v>
      </c>
      <c r="AM205" s="6">
        <v>649.95234049999999</v>
      </c>
      <c r="AN205" s="6">
        <v>358.98191430000003</v>
      </c>
      <c r="AO205" s="6">
        <v>63.37357282</v>
      </c>
      <c r="AP205" s="6">
        <v>411.21383029999998</v>
      </c>
      <c r="AQ205" s="6">
        <v>1.0321102120000001</v>
      </c>
      <c r="AR205" s="6">
        <v>0.68420132</v>
      </c>
      <c r="AS205" s="6">
        <v>2341.1160709999999</v>
      </c>
      <c r="AT205" s="6">
        <v>0.132803792</v>
      </c>
      <c r="AU205">
        <v>646.83709650000003</v>
      </c>
      <c r="AV205">
        <v>1.7743660999999999</v>
      </c>
    </row>
    <row r="206" spans="1:48" x14ac:dyDescent="0.25">
      <c r="A206" s="6">
        <v>3580</v>
      </c>
      <c r="B206" s="6" t="s">
        <v>35</v>
      </c>
      <c r="C206" s="6">
        <v>2404</v>
      </c>
      <c r="D206" s="6" t="s">
        <v>16</v>
      </c>
      <c r="E206" s="6" t="s">
        <v>20</v>
      </c>
      <c r="F206" s="6" t="s">
        <v>21</v>
      </c>
      <c r="G206" s="6" t="s">
        <v>15</v>
      </c>
      <c r="H206" s="6">
        <v>254</v>
      </c>
      <c r="I206" s="6">
        <v>229</v>
      </c>
      <c r="J206" s="6">
        <v>675</v>
      </c>
      <c r="K206" s="6">
        <v>621</v>
      </c>
      <c r="L206" s="6">
        <v>1.75</v>
      </c>
      <c r="M206" s="6">
        <v>1.5434860420000001</v>
      </c>
      <c r="N206" s="6">
        <v>648</v>
      </c>
      <c r="O206" s="6">
        <v>0.64890000000000003</v>
      </c>
      <c r="P206" s="6">
        <v>0.98899999999999999</v>
      </c>
      <c r="Q206" s="6">
        <v>205.02</v>
      </c>
      <c r="R206" s="6">
        <v>403</v>
      </c>
      <c r="S206" s="6">
        <v>446</v>
      </c>
      <c r="T206" s="6">
        <v>9</v>
      </c>
      <c r="U206" s="6" t="s">
        <v>180</v>
      </c>
      <c r="V206" s="6">
        <v>4.4400000000000004</v>
      </c>
      <c r="W206" s="6">
        <v>82.843680000000006</v>
      </c>
      <c r="X206" s="6">
        <v>871</v>
      </c>
      <c r="Y206" s="6">
        <v>2.2351999999999999</v>
      </c>
      <c r="Z206" s="6">
        <v>37.839554200000002</v>
      </c>
      <c r="AA206" s="6">
        <v>562.87727270000005</v>
      </c>
      <c r="AB206" s="6">
        <v>474.2595172</v>
      </c>
      <c r="AC206" s="6">
        <v>158.69358633481099</v>
      </c>
      <c r="AD206" s="6">
        <v>653.11077320000004</v>
      </c>
      <c r="AE206" s="6">
        <v>0.46898295499999998</v>
      </c>
      <c r="AF206" s="6">
        <v>6.2472671289999999</v>
      </c>
      <c r="AG206" s="6">
        <v>9.247274526</v>
      </c>
      <c r="AH206" s="6">
        <v>2.7337505150000001</v>
      </c>
      <c r="AI206" s="6">
        <v>4.3619219459999998</v>
      </c>
      <c r="AJ206" s="6">
        <v>1.8853451830000001</v>
      </c>
      <c r="AK206" s="6">
        <v>2.7337505150000001</v>
      </c>
      <c r="AL206" s="6">
        <v>0.413875783</v>
      </c>
      <c r="AM206" s="6">
        <v>648.41387580000003</v>
      </c>
      <c r="AN206" s="6">
        <v>417.65326670000002</v>
      </c>
      <c r="AO206" s="6">
        <v>63.948304610000001</v>
      </c>
      <c r="AP206" s="6">
        <v>414.38501380000002</v>
      </c>
      <c r="AQ206" s="6">
        <v>0.395665249</v>
      </c>
      <c r="AR206" s="6">
        <v>0.695837873</v>
      </c>
      <c r="AS206" s="6">
        <v>1586.8058510000001</v>
      </c>
      <c r="AT206" s="6">
        <v>0.247065798</v>
      </c>
      <c r="AU206">
        <v>438.42545949999999</v>
      </c>
      <c r="AV206">
        <v>0.98371852199999998</v>
      </c>
    </row>
    <row r="207" spans="1:48" x14ac:dyDescent="0.25">
      <c r="A207" s="6">
        <v>3581</v>
      </c>
      <c r="B207" s="6" t="s">
        <v>31</v>
      </c>
      <c r="C207" s="6">
        <v>2404</v>
      </c>
      <c r="D207" s="6" t="s">
        <v>16</v>
      </c>
      <c r="E207" s="6" t="s">
        <v>20</v>
      </c>
      <c r="F207" s="6" t="s">
        <v>21</v>
      </c>
      <c r="G207" s="6" t="s">
        <v>15</v>
      </c>
      <c r="H207" s="6">
        <v>211</v>
      </c>
      <c r="I207" s="6">
        <v>271</v>
      </c>
      <c r="J207" s="6">
        <v>673</v>
      </c>
      <c r="K207" s="6">
        <v>650</v>
      </c>
      <c r="L207" s="6">
        <v>1.9</v>
      </c>
      <c r="M207" s="6">
        <v>1.7955622579999999</v>
      </c>
      <c r="N207" s="6">
        <v>645.81818180000005</v>
      </c>
      <c r="O207" s="6">
        <v>0.63780000000000003</v>
      </c>
      <c r="P207" s="6">
        <v>0.98899999999999999</v>
      </c>
      <c r="Q207" s="6">
        <v>185.46</v>
      </c>
      <c r="R207" s="6">
        <v>414.54545450000001</v>
      </c>
      <c r="S207" s="6">
        <v>402</v>
      </c>
      <c r="T207" s="6">
        <v>6</v>
      </c>
      <c r="U207" s="6" t="s">
        <v>178</v>
      </c>
      <c r="V207" s="6">
        <v>4.8899999999999997</v>
      </c>
      <c r="W207" s="6">
        <v>75.036760000000001</v>
      </c>
      <c r="X207" s="6">
        <v>613</v>
      </c>
      <c r="Y207" s="6">
        <v>2.2606000000000002</v>
      </c>
      <c r="Z207" s="6">
        <v>36.251114370000003</v>
      </c>
      <c r="AA207" s="6">
        <v>577.83181820000004</v>
      </c>
      <c r="AB207" s="6">
        <v>516.46568709999997</v>
      </c>
      <c r="AC207" s="6">
        <v>136.63092017298999</v>
      </c>
      <c r="AD207" s="6">
        <v>597.71849050000003</v>
      </c>
      <c r="AE207" s="6">
        <v>0.61746621000000002</v>
      </c>
      <c r="AF207" s="6">
        <v>8.2044157690000006</v>
      </c>
      <c r="AG207" s="6">
        <v>9.2239129809999998</v>
      </c>
      <c r="AH207" s="6">
        <v>5.5875944579999999</v>
      </c>
      <c r="AI207" s="6">
        <v>4.3509023490000001</v>
      </c>
      <c r="AJ207" s="6">
        <v>3.853513419</v>
      </c>
      <c r="AK207" s="6">
        <v>5.5875944579999999</v>
      </c>
      <c r="AL207" s="6">
        <v>0.84373592500000005</v>
      </c>
      <c r="AM207" s="6">
        <v>646.6619177</v>
      </c>
      <c r="AN207" s="6">
        <v>380.14982909999998</v>
      </c>
      <c r="AO207" s="6">
        <v>63.600145400000002</v>
      </c>
      <c r="AP207" s="6">
        <v>410.74130270000001</v>
      </c>
      <c r="AQ207" s="6">
        <v>0.80661154400000001</v>
      </c>
      <c r="AR207" s="6">
        <v>0.69805093200000001</v>
      </c>
      <c r="AS207" s="6">
        <v>1731.131727</v>
      </c>
      <c r="AT207" s="6">
        <v>0.21885315299999999</v>
      </c>
      <c r="AU207">
        <v>478.30188079999999</v>
      </c>
      <c r="AV207">
        <v>1.1910177</v>
      </c>
    </row>
    <row r="208" spans="1:48" x14ac:dyDescent="0.25">
      <c r="A208" s="6">
        <v>3584</v>
      </c>
      <c r="B208" s="6" t="s">
        <v>31</v>
      </c>
      <c r="C208" s="6">
        <v>2404</v>
      </c>
      <c r="D208" s="6" t="s">
        <v>16</v>
      </c>
      <c r="E208" s="6" t="s">
        <v>20</v>
      </c>
      <c r="F208" s="6" t="s">
        <v>21</v>
      </c>
      <c r="G208" s="6" t="s">
        <v>15</v>
      </c>
      <c r="H208" s="6">
        <v>211</v>
      </c>
      <c r="I208" s="6">
        <v>280</v>
      </c>
      <c r="J208" s="6">
        <v>710</v>
      </c>
      <c r="K208" s="6">
        <v>680</v>
      </c>
      <c r="L208" s="6">
        <v>2.04</v>
      </c>
      <c r="M208" s="6">
        <v>1.898965963</v>
      </c>
      <c r="N208" s="6">
        <v>681.81818180000005</v>
      </c>
      <c r="O208" s="6">
        <v>0.63729999999999998</v>
      </c>
      <c r="P208" s="6">
        <v>0.98899999999999999</v>
      </c>
      <c r="Q208" s="6">
        <v>185.46</v>
      </c>
      <c r="R208" s="6">
        <v>433.63636359999998</v>
      </c>
      <c r="S208" s="6">
        <v>430</v>
      </c>
      <c r="T208" s="6">
        <v>5</v>
      </c>
      <c r="U208" s="6" t="s">
        <v>177</v>
      </c>
      <c r="V208" s="6">
        <v>3.65</v>
      </c>
      <c r="W208" s="6">
        <v>94.457279999999997</v>
      </c>
      <c r="X208" s="6">
        <v>528</v>
      </c>
      <c r="Y208" s="6">
        <v>1.8033999999999999</v>
      </c>
      <c r="Z208" s="6">
        <v>32.351875409999998</v>
      </c>
      <c r="AA208" s="6">
        <v>602.95545449999997</v>
      </c>
      <c r="AB208" s="6">
        <v>607.06813829999999</v>
      </c>
      <c r="AC208" s="6">
        <v>172.35454315212101</v>
      </c>
      <c r="AD208" s="6">
        <v>536.85751300000004</v>
      </c>
      <c r="AE208" s="6">
        <v>0.75435940499999998</v>
      </c>
      <c r="AF208" s="6">
        <v>10.439543459999999</v>
      </c>
      <c r="AG208" s="6">
        <v>9.6069145999999996</v>
      </c>
      <c r="AH208" s="6">
        <v>8.5665709589999999</v>
      </c>
      <c r="AI208" s="6">
        <v>4.531563491</v>
      </c>
      <c r="AJ208" s="6">
        <v>5.9079799709999996</v>
      </c>
      <c r="AK208" s="6">
        <v>8.5665709589999999</v>
      </c>
      <c r="AL208" s="6">
        <v>1.340507919</v>
      </c>
      <c r="AM208" s="6">
        <v>683.15868969999997</v>
      </c>
      <c r="AN208" s="6">
        <v>338.9438025</v>
      </c>
      <c r="AO208" s="6">
        <v>63.134778650000001</v>
      </c>
      <c r="AP208" s="6">
        <v>430.46439989999999</v>
      </c>
      <c r="AQ208" s="6">
        <v>1.281525571</v>
      </c>
      <c r="AR208" s="6">
        <v>0.66821397100000002</v>
      </c>
      <c r="AS208" s="6">
        <v>2202.7436710000002</v>
      </c>
      <c r="AT208" s="6">
        <v>0.18190124599999999</v>
      </c>
      <c r="AU208">
        <v>608.60558679999997</v>
      </c>
      <c r="AV208">
        <v>1.413867255</v>
      </c>
    </row>
    <row r="209" spans="1:48" x14ac:dyDescent="0.25">
      <c r="A209" s="6">
        <v>3599</v>
      </c>
      <c r="B209" s="6" t="s">
        <v>31</v>
      </c>
      <c r="C209" s="6">
        <v>2404</v>
      </c>
      <c r="D209" s="6" t="s">
        <v>16</v>
      </c>
      <c r="E209" s="6" t="s">
        <v>20</v>
      </c>
      <c r="F209" s="6" t="s">
        <v>21</v>
      </c>
      <c r="G209" s="6" t="s">
        <v>15</v>
      </c>
      <c r="H209" s="6">
        <v>254</v>
      </c>
      <c r="I209" s="6">
        <v>245</v>
      </c>
      <c r="J209" s="6">
        <v>637</v>
      </c>
      <c r="K209" s="6">
        <v>636</v>
      </c>
      <c r="L209" s="6">
        <v>1.54</v>
      </c>
      <c r="M209" s="6">
        <v>1.539012169</v>
      </c>
      <c r="N209" s="6">
        <v>611.34545449999996</v>
      </c>
      <c r="O209" s="6">
        <v>0.64929999999999999</v>
      </c>
      <c r="P209" s="6">
        <v>0.98899999999999999</v>
      </c>
      <c r="Q209" s="6">
        <v>205.02</v>
      </c>
      <c r="R209" s="6">
        <v>413</v>
      </c>
      <c r="S209" s="6">
        <v>391</v>
      </c>
      <c r="T209" s="6">
        <v>5</v>
      </c>
      <c r="U209" s="6" t="s">
        <v>177</v>
      </c>
      <c r="V209" s="6">
        <v>4.46</v>
      </c>
      <c r="W209" s="6">
        <v>86.327759999999998</v>
      </c>
      <c r="X209" s="6">
        <v>475</v>
      </c>
      <c r="Y209" s="6">
        <v>2.3875999999999999</v>
      </c>
      <c r="Z209" s="6">
        <v>35.237987850000003</v>
      </c>
      <c r="AA209" s="6">
        <v>576.03727270000002</v>
      </c>
      <c r="AB209" s="6">
        <v>530.66617959999996</v>
      </c>
      <c r="AC209" s="6">
        <v>185.32123392985201</v>
      </c>
      <c r="AD209" s="6">
        <v>550.67222760000004</v>
      </c>
      <c r="AE209" s="6">
        <v>0.72569752899999995</v>
      </c>
      <c r="AF209" s="6">
        <v>9.2538493119999998</v>
      </c>
      <c r="AG209" s="6">
        <v>8.8521244729999999</v>
      </c>
      <c r="AH209" s="6">
        <v>7.3635624049999997</v>
      </c>
      <c r="AI209" s="6">
        <v>4.1755304119999996</v>
      </c>
      <c r="AJ209" s="6">
        <v>5.0783189000000002</v>
      </c>
      <c r="AK209" s="6">
        <v>7.3635624049999997</v>
      </c>
      <c r="AL209" s="6">
        <v>1.1476669150000001</v>
      </c>
      <c r="AM209" s="6">
        <v>612.49312150000003</v>
      </c>
      <c r="AN209" s="6">
        <v>348.29707810000002</v>
      </c>
      <c r="AO209" s="6">
        <v>63.249435990000002</v>
      </c>
      <c r="AP209" s="6">
        <v>386.672552</v>
      </c>
      <c r="AQ209" s="6">
        <v>1.097169571</v>
      </c>
      <c r="AR209" s="6">
        <v>0.67150427899999998</v>
      </c>
      <c r="AS209" s="6">
        <v>2350.4777250000002</v>
      </c>
      <c r="AT209" s="6">
        <v>0.16631048500000001</v>
      </c>
      <c r="AU209">
        <v>649.42366849999996</v>
      </c>
      <c r="AV209">
        <v>1.659386842</v>
      </c>
    </row>
    <row r="210" spans="1:48" x14ac:dyDescent="0.25">
      <c r="A210" s="6">
        <v>3603</v>
      </c>
      <c r="B210" s="6" t="s">
        <v>30</v>
      </c>
      <c r="C210" s="6">
        <v>2404</v>
      </c>
      <c r="D210" s="6" t="s">
        <v>16</v>
      </c>
      <c r="E210" s="6" t="s">
        <v>20</v>
      </c>
      <c r="F210" s="6" t="s">
        <v>21</v>
      </c>
      <c r="G210" s="6" t="s">
        <v>15</v>
      </c>
      <c r="H210" s="6">
        <v>211</v>
      </c>
      <c r="I210" s="6">
        <v>285</v>
      </c>
      <c r="J210" s="6">
        <v>671</v>
      </c>
      <c r="K210" s="6">
        <v>638</v>
      </c>
      <c r="L210" s="6">
        <v>1.83</v>
      </c>
      <c r="M210" s="6">
        <v>1.672770358</v>
      </c>
      <c r="N210" s="6">
        <v>644.29090910000002</v>
      </c>
      <c r="O210" s="6">
        <v>0.63749999999999996</v>
      </c>
      <c r="P210" s="6">
        <v>0.98899999999999999</v>
      </c>
      <c r="Q210" s="6">
        <v>185.46</v>
      </c>
      <c r="R210" s="6">
        <v>406.81818179999999</v>
      </c>
      <c r="S210" s="6">
        <v>386</v>
      </c>
      <c r="T210" s="6">
        <v>5</v>
      </c>
      <c r="U210" s="6" t="s">
        <v>177</v>
      </c>
      <c r="V210" s="6">
        <v>3.04</v>
      </c>
      <c r="W210" s="6">
        <v>98.522040000000004</v>
      </c>
      <c r="X210" s="6">
        <v>469</v>
      </c>
      <c r="Y210" s="6">
        <v>1.6763999999999999</v>
      </c>
      <c r="Z210" s="6">
        <v>30.961187540000001</v>
      </c>
      <c r="AA210" s="6">
        <v>567.66272730000003</v>
      </c>
      <c r="AB210" s="6">
        <v>589.71514360000003</v>
      </c>
      <c r="AC210" s="6">
        <v>182.02610385196499</v>
      </c>
      <c r="AD210" s="6">
        <v>522.23697819999995</v>
      </c>
      <c r="AE210" s="6">
        <v>0.78315075599999995</v>
      </c>
      <c r="AF210" s="6">
        <v>10.387442610000001</v>
      </c>
      <c r="AG210" s="6">
        <v>9.2075481589999999</v>
      </c>
      <c r="AH210" s="6">
        <v>8.7641763000000008</v>
      </c>
      <c r="AI210" s="6">
        <v>4.3431830939999996</v>
      </c>
      <c r="AJ210" s="6">
        <v>6.0442595170000004</v>
      </c>
      <c r="AK210" s="6">
        <v>8.7641763000000008</v>
      </c>
      <c r="AL210" s="6">
        <v>1.3947503590000001</v>
      </c>
      <c r="AM210" s="6">
        <v>645.68565950000004</v>
      </c>
      <c r="AN210" s="6">
        <v>329.04494490000002</v>
      </c>
      <c r="AO210" s="6">
        <v>63.006826150000002</v>
      </c>
      <c r="AP210" s="6">
        <v>405.94725299999999</v>
      </c>
      <c r="AQ210" s="6">
        <v>1.3333813430000001</v>
      </c>
      <c r="AR210" s="6">
        <v>0.65446615299999999</v>
      </c>
      <c r="AS210" s="6">
        <v>2191.750391</v>
      </c>
      <c r="AT210" s="6">
        <v>0.16103774700000001</v>
      </c>
      <c r="AU210">
        <v>605.56820600000003</v>
      </c>
      <c r="AV210">
        <v>1.5691991199999999</v>
      </c>
    </row>
    <row r="211" spans="1:48" x14ac:dyDescent="0.25">
      <c r="A211" s="6">
        <v>3607</v>
      </c>
      <c r="B211" s="6" t="s">
        <v>30</v>
      </c>
      <c r="C211" s="6">
        <v>2404</v>
      </c>
      <c r="D211" s="6" t="s">
        <v>16</v>
      </c>
      <c r="E211" s="6" t="s">
        <v>20</v>
      </c>
      <c r="F211" s="6" t="s">
        <v>21</v>
      </c>
      <c r="G211" s="6" t="s">
        <v>15</v>
      </c>
      <c r="H211" s="6">
        <v>211</v>
      </c>
      <c r="I211" s="6">
        <v>268</v>
      </c>
      <c r="J211" s="6">
        <v>688</v>
      </c>
      <c r="K211" s="6">
        <v>653</v>
      </c>
      <c r="L211" s="6">
        <v>1.99</v>
      </c>
      <c r="M211" s="6">
        <v>1.825721672</v>
      </c>
      <c r="N211" s="6">
        <v>660.21818180000002</v>
      </c>
      <c r="O211" s="6">
        <v>0.63739999999999997</v>
      </c>
      <c r="P211" s="6">
        <v>0.98899999999999999</v>
      </c>
      <c r="Q211" s="6">
        <v>185.46</v>
      </c>
      <c r="R211" s="6">
        <v>416.36363640000002</v>
      </c>
      <c r="S211" s="6">
        <v>420</v>
      </c>
      <c r="T211" s="6">
        <v>6</v>
      </c>
      <c r="U211" s="6" t="s">
        <v>178</v>
      </c>
      <c r="V211" s="6">
        <v>4.0999999999999996</v>
      </c>
      <c r="W211" s="6">
        <v>93.812079999999995</v>
      </c>
      <c r="X211" s="6">
        <v>635</v>
      </c>
      <c r="Y211" s="6">
        <v>2.3875999999999999</v>
      </c>
      <c r="Z211" s="6">
        <v>35.612933239999997</v>
      </c>
      <c r="AA211" s="6">
        <v>580.22454549999998</v>
      </c>
      <c r="AB211" s="6">
        <v>529.36489059999997</v>
      </c>
      <c r="AC211" s="6">
        <v>143.18192590908399</v>
      </c>
      <c r="AD211" s="6">
        <v>596.15644429999998</v>
      </c>
      <c r="AE211" s="6">
        <v>0.62132333299999998</v>
      </c>
      <c r="AF211" s="6">
        <v>8.3933442740000004</v>
      </c>
      <c r="AG211" s="6">
        <v>9.3777382500000002</v>
      </c>
      <c r="AH211" s="6">
        <v>5.7563301109999996</v>
      </c>
      <c r="AI211" s="6">
        <v>4.4234614390000004</v>
      </c>
      <c r="AJ211" s="6">
        <v>3.9698828349999999</v>
      </c>
      <c r="AK211" s="6">
        <v>5.7563301109999996</v>
      </c>
      <c r="AL211" s="6">
        <v>0.868484645</v>
      </c>
      <c r="AM211" s="6">
        <v>661.08666649999998</v>
      </c>
      <c r="AN211" s="6">
        <v>379.09224310000002</v>
      </c>
      <c r="AO211" s="6">
        <v>63.589389439999998</v>
      </c>
      <c r="AP211" s="6">
        <v>419.82871080000001</v>
      </c>
      <c r="AQ211" s="6">
        <v>0.83027132100000001</v>
      </c>
      <c r="AR211" s="6">
        <v>0.69876774699999999</v>
      </c>
      <c r="AS211" s="6">
        <v>1770.9956420000001</v>
      </c>
      <c r="AT211" s="6">
        <v>0.21752017000000001</v>
      </c>
      <c r="AU211">
        <v>489.31605439999998</v>
      </c>
      <c r="AV211">
        <v>1.1656689979999999</v>
      </c>
    </row>
    <row r="212" spans="1:48" x14ac:dyDescent="0.25">
      <c r="A212" s="6">
        <v>3608</v>
      </c>
      <c r="B212" s="6" t="s">
        <v>31</v>
      </c>
      <c r="C212" s="6">
        <v>2404</v>
      </c>
      <c r="D212" s="6" t="s">
        <v>16</v>
      </c>
      <c r="E212" s="6" t="s">
        <v>20</v>
      </c>
      <c r="F212" s="6" t="s">
        <v>21</v>
      </c>
      <c r="G212" s="6" t="s">
        <v>15</v>
      </c>
      <c r="H212" s="6">
        <v>211</v>
      </c>
      <c r="I212" s="6">
        <v>260</v>
      </c>
      <c r="J212" s="6">
        <v>672</v>
      </c>
      <c r="K212" s="6">
        <v>652</v>
      </c>
      <c r="L212" s="6">
        <v>1.95</v>
      </c>
      <c r="M212" s="6">
        <v>1.8558810859999999</v>
      </c>
      <c r="N212" s="6">
        <v>644.94545449999998</v>
      </c>
      <c r="O212" s="6">
        <v>0.63739999999999997</v>
      </c>
      <c r="P212" s="6">
        <v>0.98899999999999999</v>
      </c>
      <c r="Q212" s="6">
        <v>185.46</v>
      </c>
      <c r="R212" s="6">
        <v>415.45454549999999</v>
      </c>
      <c r="S212" s="6">
        <v>412</v>
      </c>
      <c r="T212" s="6">
        <v>6</v>
      </c>
      <c r="U212" s="6" t="s">
        <v>178</v>
      </c>
      <c r="V212" s="6">
        <v>4.17</v>
      </c>
      <c r="W212" s="6">
        <v>91.811959999999999</v>
      </c>
      <c r="X212" s="6">
        <v>619</v>
      </c>
      <c r="Y212" s="6">
        <v>2.3113999999999999</v>
      </c>
      <c r="Z212" s="6">
        <v>35.373615319999999</v>
      </c>
      <c r="AA212" s="6">
        <v>579.02818179999997</v>
      </c>
      <c r="AB212" s="6">
        <v>531.85233149999999</v>
      </c>
      <c r="AC212" s="6">
        <v>146.35908564831701</v>
      </c>
      <c r="AD212" s="6">
        <v>579.64195889999996</v>
      </c>
      <c r="AE212" s="6">
        <v>0.66099463000000003</v>
      </c>
      <c r="AF212" s="6">
        <v>8.7738849269999992</v>
      </c>
      <c r="AG212" s="6">
        <v>9.2145628399999993</v>
      </c>
      <c r="AH212" s="6">
        <v>6.4197198799999997</v>
      </c>
      <c r="AI212" s="6">
        <v>4.3464919059999998</v>
      </c>
      <c r="AJ212" s="6">
        <v>4.4273930210000003</v>
      </c>
      <c r="AK212" s="6">
        <v>6.4197198799999997</v>
      </c>
      <c r="AL212" s="6">
        <v>0.97788193000000001</v>
      </c>
      <c r="AM212" s="6">
        <v>645.9233365</v>
      </c>
      <c r="AN212" s="6">
        <v>367.91108309999998</v>
      </c>
      <c r="AO212" s="6">
        <v>63.472127489999998</v>
      </c>
      <c r="AP212" s="6">
        <v>409.3606011</v>
      </c>
      <c r="AQ212" s="6">
        <v>0.93485512599999998</v>
      </c>
      <c r="AR212" s="6">
        <v>0.69065017500000003</v>
      </c>
      <c r="AS212" s="6">
        <v>1851.28972</v>
      </c>
      <c r="AT212" s="6">
        <v>0.211523299</v>
      </c>
      <c r="AU212">
        <v>511.50085289999998</v>
      </c>
      <c r="AV212">
        <v>1.2427408900000001</v>
      </c>
    </row>
    <row r="213" spans="1:48" x14ac:dyDescent="0.25">
      <c r="A213" s="6">
        <v>3609</v>
      </c>
      <c r="B213" s="6" t="s">
        <v>42</v>
      </c>
      <c r="C213" s="6">
        <v>2404</v>
      </c>
      <c r="D213" s="6" t="s">
        <v>16</v>
      </c>
      <c r="E213" s="6" t="s">
        <v>20</v>
      </c>
      <c r="F213" s="6" t="s">
        <v>21</v>
      </c>
      <c r="G213" s="6" t="s">
        <v>15</v>
      </c>
      <c r="H213" s="6">
        <v>211</v>
      </c>
      <c r="I213" s="6">
        <v>298</v>
      </c>
      <c r="J213" s="6">
        <v>603</v>
      </c>
      <c r="K213" s="6">
        <v>623</v>
      </c>
      <c r="L213" s="6">
        <v>1.44</v>
      </c>
      <c r="M213" s="6">
        <v>1.54028436</v>
      </c>
      <c r="N213" s="6">
        <v>578.4</v>
      </c>
      <c r="O213" s="6">
        <v>0.63800000000000001</v>
      </c>
      <c r="P213" s="6">
        <v>0.98899999999999999</v>
      </c>
      <c r="Q213" s="6">
        <v>185.46</v>
      </c>
      <c r="R213" s="6">
        <v>397.27272729999999</v>
      </c>
      <c r="S213" s="6">
        <v>305</v>
      </c>
      <c r="T213" s="6">
        <v>4</v>
      </c>
      <c r="U213" s="6" t="s">
        <v>175</v>
      </c>
      <c r="V213" s="6">
        <v>3.52</v>
      </c>
      <c r="W213" s="6">
        <v>85.811599999999999</v>
      </c>
      <c r="X213" s="6">
        <v>436</v>
      </c>
      <c r="Y213" s="6">
        <v>1.6002000000000001</v>
      </c>
      <c r="Z213" s="6">
        <v>30.458717369999999</v>
      </c>
      <c r="AA213" s="6">
        <v>555.10090909999997</v>
      </c>
      <c r="AB213" s="6">
        <v>583.65836079999997</v>
      </c>
      <c r="AC213" s="6">
        <v>185.635260246776</v>
      </c>
      <c r="AD213" s="6">
        <v>473.6935484</v>
      </c>
      <c r="AE213" s="6">
        <v>0.86736886099999999</v>
      </c>
      <c r="AF213" s="6">
        <v>10.610278989999999</v>
      </c>
      <c r="AG213" s="6">
        <v>8.4918772859999994</v>
      </c>
      <c r="AH213" s="6">
        <v>9.5767809190000008</v>
      </c>
      <c r="AI213" s="6">
        <v>4.0056024929999996</v>
      </c>
      <c r="AJ213" s="6">
        <v>6.6046764959999997</v>
      </c>
      <c r="AK213" s="6">
        <v>9.5767809190000008</v>
      </c>
      <c r="AL213" s="6">
        <v>1.6164759740000001</v>
      </c>
      <c r="AM213" s="6">
        <v>580.01647600000001</v>
      </c>
      <c r="AN213" s="6">
        <v>296.1785347</v>
      </c>
      <c r="AO213" s="6">
        <v>62.52534696</v>
      </c>
      <c r="AP213" s="6">
        <v>361.64660679999997</v>
      </c>
      <c r="AQ213" s="6">
        <v>1.545351031</v>
      </c>
      <c r="AR213" s="6">
        <v>0.60825014899999996</v>
      </c>
      <c r="AS213" s="6">
        <v>2238.7688669999998</v>
      </c>
      <c r="AT213" s="6">
        <v>0.14516907300000001</v>
      </c>
      <c r="AU213">
        <v>618.55914419999999</v>
      </c>
      <c r="AV213">
        <v>2.029575119</v>
      </c>
    </row>
    <row r="214" spans="1:48" x14ac:dyDescent="0.25">
      <c r="A214" s="6">
        <v>3617</v>
      </c>
      <c r="B214" s="6" t="s">
        <v>35</v>
      </c>
      <c r="C214" s="6">
        <v>2404</v>
      </c>
      <c r="D214" s="6" t="s">
        <v>16</v>
      </c>
      <c r="E214" s="6" t="s">
        <v>20</v>
      </c>
      <c r="F214" s="6" t="s">
        <v>21</v>
      </c>
      <c r="G214" s="6" t="s">
        <v>15</v>
      </c>
      <c r="H214" s="6">
        <v>254</v>
      </c>
      <c r="I214" s="6">
        <v>209</v>
      </c>
      <c r="J214" s="6">
        <v>595</v>
      </c>
      <c r="K214" s="6">
        <v>555</v>
      </c>
      <c r="L214" s="6">
        <v>1.52</v>
      </c>
      <c r="M214" s="6">
        <v>1.361846815</v>
      </c>
      <c r="N214" s="6">
        <v>571.63636359999998</v>
      </c>
      <c r="O214" s="6">
        <v>0.6492</v>
      </c>
      <c r="P214" s="6">
        <v>0.98899999999999999</v>
      </c>
      <c r="Q214" s="6">
        <v>205.02</v>
      </c>
      <c r="R214" s="6">
        <v>360</v>
      </c>
      <c r="S214" s="6">
        <v>387</v>
      </c>
      <c r="T214" s="6">
        <v>5</v>
      </c>
      <c r="U214" s="6" t="s">
        <v>177</v>
      </c>
      <c r="V214" s="6">
        <v>3.84</v>
      </c>
      <c r="W214" s="6">
        <v>78.327280000000002</v>
      </c>
      <c r="X214" s="6">
        <v>501</v>
      </c>
      <c r="Y214" s="6">
        <v>1.778</v>
      </c>
      <c r="Z214" s="6">
        <v>31.890160269999999</v>
      </c>
      <c r="AA214" s="6">
        <v>506.05</v>
      </c>
      <c r="AB214" s="6">
        <v>505.69732269999997</v>
      </c>
      <c r="AC214" s="6">
        <v>218.13096445546199</v>
      </c>
      <c r="AD214" s="6">
        <v>540.32752310000001</v>
      </c>
      <c r="AE214" s="6">
        <v>0.74729322799999998</v>
      </c>
      <c r="AF214" s="6">
        <v>9.0611369830000008</v>
      </c>
      <c r="AG214" s="6">
        <v>8.4172917869999999</v>
      </c>
      <c r="AH214" s="6">
        <v>7.381538677</v>
      </c>
      <c r="AI214" s="6">
        <v>3.9704206540000002</v>
      </c>
      <c r="AJ214" s="6">
        <v>5.0907163290000002</v>
      </c>
      <c r="AK214" s="6">
        <v>7.381538677</v>
      </c>
      <c r="AL214" s="6">
        <v>1.1652314319999999</v>
      </c>
      <c r="AM214" s="6">
        <v>572.80159509999999</v>
      </c>
      <c r="AN214" s="6">
        <v>341.29317859999998</v>
      </c>
      <c r="AO214" s="6">
        <v>63.16412991</v>
      </c>
      <c r="AP214" s="6">
        <v>361.06913530000003</v>
      </c>
      <c r="AQ214" s="6">
        <v>1.1139612489999999</v>
      </c>
      <c r="AR214" s="6">
        <v>0.66104563800000005</v>
      </c>
      <c r="AS214" s="6">
        <v>2301.5287939999998</v>
      </c>
      <c r="AT214" s="6">
        <v>0.15029535699999999</v>
      </c>
      <c r="AU214">
        <v>635.89935620000006</v>
      </c>
      <c r="AV214">
        <v>1.6439231299999999</v>
      </c>
    </row>
    <row r="215" spans="1:48" x14ac:dyDescent="0.25">
      <c r="A215" s="6">
        <v>3623</v>
      </c>
      <c r="B215" s="6" t="s">
        <v>30</v>
      </c>
      <c r="C215" s="6">
        <v>2404</v>
      </c>
      <c r="D215" s="6" t="s">
        <v>16</v>
      </c>
      <c r="E215" s="6" t="s">
        <v>20</v>
      </c>
      <c r="F215" s="6" t="s">
        <v>21</v>
      </c>
      <c r="G215" s="6" t="s">
        <v>15</v>
      </c>
      <c r="H215" s="6">
        <v>211</v>
      </c>
      <c r="I215" s="6">
        <v>282</v>
      </c>
      <c r="J215" s="6">
        <v>638</v>
      </c>
      <c r="K215" s="6">
        <v>605</v>
      </c>
      <c r="L215" s="6">
        <v>1.69</v>
      </c>
      <c r="M215" s="6">
        <v>1.531667385</v>
      </c>
      <c r="N215" s="6">
        <v>612.65454550000004</v>
      </c>
      <c r="O215" s="6">
        <v>0.63739999999999997</v>
      </c>
      <c r="P215" s="6">
        <v>0.98899999999999999</v>
      </c>
      <c r="Q215" s="6">
        <v>185.46</v>
      </c>
      <c r="R215" s="6">
        <v>385.90909090000002</v>
      </c>
      <c r="S215" s="6">
        <v>356</v>
      </c>
      <c r="T215" s="6">
        <v>7</v>
      </c>
      <c r="U215" s="6" t="s">
        <v>179</v>
      </c>
      <c r="V215" s="6">
        <v>3.67</v>
      </c>
      <c r="W215" s="6">
        <v>83.359840000000005</v>
      </c>
      <c r="X215" s="6">
        <v>713</v>
      </c>
      <c r="Y215" s="6">
        <v>1.6763999999999999</v>
      </c>
      <c r="Z215" s="6">
        <v>33.215660710000002</v>
      </c>
      <c r="AA215" s="6">
        <v>540.14636359999997</v>
      </c>
      <c r="AB215" s="6">
        <v>522.75088870000002</v>
      </c>
      <c r="AC215" s="6">
        <v>157.004166746935</v>
      </c>
      <c r="AD215" s="6">
        <v>560.20731679999994</v>
      </c>
      <c r="AE215" s="6">
        <v>0.70508873900000002</v>
      </c>
      <c r="AF215" s="6">
        <v>9.0054887279999996</v>
      </c>
      <c r="AG215" s="6">
        <v>8.8663371449999993</v>
      </c>
      <c r="AH215" s="6">
        <v>6.9937186269999998</v>
      </c>
      <c r="AI215" s="6">
        <v>4.182234502</v>
      </c>
      <c r="AJ215" s="6">
        <v>4.8232542260000004</v>
      </c>
      <c r="AK215" s="6">
        <v>6.9937186269999998</v>
      </c>
      <c r="AL215" s="6">
        <v>1.082223664</v>
      </c>
      <c r="AM215" s="6">
        <v>613.73676909999995</v>
      </c>
      <c r="AN215" s="6">
        <v>354.75282620000002</v>
      </c>
      <c r="AO215" s="6">
        <v>63.325275400000002</v>
      </c>
      <c r="AP215" s="6">
        <v>387.96517820000003</v>
      </c>
      <c r="AQ215" s="6">
        <v>1.0346058229999999</v>
      </c>
      <c r="AR215" s="6">
        <v>0.67745423299999996</v>
      </c>
      <c r="AS215" s="6">
        <v>1900.158122</v>
      </c>
      <c r="AT215" s="6">
        <v>0.170081539</v>
      </c>
      <c r="AU215">
        <v>525.00291530000004</v>
      </c>
      <c r="AV215">
        <v>1.475103976</v>
      </c>
    </row>
    <row r="216" spans="1:48" x14ac:dyDescent="0.25">
      <c r="A216" s="6">
        <v>3649</v>
      </c>
      <c r="B216" s="6" t="s">
        <v>35</v>
      </c>
      <c r="C216" s="6">
        <v>2404</v>
      </c>
      <c r="D216" s="6" t="s">
        <v>16</v>
      </c>
      <c r="E216" s="6" t="s">
        <v>20</v>
      </c>
      <c r="F216" s="6" t="s">
        <v>21</v>
      </c>
      <c r="G216" s="6" t="s">
        <v>15</v>
      </c>
      <c r="H216" s="6">
        <v>254</v>
      </c>
      <c r="I216" s="6">
        <v>242</v>
      </c>
      <c r="J216" s="6">
        <v>635</v>
      </c>
      <c r="K216" s="6">
        <v>598</v>
      </c>
      <c r="L216" s="6">
        <v>1.55</v>
      </c>
      <c r="M216" s="6">
        <v>1.401216893</v>
      </c>
      <c r="N216" s="6">
        <v>610.03636359999996</v>
      </c>
      <c r="O216" s="6">
        <v>0.64939999999999998</v>
      </c>
      <c r="P216" s="6">
        <v>0.98899999999999999</v>
      </c>
      <c r="Q216" s="6">
        <v>205.02</v>
      </c>
      <c r="R216" s="6">
        <v>388</v>
      </c>
      <c r="S216" s="6">
        <v>394</v>
      </c>
      <c r="T216" s="6">
        <v>8</v>
      </c>
      <c r="U216" s="6" t="s">
        <v>176</v>
      </c>
      <c r="V216" s="6">
        <v>3.5</v>
      </c>
      <c r="W216" s="6">
        <v>90.069919999999996</v>
      </c>
      <c r="X216" s="6">
        <v>775</v>
      </c>
      <c r="Y216" s="6">
        <v>1.8288</v>
      </c>
      <c r="Z216" s="6">
        <v>34.338664860000002</v>
      </c>
      <c r="AA216" s="6">
        <v>543.13727270000004</v>
      </c>
      <c r="AB216" s="6">
        <v>508.13458109999999</v>
      </c>
      <c r="AC216" s="6">
        <v>190.06079684953201</v>
      </c>
      <c r="AD216" s="6">
        <v>573.85856550000005</v>
      </c>
      <c r="AE216" s="6">
        <v>0.67440913499999999</v>
      </c>
      <c r="AF216" s="6">
        <v>8.5860220690000002</v>
      </c>
      <c r="AG216" s="6">
        <v>8.8379041899999997</v>
      </c>
      <c r="AH216" s="6">
        <v>6.4049390410000004</v>
      </c>
      <c r="AI216" s="6">
        <v>4.1688227309999997</v>
      </c>
      <c r="AJ216" s="6">
        <v>4.4171993379999996</v>
      </c>
      <c r="AK216" s="6">
        <v>6.4049390410000004</v>
      </c>
      <c r="AL216" s="6">
        <v>0.98254243500000005</v>
      </c>
      <c r="AM216" s="6">
        <v>611.01890609999998</v>
      </c>
      <c r="AN216" s="6">
        <v>363.99542700000001</v>
      </c>
      <c r="AO216" s="6">
        <v>63.429466570000002</v>
      </c>
      <c r="AP216" s="6">
        <v>386.94281130000002</v>
      </c>
      <c r="AQ216" s="6">
        <v>0.93931056800000001</v>
      </c>
      <c r="AR216" s="6">
        <v>0.68470822799999997</v>
      </c>
      <c r="AS216" s="6">
        <v>2180.8496060000002</v>
      </c>
      <c r="AT216" s="6">
        <v>0.16319744799999999</v>
      </c>
      <c r="AU216">
        <v>602.55638080000006</v>
      </c>
      <c r="AV216">
        <v>1.530743693</v>
      </c>
    </row>
    <row r="217" spans="1:48" x14ac:dyDescent="0.25">
      <c r="A217" s="6">
        <v>3651</v>
      </c>
      <c r="B217" s="6" t="s">
        <v>42</v>
      </c>
      <c r="C217" s="6">
        <v>2404</v>
      </c>
      <c r="D217" s="6" t="s">
        <v>16</v>
      </c>
      <c r="E217" s="6" t="s">
        <v>20</v>
      </c>
      <c r="F217" s="6" t="s">
        <v>21</v>
      </c>
      <c r="G217" s="6" t="s">
        <v>15</v>
      </c>
      <c r="H217" s="6">
        <v>254</v>
      </c>
      <c r="I217" s="6">
        <v>230</v>
      </c>
      <c r="J217" s="6">
        <v>666</v>
      </c>
      <c r="K217" s="6">
        <v>628</v>
      </c>
      <c r="L217" s="6">
        <v>1.72</v>
      </c>
      <c r="M217" s="6">
        <v>1.5658554039999999</v>
      </c>
      <c r="N217" s="6">
        <v>639.70909089999998</v>
      </c>
      <c r="O217" s="6">
        <v>0.64880000000000004</v>
      </c>
      <c r="P217" s="6">
        <v>0.98899999999999999</v>
      </c>
      <c r="Q217" s="6">
        <v>205.02</v>
      </c>
      <c r="R217" s="6">
        <v>407</v>
      </c>
      <c r="S217" s="6">
        <v>436</v>
      </c>
      <c r="T217" s="6">
        <v>6</v>
      </c>
      <c r="U217" s="6" t="s">
        <v>178</v>
      </c>
      <c r="V217" s="6">
        <v>3.73</v>
      </c>
      <c r="W217" s="6">
        <v>83.488879999999995</v>
      </c>
      <c r="X217" s="6">
        <v>553</v>
      </c>
      <c r="Y217" s="6">
        <v>1.6255999999999999</v>
      </c>
      <c r="Z217" s="6">
        <v>32.566101940000003</v>
      </c>
      <c r="AA217" s="6">
        <v>568.26090910000005</v>
      </c>
      <c r="AB217" s="6">
        <v>564.7006682</v>
      </c>
      <c r="AC217" s="6">
        <v>213.74940960893801</v>
      </c>
      <c r="AD217" s="6">
        <v>541.49209069999995</v>
      </c>
      <c r="AE217" s="6">
        <v>0.74490172899999996</v>
      </c>
      <c r="AF217" s="6">
        <v>9.8273774730000003</v>
      </c>
      <c r="AG217" s="6">
        <v>9.1583953729999994</v>
      </c>
      <c r="AH217" s="6">
        <v>7.9857005000000001</v>
      </c>
      <c r="AI217" s="6">
        <v>4.319997817</v>
      </c>
      <c r="AJ217" s="6">
        <v>5.5073796550000003</v>
      </c>
      <c r="AK217" s="6">
        <v>7.9857005000000001</v>
      </c>
      <c r="AL217" s="6">
        <v>1.250025138</v>
      </c>
      <c r="AM217" s="6">
        <v>640.95911599999999</v>
      </c>
      <c r="AN217" s="6">
        <v>342.08165109999999</v>
      </c>
      <c r="AO217" s="6">
        <v>63.173896159999998</v>
      </c>
      <c r="AP217" s="6">
        <v>404.12915679999998</v>
      </c>
      <c r="AQ217" s="6">
        <v>1.1950240320000001</v>
      </c>
      <c r="AR217" s="6">
        <v>0.667942602</v>
      </c>
      <c r="AS217" s="6">
        <v>2496.1538780000001</v>
      </c>
      <c r="AT217" s="6">
        <v>0.15933603900000001</v>
      </c>
      <c r="AU217">
        <v>689.67316349999999</v>
      </c>
      <c r="AV217">
        <v>1.5805009999999999</v>
      </c>
    </row>
    <row r="218" spans="1:48" x14ac:dyDescent="0.25">
      <c r="A218" s="6">
        <v>3653</v>
      </c>
      <c r="B218" s="6" t="s">
        <v>42</v>
      </c>
      <c r="C218" s="6">
        <v>2404</v>
      </c>
      <c r="D218" s="6" t="s">
        <v>16</v>
      </c>
      <c r="E218" s="6" t="s">
        <v>20</v>
      </c>
      <c r="F218" s="6" t="s">
        <v>21</v>
      </c>
      <c r="G218" s="6" t="s">
        <v>15</v>
      </c>
      <c r="H218" s="6">
        <v>211</v>
      </c>
      <c r="I218" s="6">
        <v>265</v>
      </c>
      <c r="J218" s="6">
        <v>685</v>
      </c>
      <c r="K218" s="6">
        <v>656</v>
      </c>
      <c r="L218" s="6">
        <v>1.99</v>
      </c>
      <c r="M218" s="6">
        <v>1.854803964</v>
      </c>
      <c r="N218" s="6">
        <v>657.6</v>
      </c>
      <c r="O218" s="6">
        <v>0.63759999999999994</v>
      </c>
      <c r="P218" s="6">
        <v>0.98899999999999999</v>
      </c>
      <c r="Q218" s="6">
        <v>185.46</v>
      </c>
      <c r="R218" s="6">
        <v>418.18181820000001</v>
      </c>
      <c r="S218" s="6">
        <v>420</v>
      </c>
      <c r="T218" s="6">
        <v>7</v>
      </c>
      <c r="U218" s="6" t="s">
        <v>179</v>
      </c>
      <c r="V218" s="6">
        <v>3.68</v>
      </c>
      <c r="W218" s="6">
        <v>80.262879999999996</v>
      </c>
      <c r="X218" s="6">
        <v>687</v>
      </c>
      <c r="Y218" s="6">
        <v>1.27</v>
      </c>
      <c r="Z218" s="6">
        <v>32.150004850000002</v>
      </c>
      <c r="AA218" s="6">
        <v>582.61727269999994</v>
      </c>
      <c r="AB218" s="6">
        <v>587.47273129999996</v>
      </c>
      <c r="AC218" s="6">
        <v>174.10318451753901</v>
      </c>
      <c r="AD218" s="6">
        <v>535.05938790000005</v>
      </c>
      <c r="AE218" s="6">
        <v>0.75798588499999997</v>
      </c>
      <c r="AF218" s="6">
        <v>10.209024250000001</v>
      </c>
      <c r="AG218" s="6">
        <v>9.3498329130000002</v>
      </c>
      <c r="AH218" s="6">
        <v>8.4081522720000006</v>
      </c>
      <c r="AI218" s="6">
        <v>4.4102985439999998</v>
      </c>
      <c r="AJ218" s="6">
        <v>5.7987257049999998</v>
      </c>
      <c r="AK218" s="6">
        <v>8.4081522720000006</v>
      </c>
      <c r="AL218" s="6">
        <v>1.320917605</v>
      </c>
      <c r="AM218" s="6">
        <v>658.92091760000005</v>
      </c>
      <c r="AN218" s="6">
        <v>337.72637889999999</v>
      </c>
      <c r="AO218" s="6">
        <v>63.119419360000002</v>
      </c>
      <c r="AP218" s="6">
        <v>415.0733017</v>
      </c>
      <c r="AQ218" s="6">
        <v>1.262797231</v>
      </c>
      <c r="AR218" s="6">
        <v>0.66497766700000005</v>
      </c>
      <c r="AS218" s="6">
        <v>2154.104116</v>
      </c>
      <c r="AT218" s="6">
        <v>0.18168278600000001</v>
      </c>
      <c r="AU218">
        <v>595.16675380000004</v>
      </c>
      <c r="AV218">
        <v>1.415531739</v>
      </c>
    </row>
    <row r="219" spans="1:48" x14ac:dyDescent="0.25">
      <c r="A219" s="6">
        <v>3655</v>
      </c>
      <c r="B219" s="6" t="s">
        <v>42</v>
      </c>
      <c r="C219" s="6">
        <v>2404</v>
      </c>
      <c r="D219" s="6" t="s">
        <v>16</v>
      </c>
      <c r="E219" s="6" t="s">
        <v>20</v>
      </c>
      <c r="F219" s="6" t="s">
        <v>21</v>
      </c>
      <c r="G219" s="6" t="s">
        <v>15</v>
      </c>
      <c r="H219" s="6">
        <v>254</v>
      </c>
      <c r="I219" s="6">
        <v>251</v>
      </c>
      <c r="J219" s="6">
        <v>690</v>
      </c>
      <c r="K219" s="6">
        <v>659</v>
      </c>
      <c r="L219" s="6">
        <v>1.73</v>
      </c>
      <c r="M219" s="6">
        <v>1.6052254829999999</v>
      </c>
      <c r="N219" s="6">
        <v>662.83636360000003</v>
      </c>
      <c r="O219" s="6">
        <v>0.64939999999999998</v>
      </c>
      <c r="P219" s="6">
        <v>0.98899999999999999</v>
      </c>
      <c r="Q219" s="6">
        <v>205.02</v>
      </c>
      <c r="R219" s="6">
        <v>428</v>
      </c>
      <c r="S219" s="6">
        <v>440</v>
      </c>
      <c r="T219" s="6">
        <v>8</v>
      </c>
      <c r="U219" s="6" t="s">
        <v>176</v>
      </c>
      <c r="V219" s="6">
        <v>3.56</v>
      </c>
      <c r="W219" s="6">
        <v>93.424959999999999</v>
      </c>
      <c r="X219" s="6">
        <v>753</v>
      </c>
      <c r="Y219" s="6">
        <v>1.7525999999999999</v>
      </c>
      <c r="Z219" s="6">
        <v>34.524500349999997</v>
      </c>
      <c r="AA219" s="6">
        <v>595.17909090000001</v>
      </c>
      <c r="AB219" s="6">
        <v>563.56870479999998</v>
      </c>
      <c r="AC219" s="6">
        <v>194.77613402676201</v>
      </c>
      <c r="AD219" s="6">
        <v>562.19548589999999</v>
      </c>
      <c r="AE219" s="6">
        <v>0.70070658699999999</v>
      </c>
      <c r="AF219" s="6">
        <v>9.4938574800000008</v>
      </c>
      <c r="AG219" s="6">
        <v>9.4056159350000001</v>
      </c>
      <c r="AH219" s="6">
        <v>7.333006975</v>
      </c>
      <c r="AI219" s="6">
        <v>4.4366112900000001</v>
      </c>
      <c r="AJ219" s="6">
        <v>5.0572461899999999</v>
      </c>
      <c r="AK219" s="6">
        <v>7.333006975</v>
      </c>
      <c r="AL219" s="6">
        <v>1.1272501619999999</v>
      </c>
      <c r="AM219" s="6">
        <v>663.96361379999996</v>
      </c>
      <c r="AN219" s="6">
        <v>356.0989194</v>
      </c>
      <c r="AO219" s="6">
        <v>63.340764620000002</v>
      </c>
      <c r="AP219" s="6">
        <v>419.84562089999997</v>
      </c>
      <c r="AQ219" s="6">
        <v>1.0776511550000001</v>
      </c>
      <c r="AR219" s="6">
        <v>0.68296830200000003</v>
      </c>
      <c r="AS219" s="6">
        <v>2411.4398000000001</v>
      </c>
      <c r="AT219" s="6">
        <v>0.169080428</v>
      </c>
      <c r="AU219">
        <v>666.26714400000003</v>
      </c>
      <c r="AV219">
        <v>1.5158094280000001</v>
      </c>
    </row>
    <row r="220" spans="1:48" x14ac:dyDescent="0.25">
      <c r="A220" s="6">
        <v>3678</v>
      </c>
      <c r="B220" s="6" t="s">
        <v>42</v>
      </c>
      <c r="C220" s="6">
        <v>2404</v>
      </c>
      <c r="D220" s="6" t="s">
        <v>16</v>
      </c>
      <c r="E220" s="6" t="s">
        <v>20</v>
      </c>
      <c r="F220" s="6" t="s">
        <v>21</v>
      </c>
      <c r="G220" s="6" t="s">
        <v>15</v>
      </c>
      <c r="H220" s="6">
        <v>254</v>
      </c>
      <c r="I220" s="6">
        <v>234</v>
      </c>
      <c r="J220" s="6">
        <v>579</v>
      </c>
      <c r="K220" s="6">
        <v>563</v>
      </c>
      <c r="L220" s="6">
        <v>1.36</v>
      </c>
      <c r="M220" s="6">
        <v>1.2929491769999999</v>
      </c>
      <c r="N220" s="6">
        <v>555.9272727</v>
      </c>
      <c r="O220" s="6">
        <v>0.64859999999999995</v>
      </c>
      <c r="P220" s="6">
        <v>0.98899999999999999</v>
      </c>
      <c r="Q220" s="6">
        <v>205.02</v>
      </c>
      <c r="R220" s="6">
        <v>365</v>
      </c>
      <c r="S220" s="6">
        <v>345</v>
      </c>
      <c r="T220" s="6">
        <v>8</v>
      </c>
      <c r="U220" s="6" t="s">
        <v>176</v>
      </c>
      <c r="V220" s="6">
        <v>3.9</v>
      </c>
      <c r="W220" s="6">
        <v>88.005279999999999</v>
      </c>
      <c r="X220" s="6">
        <v>791</v>
      </c>
      <c r="Y220" s="6">
        <v>2.2606000000000002</v>
      </c>
      <c r="Z220" s="6">
        <v>36.048661439999997</v>
      </c>
      <c r="AA220" s="6">
        <v>512.63</v>
      </c>
      <c r="AB220" s="6">
        <v>446.52759579999997</v>
      </c>
      <c r="AC220" s="6">
        <v>164.128194506266</v>
      </c>
      <c r="AD220" s="6">
        <v>595.11044530000004</v>
      </c>
      <c r="AE220" s="6">
        <v>0.62389607300000005</v>
      </c>
      <c r="AF220" s="6">
        <v>7.4084524959999998</v>
      </c>
      <c r="AG220" s="6">
        <v>8.2432027439999995</v>
      </c>
      <c r="AH220" s="6">
        <v>5.1042165060000002</v>
      </c>
      <c r="AI220" s="6">
        <v>3.8883031809999999</v>
      </c>
      <c r="AJ220" s="6">
        <v>3.5201493140000002</v>
      </c>
      <c r="AK220" s="6">
        <v>5.1042165060000002</v>
      </c>
      <c r="AL220" s="6">
        <v>0.779260972</v>
      </c>
      <c r="AM220" s="6">
        <v>556.70653370000002</v>
      </c>
      <c r="AN220" s="6">
        <v>378.3840477</v>
      </c>
      <c r="AO220" s="6">
        <v>63.582155329999999</v>
      </c>
      <c r="AP220" s="6">
        <v>353.47054200000002</v>
      </c>
      <c r="AQ220" s="6">
        <v>0.74497348900000004</v>
      </c>
      <c r="AR220" s="6">
        <v>0.68873956000000003</v>
      </c>
      <c r="AS220" s="6">
        <v>1881.746934</v>
      </c>
      <c r="AT220" s="6">
        <v>0.17452351599999999</v>
      </c>
      <c r="AU220">
        <v>519.91600849999998</v>
      </c>
      <c r="AV220">
        <v>1.5079963329999999</v>
      </c>
    </row>
    <row r="221" spans="1:48" x14ac:dyDescent="0.25">
      <c r="A221" s="6">
        <v>3546</v>
      </c>
      <c r="B221" s="6" t="s">
        <v>25</v>
      </c>
      <c r="C221" s="6">
        <v>2404</v>
      </c>
      <c r="D221" s="6" t="s">
        <v>16</v>
      </c>
      <c r="E221" s="6" t="s">
        <v>23</v>
      </c>
      <c r="F221" s="6" t="s">
        <v>21</v>
      </c>
      <c r="G221" s="6" t="s">
        <v>24</v>
      </c>
      <c r="H221" s="6">
        <v>254</v>
      </c>
      <c r="I221" s="6">
        <v>246</v>
      </c>
      <c r="J221" s="6">
        <v>685</v>
      </c>
      <c r="K221" s="6">
        <v>671</v>
      </c>
      <c r="L221" s="6">
        <v>1.73</v>
      </c>
      <c r="M221" s="6">
        <v>1.67591267</v>
      </c>
      <c r="N221" s="6">
        <v>658.03636359999996</v>
      </c>
      <c r="O221" s="6">
        <v>0.64859999999999995</v>
      </c>
      <c r="P221" s="6">
        <v>0.98899999999999999</v>
      </c>
      <c r="Q221" s="6">
        <v>205.02</v>
      </c>
      <c r="R221" s="6">
        <v>435</v>
      </c>
      <c r="S221" s="6">
        <v>440</v>
      </c>
      <c r="T221" s="6">
        <v>7</v>
      </c>
      <c r="U221" s="6" t="s">
        <v>179</v>
      </c>
      <c r="V221" s="6">
        <v>4.93</v>
      </c>
      <c r="W221" s="6">
        <v>89.166640000000001</v>
      </c>
      <c r="X221" s="6">
        <v>664</v>
      </c>
      <c r="Y221" s="6">
        <v>2.8448000000000002</v>
      </c>
      <c r="Z221" s="6">
        <v>39.256899660000002</v>
      </c>
      <c r="AA221" s="6">
        <v>605.34818180000002</v>
      </c>
      <c r="AB221" s="6">
        <v>499.24219160000001</v>
      </c>
      <c r="AC221" s="6">
        <v>151.29688909758801</v>
      </c>
      <c r="AD221" s="6">
        <v>630.03765940000005</v>
      </c>
      <c r="AE221" s="6">
        <v>0.53359876500000003</v>
      </c>
      <c r="AF221" s="6">
        <v>7.1904157040000003</v>
      </c>
      <c r="AG221" s="6">
        <v>9.3544857280000002</v>
      </c>
      <c r="AH221" s="6">
        <v>4.0279875330000001</v>
      </c>
      <c r="AI221" s="6">
        <v>4.4124932680000004</v>
      </c>
      <c r="AJ221" s="6">
        <v>2.7779224359999999</v>
      </c>
      <c r="AK221" s="6">
        <v>4.0279875330000001</v>
      </c>
      <c r="AL221" s="6">
        <v>0.60394664899999995</v>
      </c>
      <c r="AM221" s="6">
        <v>658.64031030000001</v>
      </c>
      <c r="AN221" s="6">
        <v>402.03157640000001</v>
      </c>
      <c r="AO221" s="6">
        <v>63.810721530000002</v>
      </c>
      <c r="AP221" s="6">
        <v>419.89775159999999</v>
      </c>
      <c r="AQ221" s="6">
        <v>0.57737299600000003</v>
      </c>
      <c r="AR221" s="6">
        <v>0.70409774599999997</v>
      </c>
      <c r="AS221" s="6">
        <v>1826.365589</v>
      </c>
      <c r="AT221" s="6">
        <v>0.233075908</v>
      </c>
      <c r="AU221">
        <v>504.61445689999999</v>
      </c>
      <c r="AV221">
        <v>1.1474437260000001</v>
      </c>
    </row>
    <row r="222" spans="1:48" x14ac:dyDescent="0.25">
      <c r="A222" s="6">
        <v>3553</v>
      </c>
      <c r="B222" s="6" t="s">
        <v>25</v>
      </c>
      <c r="C222" s="6">
        <v>2404</v>
      </c>
      <c r="D222" s="6" t="s">
        <v>16</v>
      </c>
      <c r="E222" s="6" t="s">
        <v>23</v>
      </c>
      <c r="F222" s="6" t="s">
        <v>21</v>
      </c>
      <c r="G222" s="6" t="s">
        <v>24</v>
      </c>
      <c r="H222" s="6">
        <v>211</v>
      </c>
      <c r="I222" s="6">
        <v>280</v>
      </c>
      <c r="J222" s="6">
        <v>672</v>
      </c>
      <c r="K222" s="6">
        <v>635</v>
      </c>
      <c r="L222" s="6">
        <v>1.86</v>
      </c>
      <c r="M222" s="6">
        <v>1.679233089</v>
      </c>
      <c r="N222" s="6">
        <v>645.16363639999997</v>
      </c>
      <c r="O222" s="6">
        <v>0.63749999999999996</v>
      </c>
      <c r="P222" s="6">
        <v>0.98899999999999999</v>
      </c>
      <c r="Q222" s="6">
        <v>185.46</v>
      </c>
      <c r="R222" s="6">
        <v>404.54545450000001</v>
      </c>
      <c r="S222" s="6">
        <v>392</v>
      </c>
      <c r="T222" s="6">
        <v>7</v>
      </c>
      <c r="U222" s="6" t="s">
        <v>179</v>
      </c>
      <c r="V222" s="6">
        <v>3.8</v>
      </c>
      <c r="W222" s="6">
        <v>78.069199999999995</v>
      </c>
      <c r="X222" s="6">
        <v>651</v>
      </c>
      <c r="Y222" s="6">
        <v>1.4224000000000001</v>
      </c>
      <c r="Z222" s="6">
        <v>32.746387130000002</v>
      </c>
      <c r="AA222" s="6">
        <v>564.67181819999996</v>
      </c>
      <c r="AB222" s="6">
        <v>557.78713549999998</v>
      </c>
      <c r="AC222" s="6">
        <v>165.28965783275601</v>
      </c>
      <c r="AD222" s="6">
        <v>552.87796830000002</v>
      </c>
      <c r="AE222" s="6">
        <v>0.72099009999999997</v>
      </c>
      <c r="AF222" s="6">
        <v>9.5726785589999999</v>
      </c>
      <c r="AG222" s="6">
        <v>9.2169006719999995</v>
      </c>
      <c r="AH222" s="6">
        <v>7.5763716590000003</v>
      </c>
      <c r="AI222" s="6">
        <v>4.3475946570000001</v>
      </c>
      <c r="AJ222" s="6">
        <v>5.2250839029999998</v>
      </c>
      <c r="AK222" s="6">
        <v>7.5763716590000003</v>
      </c>
      <c r="AL222" s="6">
        <v>1.1746497300000001</v>
      </c>
      <c r="AM222" s="6">
        <v>646.3382861</v>
      </c>
      <c r="AN222" s="6">
        <v>349.79047850000001</v>
      </c>
      <c r="AO222" s="6">
        <v>63.267212399999998</v>
      </c>
      <c r="AP222" s="6">
        <v>408.1770482</v>
      </c>
      <c r="AQ222" s="6">
        <v>1.1229651409999999</v>
      </c>
      <c r="AR222" s="6">
        <v>0.67585097199999999</v>
      </c>
      <c r="AS222" s="6">
        <v>2019.835176</v>
      </c>
      <c r="AT222" s="6">
        <v>0.175419354</v>
      </c>
      <c r="AU222">
        <v>558.06900680000001</v>
      </c>
      <c r="AV222">
        <v>1.42430605</v>
      </c>
    </row>
    <row r="223" spans="1:48" x14ac:dyDescent="0.25">
      <c r="A223" s="6">
        <v>3557</v>
      </c>
      <c r="B223" s="6" t="s">
        <v>32</v>
      </c>
      <c r="C223" s="6">
        <v>2404</v>
      </c>
      <c r="D223" s="6" t="s">
        <v>16</v>
      </c>
      <c r="E223" s="6" t="s">
        <v>23</v>
      </c>
      <c r="F223" s="6" t="s">
        <v>21</v>
      </c>
      <c r="G223" s="6" t="s">
        <v>24</v>
      </c>
      <c r="H223" s="6">
        <v>254</v>
      </c>
      <c r="I223" s="6">
        <v>260</v>
      </c>
      <c r="J223" s="6">
        <v>679</v>
      </c>
      <c r="K223" s="6">
        <v>659</v>
      </c>
      <c r="L223" s="6">
        <v>1.65</v>
      </c>
      <c r="M223" s="6">
        <v>1.5703292769999999</v>
      </c>
      <c r="N223" s="6">
        <v>651.49090909999995</v>
      </c>
      <c r="O223" s="6">
        <v>0.64939999999999998</v>
      </c>
      <c r="P223" s="6">
        <v>0.98899999999999999</v>
      </c>
      <c r="Q223" s="6">
        <v>205.02</v>
      </c>
      <c r="R223" s="6">
        <v>428</v>
      </c>
      <c r="S223" s="6">
        <v>419</v>
      </c>
      <c r="T223" s="6">
        <v>1</v>
      </c>
      <c r="U223" s="6" t="e">
        <v>#N/A</v>
      </c>
      <c r="V223" s="6">
        <v>3.45</v>
      </c>
      <c r="W223" s="6">
        <v>103.16748</v>
      </c>
      <c r="X223" s="6">
        <v>993</v>
      </c>
      <c r="Y223" s="6">
        <v>2.0573999999999999</v>
      </c>
      <c r="Z223" s="6">
        <v>29.563537360000002</v>
      </c>
      <c r="AA223" s="6">
        <v>595.17909090000001</v>
      </c>
      <c r="AB223" s="6">
        <v>642.96638399999995</v>
      </c>
      <c r="AC223" s="6">
        <v>244.02121408146701</v>
      </c>
      <c r="AD223" s="6">
        <v>484.33738110000002</v>
      </c>
      <c r="AE223" s="6">
        <v>0.85039945500000003</v>
      </c>
      <c r="AF223" s="6">
        <v>11.37381098</v>
      </c>
      <c r="AG223" s="6">
        <v>9.2846121480000008</v>
      </c>
      <c r="AH223" s="6">
        <v>10.14170157</v>
      </c>
      <c r="AI223" s="6">
        <v>4.3795340319999996</v>
      </c>
      <c r="AJ223" s="6">
        <v>6.9942769470000004</v>
      </c>
      <c r="AK223" s="6">
        <v>10.14170157</v>
      </c>
      <c r="AL223" s="6">
        <v>1.6774982650000001</v>
      </c>
      <c r="AM223" s="6">
        <v>653.16840739999998</v>
      </c>
      <c r="AN223" s="6">
        <v>303.38495940000001</v>
      </c>
      <c r="AO223" s="6">
        <v>62.639179059999996</v>
      </c>
      <c r="AP223" s="6">
        <v>408.0885571</v>
      </c>
      <c r="AQ223" s="6">
        <v>1.6036883420000001</v>
      </c>
      <c r="AR223" s="6">
        <v>0.62385019799999997</v>
      </c>
      <c r="AS223" s="6">
        <v>2888.9479889999998</v>
      </c>
      <c r="AT223" s="6">
        <v>0.138065357</v>
      </c>
      <c r="AU223">
        <v>798.19994919999999</v>
      </c>
      <c r="AV223">
        <v>1.905632</v>
      </c>
    </row>
    <row r="224" spans="1:48" x14ac:dyDescent="0.25">
      <c r="A224" s="6">
        <v>3570</v>
      </c>
      <c r="B224" s="6" t="s">
        <v>32</v>
      </c>
      <c r="C224" s="6">
        <v>2404</v>
      </c>
      <c r="D224" s="6" t="s">
        <v>16</v>
      </c>
      <c r="E224" s="6" t="s">
        <v>23</v>
      </c>
      <c r="F224" s="6" t="s">
        <v>21</v>
      </c>
      <c r="G224" s="6" t="s">
        <v>24</v>
      </c>
      <c r="H224" s="6">
        <v>254</v>
      </c>
      <c r="I224" s="6">
        <v>247</v>
      </c>
      <c r="J224" s="6">
        <v>623</v>
      </c>
      <c r="K224" s="6">
        <v>585</v>
      </c>
      <c r="L224" s="6">
        <v>1.48</v>
      </c>
      <c r="M224" s="6">
        <v>1.3287401569999999</v>
      </c>
      <c r="N224" s="6">
        <v>598.25454549999995</v>
      </c>
      <c r="O224" s="6">
        <v>0.64849999999999997</v>
      </c>
      <c r="P224" s="6">
        <v>0.98899999999999999</v>
      </c>
      <c r="Q224" s="6">
        <v>205.02</v>
      </c>
      <c r="R224" s="6">
        <v>379</v>
      </c>
      <c r="S224" s="6">
        <v>376</v>
      </c>
      <c r="T224" s="6">
        <v>6</v>
      </c>
      <c r="U224" s="6" t="s">
        <v>178</v>
      </c>
      <c r="V224" s="6">
        <v>4.3899999999999997</v>
      </c>
      <c r="W224" s="6">
        <v>76.778800000000004</v>
      </c>
      <c r="X224" s="6">
        <v>575</v>
      </c>
      <c r="Y224" s="6">
        <v>2.0828000000000002</v>
      </c>
      <c r="Z224" s="6">
        <v>34.611509609999999</v>
      </c>
      <c r="AA224" s="6">
        <v>531.17363639999996</v>
      </c>
      <c r="AB224" s="6">
        <v>490.34063900000001</v>
      </c>
      <c r="AC224" s="6">
        <v>183.102153664068</v>
      </c>
      <c r="AD224" s="6">
        <v>583.19798519999995</v>
      </c>
      <c r="AE224" s="6">
        <v>0.65262325899999996</v>
      </c>
      <c r="AF224" s="6">
        <v>8.1880185270000005</v>
      </c>
      <c r="AG224" s="6">
        <v>8.7095757700000007</v>
      </c>
      <c r="AH224" s="6">
        <v>5.9156057019999997</v>
      </c>
      <c r="AI224" s="6">
        <v>4.1082904569999998</v>
      </c>
      <c r="AJ224" s="6">
        <v>4.0797280699999998</v>
      </c>
      <c r="AK224" s="6">
        <v>5.9156057019999997</v>
      </c>
      <c r="AL224" s="6">
        <v>0.90384343599999994</v>
      </c>
      <c r="AM224" s="6">
        <v>599.15838889999998</v>
      </c>
      <c r="AN224" s="6">
        <v>370.31869660000001</v>
      </c>
      <c r="AO224" s="6">
        <v>63.49793828</v>
      </c>
      <c r="AP224" s="6">
        <v>379.879302</v>
      </c>
      <c r="AQ224" s="6">
        <v>0.86407432500000003</v>
      </c>
      <c r="AR224" s="6">
        <v>0.68807976100000001</v>
      </c>
      <c r="AS224" s="6">
        <v>2079.7567060000001</v>
      </c>
      <c r="AT224" s="6">
        <v>0.162278597</v>
      </c>
      <c r="AU224">
        <v>574.62498579999999</v>
      </c>
      <c r="AV224">
        <v>1.52770389</v>
      </c>
    </row>
    <row r="225" spans="1:48" x14ac:dyDescent="0.25">
      <c r="A225" s="6">
        <v>3593</v>
      </c>
      <c r="B225" s="6" t="s">
        <v>65</v>
      </c>
      <c r="C225" s="6">
        <v>2404</v>
      </c>
      <c r="D225" s="6" t="s">
        <v>16</v>
      </c>
      <c r="E225" s="6" t="s">
        <v>23</v>
      </c>
      <c r="F225" s="6" t="s">
        <v>21</v>
      </c>
      <c r="G225" s="6" t="s">
        <v>24</v>
      </c>
      <c r="H225" s="6">
        <v>254</v>
      </c>
      <c r="I225" s="6">
        <v>237</v>
      </c>
      <c r="J225" s="6">
        <v>588</v>
      </c>
      <c r="K225" s="6">
        <v>584</v>
      </c>
      <c r="L225" s="6">
        <v>1.38</v>
      </c>
      <c r="M225" s="6">
        <v>1.364531138</v>
      </c>
      <c r="N225" s="6">
        <v>564.21818180000002</v>
      </c>
      <c r="O225" s="6">
        <v>0.64949999999999997</v>
      </c>
      <c r="P225" s="6">
        <v>0.98899999999999999</v>
      </c>
      <c r="Q225" s="6">
        <v>205.02</v>
      </c>
      <c r="R225" s="6">
        <v>379</v>
      </c>
      <c r="S225" s="6">
        <v>351</v>
      </c>
      <c r="T225" s="6">
        <v>7</v>
      </c>
      <c r="U225" s="6" t="s">
        <v>179</v>
      </c>
      <c r="V225" s="6">
        <v>4.22</v>
      </c>
      <c r="W225" s="6">
        <v>70.907480000000007</v>
      </c>
      <c r="X225" s="6">
        <v>654</v>
      </c>
      <c r="Y225" s="6">
        <v>1.651</v>
      </c>
      <c r="Z225" s="6">
        <v>33.805171399999999</v>
      </c>
      <c r="AA225" s="6">
        <v>531.17363639999996</v>
      </c>
      <c r="AB225" s="6">
        <v>503.24567020000001</v>
      </c>
      <c r="AC225" s="6">
        <v>195.085482644726</v>
      </c>
      <c r="AD225" s="6">
        <v>535.91378299999997</v>
      </c>
      <c r="AE225" s="6">
        <v>0.75626572199999997</v>
      </c>
      <c r="AF225" s="6">
        <v>9.0805360700000008</v>
      </c>
      <c r="AG225" s="6">
        <v>8.3352341479999996</v>
      </c>
      <c r="AH225" s="6">
        <v>7.4657916809999998</v>
      </c>
      <c r="AI225" s="6">
        <v>3.931714221</v>
      </c>
      <c r="AJ225" s="6">
        <v>5.148821849</v>
      </c>
      <c r="AK225" s="6">
        <v>7.4657916809999998</v>
      </c>
      <c r="AL225" s="6">
        <v>1.1839705220000001</v>
      </c>
      <c r="AM225" s="6">
        <v>565.40215230000001</v>
      </c>
      <c r="AN225" s="6">
        <v>338.30484849999999</v>
      </c>
      <c r="AO225" s="6">
        <v>63.12673032</v>
      </c>
      <c r="AP225" s="6">
        <v>356.17248999999998</v>
      </c>
      <c r="AQ225" s="6">
        <v>1.131875819</v>
      </c>
      <c r="AR225" s="6">
        <v>0.65730134699999998</v>
      </c>
      <c r="AS225" s="6">
        <v>2306.4561619999999</v>
      </c>
      <c r="AT225" s="6">
        <v>0.15026988799999999</v>
      </c>
      <c r="AU225">
        <v>637.26076009999997</v>
      </c>
      <c r="AV225">
        <v>1.817205019</v>
      </c>
    </row>
    <row r="226" spans="1:48" x14ac:dyDescent="0.25">
      <c r="A226" s="6">
        <v>3610</v>
      </c>
      <c r="B226" s="6" t="s">
        <v>22</v>
      </c>
      <c r="C226" s="6">
        <v>2404</v>
      </c>
      <c r="D226" s="6" t="s">
        <v>16</v>
      </c>
      <c r="E226" s="6" t="s">
        <v>23</v>
      </c>
      <c r="F226" s="6" t="s">
        <v>21</v>
      </c>
      <c r="G226" s="6" t="s">
        <v>24</v>
      </c>
      <c r="H226" s="6">
        <v>254</v>
      </c>
      <c r="I226" s="6">
        <v>264</v>
      </c>
      <c r="J226" s="6">
        <v>646</v>
      </c>
      <c r="K226" s="6">
        <v>590</v>
      </c>
      <c r="L226" s="6">
        <v>1.5</v>
      </c>
      <c r="M226" s="6">
        <v>1.282211883</v>
      </c>
      <c r="N226" s="6">
        <v>620.0727273</v>
      </c>
      <c r="O226" s="6">
        <v>0.64870000000000005</v>
      </c>
      <c r="P226" s="6">
        <v>0.98899999999999999</v>
      </c>
      <c r="Q226" s="6">
        <v>205.02</v>
      </c>
      <c r="R226" s="6">
        <v>383</v>
      </c>
      <c r="S226" s="6">
        <v>382</v>
      </c>
      <c r="T226" s="6">
        <v>7</v>
      </c>
      <c r="U226" s="6" t="s">
        <v>179</v>
      </c>
      <c r="V226" s="6">
        <v>3.62</v>
      </c>
      <c r="W226" s="6">
        <v>89.489239999999995</v>
      </c>
      <c r="X226" s="6">
        <v>677</v>
      </c>
      <c r="Y226" s="6">
        <v>1.9303999999999999</v>
      </c>
      <c r="Z226" s="6">
        <v>33.928875349999998</v>
      </c>
      <c r="AA226" s="6">
        <v>535.95909089999998</v>
      </c>
      <c r="AB226" s="6">
        <v>506.63673219999998</v>
      </c>
      <c r="AC226" s="6">
        <v>188.98479545639901</v>
      </c>
      <c r="AD226" s="6">
        <v>585.02422899999999</v>
      </c>
      <c r="AE226" s="6">
        <v>0.64828756600000004</v>
      </c>
      <c r="AF226" s="6">
        <v>8.3550956860000003</v>
      </c>
      <c r="AG226" s="6">
        <v>8.9467328409999993</v>
      </c>
      <c r="AH226" s="6">
        <v>5.995661095</v>
      </c>
      <c r="AI226" s="6">
        <v>4.2201570000000004</v>
      </c>
      <c r="AJ226" s="6">
        <v>4.1349386859999999</v>
      </c>
      <c r="AK226" s="6">
        <v>5.995661095</v>
      </c>
      <c r="AL226" s="6">
        <v>0.91303335900000004</v>
      </c>
      <c r="AM226" s="6">
        <v>620.98576060000005</v>
      </c>
      <c r="AN226" s="6">
        <v>371.55515810000003</v>
      </c>
      <c r="AO226" s="6">
        <v>63.511071790000003</v>
      </c>
      <c r="AP226" s="6">
        <v>393.81483500000002</v>
      </c>
      <c r="AQ226" s="6">
        <v>0.87285989100000005</v>
      </c>
      <c r="AR226" s="6">
        <v>0.69088509799999998</v>
      </c>
      <c r="AS226" s="6">
        <v>2122.1943040000001</v>
      </c>
      <c r="AT226" s="6">
        <v>0.153464656</v>
      </c>
      <c r="AU226">
        <v>586.35025359999997</v>
      </c>
      <c r="AV226">
        <v>1.5365938750000001</v>
      </c>
    </row>
    <row r="227" spans="1:48" x14ac:dyDescent="0.25">
      <c r="A227" s="6">
        <v>3660</v>
      </c>
      <c r="B227" s="6" t="s">
        <v>22</v>
      </c>
      <c r="C227" s="6">
        <v>2404</v>
      </c>
      <c r="D227" s="6" t="s">
        <v>16</v>
      </c>
      <c r="E227" s="6" t="s">
        <v>23</v>
      </c>
      <c r="F227" s="6" t="s">
        <v>21</v>
      </c>
      <c r="G227" s="6" t="s">
        <v>24</v>
      </c>
      <c r="H227" s="6">
        <v>254</v>
      </c>
      <c r="I227" s="6">
        <v>263</v>
      </c>
      <c r="J227" s="6">
        <v>651</v>
      </c>
      <c r="K227" s="6">
        <v>620</v>
      </c>
      <c r="L227" s="6">
        <v>1.53</v>
      </c>
      <c r="M227" s="6">
        <v>1.4092698640000001</v>
      </c>
      <c r="N227" s="6">
        <v>624.87272729999995</v>
      </c>
      <c r="O227" s="6">
        <v>0.64910000000000001</v>
      </c>
      <c r="P227" s="6">
        <v>0.98899999999999999</v>
      </c>
      <c r="Q227" s="6">
        <v>205.02</v>
      </c>
      <c r="R227" s="6">
        <v>403</v>
      </c>
      <c r="S227" s="6">
        <v>388</v>
      </c>
      <c r="T227" s="6">
        <v>8</v>
      </c>
      <c r="U227" s="6" t="s">
        <v>176</v>
      </c>
      <c r="V227" s="6">
        <v>3.2</v>
      </c>
      <c r="W227" s="6">
        <v>92.586200000000005</v>
      </c>
      <c r="X227" s="6">
        <v>784</v>
      </c>
      <c r="Y227" s="6">
        <v>1.524</v>
      </c>
      <c r="Z227" s="6">
        <v>33.024727589999998</v>
      </c>
      <c r="AA227" s="6">
        <v>562.27909090000003</v>
      </c>
      <c r="AB227" s="6">
        <v>550.64699829999995</v>
      </c>
      <c r="AC227" s="6">
        <v>204.465451015757</v>
      </c>
      <c r="AD227" s="6">
        <v>542.43310970000005</v>
      </c>
      <c r="AE227" s="6">
        <v>0.74296194800000004</v>
      </c>
      <c r="AF227" s="6">
        <v>9.6307921990000001</v>
      </c>
      <c r="AG227" s="6">
        <v>8.9986254199999998</v>
      </c>
      <c r="AH227" s="6">
        <v>7.8099284720000002</v>
      </c>
      <c r="AI227" s="6">
        <v>4.2446346320000004</v>
      </c>
      <c r="AJ227" s="6">
        <v>5.3861575669999997</v>
      </c>
      <c r="AK227" s="6">
        <v>7.8099284720000002</v>
      </c>
      <c r="AL227" s="6">
        <v>1.2234654119999999</v>
      </c>
      <c r="AM227" s="6">
        <v>626.09619269999996</v>
      </c>
      <c r="AN227" s="6">
        <v>342.71876950000001</v>
      </c>
      <c r="AO227" s="6">
        <v>63.181757060000002</v>
      </c>
      <c r="AP227" s="6">
        <v>394.80556849999999</v>
      </c>
      <c r="AQ227" s="6">
        <v>1.169632934</v>
      </c>
      <c r="AR227" s="6">
        <v>0.66730143099999994</v>
      </c>
      <c r="AS227" s="6">
        <v>2446.2212180000001</v>
      </c>
      <c r="AT227" s="6">
        <v>0.14632958900000001</v>
      </c>
      <c r="AU227">
        <v>675.8770528</v>
      </c>
      <c r="AV227">
        <v>1.7401164609999999</v>
      </c>
    </row>
    <row r="228" spans="1:48" x14ac:dyDescent="0.25">
      <c r="A228" s="6">
        <v>3662</v>
      </c>
      <c r="B228" s="6" t="s">
        <v>22</v>
      </c>
      <c r="C228" s="6">
        <v>2404</v>
      </c>
      <c r="D228" s="6" t="s">
        <v>16</v>
      </c>
      <c r="E228" s="6" t="s">
        <v>23</v>
      </c>
      <c r="F228" s="6" t="s">
        <v>21</v>
      </c>
      <c r="G228" s="6" t="s">
        <v>24</v>
      </c>
      <c r="H228" s="6">
        <v>254</v>
      </c>
      <c r="I228" s="6">
        <v>215</v>
      </c>
      <c r="J228" s="6">
        <v>587</v>
      </c>
      <c r="K228" s="6">
        <v>560</v>
      </c>
      <c r="L228" s="6">
        <v>1.47</v>
      </c>
      <c r="M228" s="6">
        <v>1.3582677169999999</v>
      </c>
      <c r="N228" s="6">
        <v>563.34545449999996</v>
      </c>
      <c r="O228" s="6">
        <v>0.64910000000000001</v>
      </c>
      <c r="P228" s="6">
        <v>0.98899999999999999</v>
      </c>
      <c r="Q228" s="6">
        <v>205.02</v>
      </c>
      <c r="R228" s="6">
        <v>363</v>
      </c>
      <c r="S228" s="6">
        <v>372</v>
      </c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8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8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8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8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8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8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8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8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8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8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8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8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spans="1:4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spans="1:4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spans="1:4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spans="1:4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spans="1:4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spans="1:4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spans="1:4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spans="1:4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spans="1:4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spans="1:4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spans="1:4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spans="1:4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spans="1:4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spans="1:4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spans="1:4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spans="1:4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spans="1:4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spans="1:4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spans="1:4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spans="1:4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spans="1:4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spans="1:4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spans="1:4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spans="1:4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spans="1:4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spans="1:4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spans="1:4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spans="1:4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spans="1:4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spans="1:4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spans="1:4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spans="1:4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spans="1:4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spans="1:4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spans="1:4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spans="1:4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spans="1:4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spans="1:4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spans="1:4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spans="1:4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spans="1:4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spans="1:4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spans="1:4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spans="1:4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spans="1:4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spans="1:4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spans="1:4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spans="1:4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spans="1:4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spans="1:4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spans="1:4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spans="1:4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spans="1:4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spans="1:4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spans="1:4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spans="1:4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spans="1:4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spans="1:4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spans="1:4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spans="1:4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spans="1:4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spans="1:4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spans="1:4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spans="1:4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spans="1:4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spans="1:4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spans="1:4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spans="1:4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spans="1:4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spans="1:4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spans="1:4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spans="1:4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spans="1:4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spans="1:4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spans="1:4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spans="1:4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spans="1:4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spans="1:4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spans="1:4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spans="1:4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spans="1:4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spans="1:4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spans="1:4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spans="1:4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spans="1:4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spans="1:4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spans="1:4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spans="1:4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spans="1:4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spans="1:4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spans="1:4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spans="1:4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spans="1:4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spans="1:4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spans="1:4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spans="1:4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spans="1:4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spans="1:4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spans="1:4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spans="1:4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spans="1:4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 spans="1:4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 spans="1:4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 spans="1:4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 spans="1:4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 spans="1:4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 spans="1:4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 spans="1:4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 spans="1:4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spans="1:4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spans="1:4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 spans="1:4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 spans="1:4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 spans="1:4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 spans="1:4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 spans="1:4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 spans="1:4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 spans="1:4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 spans="1:4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 spans="1:4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 spans="1:4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 spans="1:4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 spans="1:4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 spans="1:4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 spans="1:4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 spans="1:4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 spans="1:4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spans="1:4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 spans="1:4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 spans="1:4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 spans="1:4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spans="1:4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spans="1:4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 spans="1:4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 spans="1:4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spans="1:4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 spans="1:4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 spans="1:4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spans="1:4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 spans="1:4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 spans="1:4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 spans="1:4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 spans="1:4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spans="1:4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 spans="1:4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 spans="1:4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 spans="1:4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 spans="1:4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 spans="1:4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spans="1:4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 spans="1:4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 spans="1:4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 spans="1:4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 spans="1:4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spans="1:4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 spans="1:4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 spans="1:4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 spans="1:4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 spans="1:4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 spans="1:4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spans="1:4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 spans="1:4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 spans="1:4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 spans="1:4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 spans="1:4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spans="1:4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 spans="1:4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 spans="1:4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 spans="1:4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 spans="1:4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 spans="1:4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spans="1:4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 spans="1:4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 spans="1:4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 spans="1:4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 spans="1:4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spans="1:4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 spans="1:4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 spans="1:4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 spans="1:4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 spans="1:4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 spans="1:4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 spans="1:4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 spans="1:4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 spans="1:4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 spans="1:4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 spans="1:4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 spans="1:4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 spans="1:4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 spans="1:4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 spans="1:4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 spans="1:4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 spans="1:4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 spans="1:4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 spans="1:4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 spans="1:4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 spans="1:4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 spans="1:4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 spans="1:4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 spans="1:4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 spans="1:4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 spans="1:4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 spans="1:4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 spans="1:4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 spans="1:4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 spans="1:4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 spans="1:4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 spans="1:4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 spans="1:4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 spans="1:4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 spans="1:4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 spans="1:4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 spans="1:4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 spans="1:4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 spans="1:4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 spans="1:4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 spans="1:4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 spans="1:4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 spans="1:4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 spans="1:4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 spans="1:4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 spans="1:4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 spans="1:4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 spans="1:4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 spans="1:4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 spans="1:4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 spans="1:4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 spans="1:4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 spans="1:4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 spans="1:4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 spans="1:4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 spans="1:4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 spans="1:4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 spans="1:4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 spans="1:4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 spans="1:4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 spans="1:4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 spans="1:4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 spans="1:4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 spans="1:4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 spans="1:4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 spans="1:4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 spans="1:4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 spans="1:4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 spans="1:4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 spans="1:4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 spans="1:4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 spans="1:4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 spans="1:4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 spans="1:4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 spans="1:4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 spans="1:4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 spans="1:4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 spans="1:4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 spans="1:4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 spans="1:4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 spans="1:4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 spans="1:4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 spans="1:4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 spans="1:4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 spans="1:4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 spans="1:4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 spans="1:4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 spans="1:4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 spans="1:4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 spans="1:4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 spans="1:4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 spans="1:4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 spans="1:4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 spans="1:4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 spans="1:4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 spans="1:4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 spans="1:4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 spans="1:4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 spans="1:4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 spans="1:4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 spans="1:4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spans="1:4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 spans="1:4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 spans="1:4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 spans="1:4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 spans="1:4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 spans="1:4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 spans="1:4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 spans="1:4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 spans="1:4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spans="1:4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 spans="1:4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spans="1:4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spans="1:4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spans="1:4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 spans="1:4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 spans="1:4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 spans="1:4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 spans="1:4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 spans="1:4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 spans="1:4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 spans="1:4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 spans="1:4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 spans="1:4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 spans="1:4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 spans="1:4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 spans="1:4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 spans="1:4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 spans="1:4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spans="1:4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 spans="1:4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 spans="1:4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 spans="1:4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 spans="1:4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 spans="1:4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 spans="1:4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 spans="1:4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 spans="1:4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 spans="1:4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 spans="1:4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 spans="1:4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 spans="1:4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 spans="1:4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 spans="1:4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 spans="1:4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 spans="1:4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 spans="1:4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 spans="1:4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 spans="1:4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 spans="1:4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 spans="1:4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 spans="1:4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 spans="1:4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 spans="1:4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 spans="1:4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 spans="1:4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 spans="1:4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 spans="1:4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spans="1:4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spans="1:4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spans="1:4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 spans="1:4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 spans="1:4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 spans="1:4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 spans="1:4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 spans="1:4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 spans="1:4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 spans="1:4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 spans="1:4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 spans="1:4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 spans="1:4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 spans="1:4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 spans="1:4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 spans="1:4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 spans="1:4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 spans="1:4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 spans="1:4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 spans="1:4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 spans="1:4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 spans="1:4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 spans="1:4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 spans="1:4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 spans="1:4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 spans="1:4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 spans="1:4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 spans="1:4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 spans="1:4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 spans="1:4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 spans="1:4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 spans="1:4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 spans="1:4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 spans="1:4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</row>
    <row r="637" spans="1:4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 spans="1:4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 spans="1:4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 spans="1:4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 spans="1:4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 spans="1:4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 spans="1:4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 spans="1:4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 spans="1:4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 spans="1:4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 spans="1:4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 spans="1:4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 spans="1:4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 spans="1:4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 spans="1:4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 spans="1:4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 spans="1:4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 spans="1:4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 spans="1:4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 spans="1:4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 spans="1:4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 spans="1:4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 spans="1:4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 spans="1:4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 spans="1:4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 spans="1:4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 spans="1:4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 spans="1:4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 spans="1:4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 spans="1:4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 spans="1:4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 spans="1:4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 spans="1:4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 spans="1:4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 spans="1:4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 spans="1:4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 spans="1:4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 spans="1:4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 spans="1:4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 spans="1:4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 spans="1:4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 spans="1:4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 spans="1:4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 spans="1:4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 spans="1:4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 spans="1:4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 spans="1:4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 spans="1:4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 spans="1:4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 spans="1:4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 spans="1:4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 spans="1:4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 spans="1:4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 spans="1:4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 spans="1:4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 spans="1:4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 spans="1:46" x14ac:dyDescent="0.25">
      <c r="A693" s="41"/>
      <c r="B693" s="41"/>
      <c r="C693" s="41"/>
      <c r="D693" s="41"/>
      <c r="E693" s="41"/>
      <c r="F693" s="41"/>
      <c r="G693" s="41"/>
      <c r="H693" s="6"/>
      <c r="I693" s="6"/>
      <c r="J693" s="41"/>
      <c r="K693" s="6"/>
      <c r="L693" s="41"/>
      <c r="M693" s="41"/>
      <c r="N693" s="6"/>
      <c r="O693" s="6"/>
      <c r="P693" s="41"/>
      <c r="Q693" s="6"/>
      <c r="R693" s="41"/>
      <c r="S693" s="41"/>
      <c r="T693" s="41"/>
      <c r="U693" s="41"/>
      <c r="V693" s="41"/>
      <c r="W693" s="41"/>
      <c r="X693" s="6"/>
      <c r="Y693" s="41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 spans="1:4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 spans="1:4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 spans="1:4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 spans="1:4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 spans="1:4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 spans="1:4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 spans="1:4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 spans="1:4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 spans="1:4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 spans="1:4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 spans="1:4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 spans="1:4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 spans="1:4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 spans="1:4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 spans="1:4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 spans="1:4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 spans="1:4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 spans="1:4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 spans="1:4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 spans="1:4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 spans="1:4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 spans="1:4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 spans="1:4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 spans="1:4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 spans="1:4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 spans="1:4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 spans="1:4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 spans="1:4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 spans="1:4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 spans="1:4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 spans="1:4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 spans="1:4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 spans="1:4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 spans="1:4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 spans="1:4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 spans="1:4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 spans="1:4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 spans="1:4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 spans="1:4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 spans="1:4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 spans="1:4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 spans="1:4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 spans="1:4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 spans="1:4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 spans="1:4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 spans="1:4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 spans="1:4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 spans="1:4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 spans="1:4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 spans="1:4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 spans="1:4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 spans="1:4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 spans="1:4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 spans="1:4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 spans="1:4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 spans="1:4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 spans="1:4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 spans="1:4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 spans="1:4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 spans="1:4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 spans="1:4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 spans="1:4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 spans="1:4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 spans="1:4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 spans="1:4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 spans="1:4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 spans="1:4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 spans="1:4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 spans="1:4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 spans="1:4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 spans="1:4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 spans="1:4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 spans="1:4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 spans="1:4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 spans="1:4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 spans="1:4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 spans="1:4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 spans="1:4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 spans="1:4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 spans="1:4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 spans="1:4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 spans="1:4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 spans="1:4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 spans="1:4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 spans="1:4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 spans="1:4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 spans="1:4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 spans="1:4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 spans="1:4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 spans="1:4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 spans="1:4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 spans="1:4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 spans="1:4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 spans="1:4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 spans="1:4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 spans="1:4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 spans="1:4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 spans="1:4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 spans="1:4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 spans="1:4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 spans="1:4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 spans="1:4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 spans="1:4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 spans="1:4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 spans="1:4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 spans="1:4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 spans="1:4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 spans="1:4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 spans="1:4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 spans="1:4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 spans="1:4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 spans="1:4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 spans="1:4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 spans="1:4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 spans="1:4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 spans="1:4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 spans="1:4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 spans="1:4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 spans="1:4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 spans="1:4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 spans="1:4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 spans="1:4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 spans="1:4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 spans="1:4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 spans="1:4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 spans="1:4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 spans="1:4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 spans="1:4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 spans="1:4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 spans="1:4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 spans="1:4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 spans="1:4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 spans="1:4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 spans="1:4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 spans="1:4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 spans="1:4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 spans="1:4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 spans="1:4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 spans="1:4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 spans="1:4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 spans="1:4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 spans="1:4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 spans="1:4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 spans="1:4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 spans="1:4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 spans="1:4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 spans="1:4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 spans="1:4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 spans="1:4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 spans="1:4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 spans="1:4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 spans="1:4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 spans="1:4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 spans="1:4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 spans="1:4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 spans="1:4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 spans="1:4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 spans="1:4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 spans="1:4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 spans="1:4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 spans="1:4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 spans="1:4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 spans="1:4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 spans="1:4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 spans="1:4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 spans="1:4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 spans="1:4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 spans="1:4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 spans="1:4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 spans="1:4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 spans="1:4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 spans="1:4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 spans="1:4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 spans="1:4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 spans="1:4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 spans="1:4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 spans="1:4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 spans="1:4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 spans="1:4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 spans="1:4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 spans="1:4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 spans="1:4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 spans="1:4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 spans="1:4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 spans="1:4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 spans="1:4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 spans="1:4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 spans="1:4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 spans="1:4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 spans="1:4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 spans="1:4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 spans="1:4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 spans="1:4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 spans="1:4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 spans="1:4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 spans="1:4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 spans="1:4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 spans="1:4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 spans="1:4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 spans="1:4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 spans="1:4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 spans="1:4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 spans="1:4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 spans="1:4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 spans="1:4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 spans="1:4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 spans="1:4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 spans="1:4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 spans="1:4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 spans="1:4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 spans="1:4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 spans="1:4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 spans="1:4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 spans="1:4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 spans="1:4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 spans="1:4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 spans="1:4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 spans="1:4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 spans="1:4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 spans="1:4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 spans="1:4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 spans="1:4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 spans="1:4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  <row r="917" spans="1:4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</row>
    <row r="918" spans="1:4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</row>
    <row r="919" spans="1:4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</row>
    <row r="920" spans="1:4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</row>
    <row r="921" spans="1:4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</row>
    <row r="922" spans="1:4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</row>
    <row r="923" spans="1:4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</row>
    <row r="924" spans="1:4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</row>
    <row r="925" spans="1:46" x14ac:dyDescent="0.25">
      <c r="A925" s="41"/>
      <c r="B925" s="41"/>
      <c r="C925" s="41"/>
      <c r="D925" s="41"/>
      <c r="E925" s="41"/>
      <c r="F925" s="41"/>
      <c r="G925" s="41"/>
      <c r="H925" s="6"/>
      <c r="I925" s="6"/>
      <c r="J925" s="41"/>
      <c r="K925" s="6"/>
      <c r="L925" s="41"/>
      <c r="M925" s="41"/>
      <c r="N925" s="6"/>
      <c r="O925" s="6"/>
      <c r="P925" s="41"/>
      <c r="Q925" s="6"/>
      <c r="R925" s="41"/>
      <c r="S925" s="41"/>
      <c r="T925" s="41"/>
      <c r="U925" s="41"/>
      <c r="V925" s="41"/>
      <c r="W925" s="41"/>
      <c r="X925" s="6"/>
      <c r="Y925" s="41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</row>
    <row r="926" spans="1:4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</row>
    <row r="927" spans="1:4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</row>
    <row r="928" spans="1:4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</row>
    <row r="929" spans="1:4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</row>
    <row r="930" spans="1:4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</row>
    <row r="931" spans="1:4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</row>
    <row r="932" spans="1:4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</row>
    <row r="933" spans="1:4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</row>
    <row r="934" spans="1:4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</row>
    <row r="935" spans="1:4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</row>
    <row r="936" spans="1:4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</row>
    <row r="937" spans="1:4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</row>
    <row r="938" spans="1:4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</row>
    <row r="939" spans="1:4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</row>
    <row r="940" spans="1:4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</row>
    <row r="941" spans="1:4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</row>
    <row r="942" spans="1:4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</row>
    <row r="943" spans="1:4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</row>
    <row r="944" spans="1:4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</row>
    <row r="945" spans="1:4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</row>
    <row r="946" spans="1:4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</row>
    <row r="947" spans="1:4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</row>
    <row r="948" spans="1:4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</row>
    <row r="949" spans="1:4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</row>
    <row r="950" spans="1:4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</row>
    <row r="951" spans="1:4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</row>
    <row r="952" spans="1:4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</row>
    <row r="953" spans="1:4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</row>
    <row r="954" spans="1:4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</row>
    <row r="955" spans="1:4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</row>
    <row r="956" spans="1:4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</row>
    <row r="957" spans="1:4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</row>
    <row r="958" spans="1:4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</row>
    <row r="959" spans="1:4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</row>
    <row r="960" spans="1:4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</row>
    <row r="961" spans="1:4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</row>
    <row r="962" spans="1:4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</row>
    <row r="963" spans="1:4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</row>
    <row r="964" spans="1:4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</row>
    <row r="965" spans="1:4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</row>
    <row r="966" spans="1:4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</row>
    <row r="967" spans="1:4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</row>
    <row r="968" spans="1:4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</row>
    <row r="969" spans="1:4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</row>
    <row r="970" spans="1:4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</row>
    <row r="971" spans="1:4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</row>
    <row r="972" spans="1:4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</row>
    <row r="973" spans="1:4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</row>
    <row r="974" spans="1:4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</row>
    <row r="975" spans="1:4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</row>
    <row r="976" spans="1:4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</row>
    <row r="977" spans="1:4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</row>
    <row r="978" spans="1:4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</row>
    <row r="979" spans="1:4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</row>
    <row r="980" spans="1:4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</row>
    <row r="981" spans="1:4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</row>
    <row r="982" spans="1:4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</row>
    <row r="983" spans="1:4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</row>
    <row r="984" spans="1:4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</row>
    <row r="985" spans="1:4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</row>
    <row r="986" spans="1:4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</row>
    <row r="987" spans="1:4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</row>
    <row r="988" spans="1:4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</row>
    <row r="989" spans="1:4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</row>
    <row r="990" spans="1:4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</row>
    <row r="991" spans="1:4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</row>
    <row r="992" spans="1:4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</row>
    <row r="993" spans="1:4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</row>
    <row r="994" spans="1:4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</row>
    <row r="995" spans="1:4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</row>
    <row r="996" spans="1:4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</row>
    <row r="997" spans="1:4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</row>
    <row r="998" spans="1:4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</row>
    <row r="999" spans="1:4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</row>
    <row r="1000" spans="1:4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</row>
    <row r="1001" spans="1:46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</row>
    <row r="1002" spans="1:46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</row>
    <row r="1003" spans="1:46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</row>
    <row r="1004" spans="1:46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</row>
    <row r="1005" spans="1:46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</row>
    <row r="1006" spans="1:46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</row>
    <row r="1007" spans="1:46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</row>
    <row r="1008" spans="1:46" x14ac:dyDescent="0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</row>
    <row r="1009" spans="1:46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</row>
    <row r="1010" spans="1:46" x14ac:dyDescent="0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</row>
    <row r="1011" spans="1:46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</row>
    <row r="1012" spans="1:46" x14ac:dyDescent="0.2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</row>
    <row r="1013" spans="1:46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</row>
    <row r="1014" spans="1:46" x14ac:dyDescent="0.2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</row>
    <row r="1015" spans="1:46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</row>
    <row r="1016" spans="1:46" x14ac:dyDescent="0.2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</row>
    <row r="1017" spans="1:46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</row>
    <row r="1018" spans="1:46" x14ac:dyDescent="0.2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</row>
    <row r="1019" spans="1:46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</row>
    <row r="1020" spans="1:46" x14ac:dyDescent="0.2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</row>
    <row r="1021" spans="1:46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</row>
    <row r="1022" spans="1:46" x14ac:dyDescent="0.2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</row>
    <row r="1023" spans="1:46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</row>
    <row r="1024" spans="1:46" x14ac:dyDescent="0.2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</row>
    <row r="1025" spans="1:46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</row>
    <row r="1026" spans="1:46" x14ac:dyDescent="0.2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</row>
    <row r="1027" spans="1:46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</row>
    <row r="1028" spans="1:46" x14ac:dyDescent="0.2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</row>
    <row r="1029" spans="1:46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</row>
    <row r="1030" spans="1:46" x14ac:dyDescent="0.2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</row>
    <row r="1031" spans="1:46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</row>
    <row r="1032" spans="1:46" x14ac:dyDescent="0.2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</row>
    <row r="1033" spans="1:46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</row>
    <row r="1034" spans="1:46" x14ac:dyDescent="0.2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</row>
    <row r="1035" spans="1:46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</row>
    <row r="1036" spans="1:46" x14ac:dyDescent="0.2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</row>
    <row r="1037" spans="1:46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</row>
    <row r="1038" spans="1:46" x14ac:dyDescent="0.2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</row>
    <row r="1039" spans="1:46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</row>
    <row r="1040" spans="1:46" x14ac:dyDescent="0.2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</row>
    <row r="1041" spans="1:46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</row>
    <row r="1042" spans="1:46" x14ac:dyDescent="0.2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</row>
    <row r="1043" spans="1:46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</row>
    <row r="1044" spans="1:46" x14ac:dyDescent="0.2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</row>
    <row r="1045" spans="1:46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</row>
    <row r="1046" spans="1:46" x14ac:dyDescent="0.2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</row>
    <row r="1047" spans="1:46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</row>
    <row r="1048" spans="1:46" x14ac:dyDescent="0.2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</row>
    <row r="1049" spans="1:46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</row>
    <row r="1050" spans="1:46" x14ac:dyDescent="0.2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</row>
    <row r="1051" spans="1:46" x14ac:dyDescent="0.2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</row>
    <row r="1052" spans="1:46" x14ac:dyDescent="0.2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</row>
    <row r="1053" spans="1:46" x14ac:dyDescent="0.2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</row>
    <row r="1054" spans="1:46" x14ac:dyDescent="0.2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</row>
    <row r="1055" spans="1:46" x14ac:dyDescent="0.2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</row>
    <row r="1056" spans="1:46" x14ac:dyDescent="0.2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</row>
    <row r="1057" spans="1:46" x14ac:dyDescent="0.2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</row>
    <row r="1058" spans="1:46" x14ac:dyDescent="0.2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</row>
    <row r="1059" spans="1:46" x14ac:dyDescent="0.2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</row>
    <row r="1060" spans="1:46" x14ac:dyDescent="0.2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</row>
    <row r="1061" spans="1:46" x14ac:dyDescent="0.25">
      <c r="A1061" s="41"/>
      <c r="B1061" s="41"/>
      <c r="C1061" s="41"/>
      <c r="D1061" s="41"/>
      <c r="E1061" s="41"/>
      <c r="F1061" s="41"/>
      <c r="G1061" s="41"/>
      <c r="H1061" s="6"/>
      <c r="I1061" s="6"/>
      <c r="J1061" s="41"/>
      <c r="K1061" s="6"/>
      <c r="L1061" s="41"/>
      <c r="M1061" s="41"/>
      <c r="N1061" s="6"/>
      <c r="O1061" s="6"/>
      <c r="P1061" s="41"/>
      <c r="Q1061" s="6"/>
      <c r="R1061" s="41"/>
      <c r="S1061" s="41"/>
      <c r="T1061" s="41"/>
      <c r="U1061" s="41"/>
      <c r="V1061" s="41"/>
      <c r="W1061" s="41"/>
      <c r="X1061" s="6"/>
      <c r="Y1061" s="41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</row>
    <row r="1062" spans="1:46" x14ac:dyDescent="0.25">
      <c r="A1062" s="41"/>
      <c r="B1062" s="41"/>
      <c r="C1062" s="41"/>
      <c r="D1062" s="41"/>
      <c r="E1062" s="41"/>
      <c r="F1062" s="41"/>
      <c r="G1062" s="41"/>
      <c r="H1062" s="6"/>
      <c r="I1062" s="6"/>
      <c r="J1062" s="41"/>
      <c r="K1062" s="6"/>
      <c r="L1062" s="41"/>
      <c r="M1062" s="41"/>
      <c r="N1062" s="6"/>
      <c r="O1062" s="6"/>
      <c r="P1062" s="41"/>
      <c r="Q1062" s="6"/>
      <c r="R1062" s="41"/>
      <c r="S1062" s="41"/>
      <c r="T1062" s="41"/>
      <c r="U1062" s="41"/>
      <c r="V1062" s="41"/>
      <c r="W1062" s="41"/>
      <c r="X1062" s="6"/>
      <c r="Y1062" s="41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</row>
    <row r="1063" spans="1:46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</row>
    <row r="1064" spans="1:46" x14ac:dyDescent="0.2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</row>
    <row r="1065" spans="1:46" x14ac:dyDescent="0.2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</row>
    <row r="1066" spans="1:46" x14ac:dyDescent="0.2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</row>
    <row r="1067" spans="1:46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</row>
    <row r="1068" spans="1:46" x14ac:dyDescent="0.2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</row>
    <row r="1069" spans="1:46" x14ac:dyDescent="0.2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</row>
    <row r="1070" spans="1:46" x14ac:dyDescent="0.2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</row>
    <row r="1071" spans="1:46" x14ac:dyDescent="0.2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</row>
    <row r="1072" spans="1:46" x14ac:dyDescent="0.2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</row>
    <row r="1073" spans="1:46" x14ac:dyDescent="0.2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</row>
    <row r="1074" spans="1:46" x14ac:dyDescent="0.2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</row>
    <row r="1075" spans="1:46" x14ac:dyDescent="0.2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</row>
    <row r="1076" spans="1:46" x14ac:dyDescent="0.2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</row>
    <row r="1077" spans="1:46" x14ac:dyDescent="0.2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</row>
    <row r="1078" spans="1:46" x14ac:dyDescent="0.2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</row>
    <row r="1079" spans="1:46" x14ac:dyDescent="0.2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</row>
    <row r="1080" spans="1:46" x14ac:dyDescent="0.2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</row>
    <row r="1081" spans="1:46" x14ac:dyDescent="0.2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</row>
    <row r="1082" spans="1:46" x14ac:dyDescent="0.2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</row>
    <row r="1083" spans="1:46" x14ac:dyDescent="0.2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</row>
    <row r="1084" spans="1:46" x14ac:dyDescent="0.2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</row>
    <row r="1085" spans="1:46" x14ac:dyDescent="0.2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</row>
    <row r="1086" spans="1:46" x14ac:dyDescent="0.25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</row>
    <row r="1087" spans="1:46" x14ac:dyDescent="0.2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</row>
    <row r="1088" spans="1:46" x14ac:dyDescent="0.25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</row>
    <row r="1089" spans="1:46" x14ac:dyDescent="0.2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</row>
    <row r="1090" spans="1:46" x14ac:dyDescent="0.25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</row>
    <row r="1091" spans="1:46" x14ac:dyDescent="0.2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</row>
    <row r="1092" spans="1:46" x14ac:dyDescent="0.25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</row>
    <row r="1093" spans="1:46" x14ac:dyDescent="0.2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</row>
    <row r="1094" spans="1:46" x14ac:dyDescent="0.25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</row>
    <row r="1095" spans="1:46" x14ac:dyDescent="0.2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</row>
    <row r="1096" spans="1:46" x14ac:dyDescent="0.25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</row>
    <row r="1097" spans="1:46" x14ac:dyDescent="0.2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</row>
    <row r="1098" spans="1:46" x14ac:dyDescent="0.25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</row>
    <row r="1099" spans="1:46" x14ac:dyDescent="0.2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</row>
    <row r="1100" spans="1:46" x14ac:dyDescent="0.25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</row>
    <row r="1101" spans="1:46" x14ac:dyDescent="0.2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</row>
    <row r="1102" spans="1:46" x14ac:dyDescent="0.2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</row>
    <row r="1103" spans="1:46" x14ac:dyDescent="0.2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</row>
    <row r="1104" spans="1:46" x14ac:dyDescent="0.25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</row>
    <row r="1105" spans="1:46" x14ac:dyDescent="0.2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</row>
  </sheetData>
  <sortState xmlns:xlrd2="http://schemas.microsoft.com/office/spreadsheetml/2017/richdata2" ref="A2:AV1105">
    <sortCondition ref="C2:C1105"/>
    <sortCondition ref="E2:E1105"/>
    <sortCondition ref="A2:A1105"/>
    <sortCondition ref="G2:G1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</vt:lpstr>
      <vt:lpstr>Cytokines</vt:lpstr>
      <vt:lpstr>ELISA</vt:lpstr>
      <vt:lpstr>BVDVtiters</vt:lpstr>
      <vt:lpstr>SFT</vt:lpstr>
      <vt:lpstr>D2DX</vt:lpstr>
      <vt:lpstr>Health</vt:lpstr>
      <vt:lpstr>ADG_MET</vt:lpstr>
      <vt:lpstr>Insentech_PerfReg</vt:lpstr>
      <vt:lpstr>Insentech_RFI</vt:lpstr>
      <vt:lpstr>Intake_Trial_Performance</vt:lpstr>
      <vt:lpstr>Carcass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Beck, Paul</dc:creator>
  <cp:lastModifiedBy>Beck, Paul</cp:lastModifiedBy>
  <dcterms:created xsi:type="dcterms:W3CDTF">2025-10-02T16:55:18Z</dcterms:created>
  <dcterms:modified xsi:type="dcterms:W3CDTF">2026-03-20T20:32:47Z</dcterms:modified>
</cp:coreProperties>
</file>